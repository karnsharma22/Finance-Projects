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rn\Desktop\ALL PROJECTS\"/>
    </mc:Choice>
  </mc:AlternateContent>
  <xr:revisionPtr revIDLastSave="0" documentId="13_ncr:1_{8B8CBDF5-E110-4EF8-9FCF-2970315106EE}" xr6:coauthVersionLast="47" xr6:coauthVersionMax="47" xr10:uidLastSave="{00000000-0000-0000-0000-000000000000}"/>
  <bookViews>
    <workbookView xWindow="-120" yWindow="-120" windowWidth="29040" windowHeight="16440" tabRatio="936" activeTab="1" xr2:uid="{00000000-000D-0000-FFFF-FFFF00000000}"/>
  </bookViews>
  <sheets>
    <sheet name="Model" sheetId="14" r:id="rId1"/>
    <sheet name="3 STATEMENT MODEL" sheetId="3" r:id="rId2"/>
    <sheet name="Key Assumptions" sheetId="8" r:id="rId3"/>
    <sheet name="Revenue CAGR" sheetId="1" r:id="rId4"/>
    <sheet name="Cost Assumptions" sheetId="7" r:id="rId5"/>
    <sheet name="Other Key Assumptions" sheetId="12" r:id="rId6"/>
    <sheet name="Data Room" sheetId="9" r:id="rId7"/>
    <sheet name="Data Sheet" sheetId="4" r:id="rId8"/>
    <sheet name="Expanded BS" sheetId="11" r:id="rId9"/>
    <sheet name="Cash Flow Statement" sheetId="10" r:id="rId10"/>
    <sheet name="Profit &amp; Loss" sheetId="5" r:id="rId11"/>
    <sheet name="Balance Sheet" sheetId="6" r:id="rId12"/>
    <sheet name="Historical FS" sheetId="13" r:id="rId13"/>
  </sheets>
  <externalReferences>
    <externalReference r:id="rId14"/>
    <externalReference r:id="rId15"/>
  </externalReference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 localSheetId="12" hidden="1">"04/29/2023 08:53:12"</definedName>
    <definedName name="IQ_NAMES_REVISION_DATE_">"10/01/2018 15:52:08"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UPDATE" localSheetId="11">'[1]Data Sheet'!$E$1</definedName>
    <definedName name="UPDATE" localSheetId="10">'[1]Data Sheet'!$E$1</definedName>
    <definedName name="UPDATE">'Data Sheet'!$E$1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3" l="1"/>
  <c r="G65" i="3"/>
  <c r="H65" i="3"/>
  <c r="I65" i="3"/>
  <c r="E65" i="3"/>
  <c r="F64" i="3"/>
  <c r="G64" i="3"/>
  <c r="H64" i="3"/>
  <c r="I64" i="3"/>
  <c r="E64" i="3"/>
  <c r="F5" i="3"/>
  <c r="G5" i="3" s="1"/>
  <c r="H5" i="3" s="1"/>
  <c r="I5" i="3" s="1"/>
  <c r="B2" i="3"/>
  <c r="F47" i="3"/>
  <c r="G47" i="3"/>
  <c r="H47" i="3"/>
  <c r="I47" i="3"/>
  <c r="E47" i="3"/>
  <c r="J27" i="11"/>
  <c r="L25" i="11"/>
  <c r="M25" i="11"/>
  <c r="N25" i="11"/>
  <c r="O25" i="11"/>
  <c r="L26" i="11"/>
  <c r="M26" i="11"/>
  <c r="N26" i="11"/>
  <c r="O26" i="11"/>
  <c r="L24" i="11"/>
  <c r="M24" i="11"/>
  <c r="N24" i="11"/>
  <c r="O24" i="11"/>
  <c r="K26" i="11"/>
  <c r="K25" i="11"/>
  <c r="K24" i="11"/>
  <c r="F108" i="3"/>
  <c r="G108" i="3"/>
  <c r="H108" i="3"/>
  <c r="I108" i="3"/>
  <c r="F107" i="3"/>
  <c r="G107" i="3"/>
  <c r="H107" i="3"/>
  <c r="I107" i="3"/>
  <c r="F106" i="3"/>
  <c r="G106" i="3"/>
  <c r="H106" i="3"/>
  <c r="I106" i="3"/>
  <c r="E108" i="3"/>
  <c r="E107" i="3"/>
  <c r="E106" i="3"/>
  <c r="N27" i="11" l="1"/>
  <c r="E109" i="3"/>
  <c r="E78" i="3" s="1"/>
  <c r="I109" i="3"/>
  <c r="I78" i="3" s="1"/>
  <c r="H109" i="3"/>
  <c r="H78" i="3" s="1"/>
  <c r="G109" i="3"/>
  <c r="G78" i="3" s="1"/>
  <c r="O27" i="11"/>
  <c r="M27" i="11"/>
  <c r="L27" i="11"/>
  <c r="K27" i="11"/>
  <c r="K28" i="11" s="1"/>
  <c r="F109" i="3"/>
  <c r="F78" i="3" s="1"/>
  <c r="O28" i="11" l="1"/>
  <c r="L28" i="11"/>
  <c r="M28" i="11"/>
  <c r="N28" i="11"/>
  <c r="F76" i="3"/>
  <c r="G76" i="3"/>
  <c r="H76" i="3"/>
  <c r="I76" i="3"/>
  <c r="E76" i="3"/>
  <c r="E79" i="3"/>
  <c r="F79" i="3"/>
  <c r="G79" i="3"/>
  <c r="H79" i="3"/>
  <c r="I79" i="3"/>
  <c r="L19" i="11"/>
  <c r="M19" i="11"/>
  <c r="N19" i="11"/>
  <c r="O19" i="11"/>
  <c r="K19" i="11"/>
  <c r="N67" i="4"/>
  <c r="O67" i="4"/>
  <c r="P67" i="4"/>
  <c r="Q67" i="4"/>
  <c r="M67" i="4"/>
  <c r="F95" i="3"/>
  <c r="G95" i="3"/>
  <c r="H95" i="3"/>
  <c r="E95" i="3"/>
  <c r="F94" i="3"/>
  <c r="G94" i="3"/>
  <c r="H94" i="3"/>
  <c r="I94" i="3"/>
  <c r="E94" i="3"/>
  <c r="F87" i="3"/>
  <c r="G87" i="3"/>
  <c r="H87" i="3"/>
  <c r="I87" i="3"/>
  <c r="E87" i="3"/>
  <c r="F86" i="3"/>
  <c r="G86" i="3"/>
  <c r="H86" i="3"/>
  <c r="I86" i="3"/>
  <c r="E86" i="3"/>
  <c r="F85" i="3"/>
  <c r="G85" i="3"/>
  <c r="H85" i="3"/>
  <c r="I85" i="3"/>
  <c r="N85" i="3" s="1"/>
  <c r="F84" i="3"/>
  <c r="G84" i="3"/>
  <c r="H84" i="3"/>
  <c r="I84" i="3"/>
  <c r="J84" i="3" s="1"/>
  <c r="E85" i="3"/>
  <c r="E84" i="3"/>
  <c r="D22" i="10"/>
  <c r="E22" i="10"/>
  <c r="F22" i="10"/>
  <c r="G22" i="10"/>
  <c r="C22" i="10"/>
  <c r="D11" i="10"/>
  <c r="E11" i="10"/>
  <c r="F11" i="10"/>
  <c r="G11" i="10"/>
  <c r="C11" i="10"/>
  <c r="D4" i="10"/>
  <c r="E4" i="10"/>
  <c r="F4" i="10"/>
  <c r="G4" i="10"/>
  <c r="C4" i="10"/>
  <c r="F6" i="12"/>
  <c r="J20" i="3" s="1"/>
  <c r="F121" i="3"/>
  <c r="G121" i="3"/>
  <c r="H121" i="3"/>
  <c r="I121" i="3"/>
  <c r="E121" i="3"/>
  <c r="F120" i="3"/>
  <c r="G120" i="3"/>
  <c r="H120" i="3"/>
  <c r="I120" i="3"/>
  <c r="E120" i="3"/>
  <c r="F119" i="3"/>
  <c r="G119" i="3"/>
  <c r="H119" i="3"/>
  <c r="I119" i="3"/>
  <c r="E119" i="3"/>
  <c r="J94" i="3" l="1"/>
  <c r="K94" i="3" s="1"/>
  <c r="F30" i="10"/>
  <c r="E30" i="10"/>
  <c r="C30" i="10"/>
  <c r="G30" i="10"/>
  <c r="D30" i="10"/>
  <c r="L79" i="3"/>
  <c r="J79" i="3"/>
  <c r="J87" i="3"/>
  <c r="K79" i="3"/>
  <c r="M79" i="3"/>
  <c r="N79" i="3"/>
  <c r="M85" i="3"/>
  <c r="N87" i="3"/>
  <c r="N86" i="3"/>
  <c r="L84" i="3"/>
  <c r="K86" i="3"/>
  <c r="L85" i="3"/>
  <c r="L87" i="3"/>
  <c r="K85" i="3"/>
  <c r="N84" i="3"/>
  <c r="M87" i="3"/>
  <c r="M84" i="3"/>
  <c r="J86" i="3"/>
  <c r="K87" i="3"/>
  <c r="M86" i="3"/>
  <c r="J85" i="3"/>
  <c r="L86" i="3"/>
  <c r="K84" i="3"/>
  <c r="L94" i="3" l="1"/>
  <c r="M94" i="3" s="1"/>
  <c r="N94" i="3" s="1"/>
  <c r="N64" i="7"/>
  <c r="F57" i="3"/>
  <c r="G57" i="3"/>
  <c r="H57" i="3"/>
  <c r="I57" i="3"/>
  <c r="E57" i="3"/>
  <c r="F55" i="3"/>
  <c r="G55" i="3"/>
  <c r="H55" i="3"/>
  <c r="I55" i="3"/>
  <c r="E55" i="3"/>
  <c r="F51" i="3"/>
  <c r="G51" i="3"/>
  <c r="H51" i="3"/>
  <c r="I51" i="3"/>
  <c r="E51" i="3"/>
  <c r="F92" i="3"/>
  <c r="G92" i="3"/>
  <c r="G22" i="3" s="1"/>
  <c r="H92" i="3"/>
  <c r="I92" i="3"/>
  <c r="L92" i="3" s="1"/>
  <c r="E92" i="3"/>
  <c r="D94" i="7"/>
  <c r="F91" i="3"/>
  <c r="G91" i="3"/>
  <c r="H91" i="3"/>
  <c r="I91" i="3"/>
  <c r="E91" i="3"/>
  <c r="K93" i="7"/>
  <c r="K94" i="7" s="1"/>
  <c r="L93" i="7"/>
  <c r="L94" i="7" s="1"/>
  <c r="M93" i="7"/>
  <c r="M94" i="7" s="1"/>
  <c r="N93" i="7"/>
  <c r="N94" i="7" s="1"/>
  <c r="J93" i="7"/>
  <c r="J94" i="7" s="1"/>
  <c r="K84" i="7"/>
  <c r="K96" i="7" s="1"/>
  <c r="L84" i="7"/>
  <c r="L96" i="7" s="1"/>
  <c r="M84" i="7"/>
  <c r="M96" i="7" s="1"/>
  <c r="N84" i="7"/>
  <c r="N96" i="7" s="1"/>
  <c r="J84" i="7"/>
  <c r="J96" i="7" s="1"/>
  <c r="F56" i="3"/>
  <c r="G56" i="3"/>
  <c r="H56" i="3"/>
  <c r="I56" i="3"/>
  <c r="E56" i="3"/>
  <c r="F118" i="3"/>
  <c r="E123" i="3" s="1"/>
  <c r="G118" i="3"/>
  <c r="F123" i="3" s="1"/>
  <c r="H118" i="3"/>
  <c r="G123" i="3" s="1"/>
  <c r="I118" i="3"/>
  <c r="E118" i="3"/>
  <c r="F93" i="3"/>
  <c r="G93" i="3"/>
  <c r="H93" i="3"/>
  <c r="I93" i="3"/>
  <c r="E93" i="3"/>
  <c r="F60" i="3"/>
  <c r="G60" i="3"/>
  <c r="H60" i="3"/>
  <c r="I60" i="3"/>
  <c r="E60" i="3"/>
  <c r="F49" i="3"/>
  <c r="G49" i="3"/>
  <c r="H49" i="3"/>
  <c r="I49" i="3"/>
  <c r="E49" i="3"/>
  <c r="F48" i="3"/>
  <c r="G48" i="3"/>
  <c r="H48" i="3"/>
  <c r="I48" i="3"/>
  <c r="E48" i="3"/>
  <c r="C39" i="5"/>
  <c r="D39" i="5"/>
  <c r="E39" i="5"/>
  <c r="F39" i="5"/>
  <c r="G39" i="5"/>
  <c r="H39" i="5"/>
  <c r="I39" i="5"/>
  <c r="J39" i="5"/>
  <c r="K39" i="5"/>
  <c r="B39" i="5"/>
  <c r="F21" i="3"/>
  <c r="F83" i="3" s="1"/>
  <c r="G21" i="3"/>
  <c r="G83" i="3" s="1"/>
  <c r="H21" i="3"/>
  <c r="H83" i="3" s="1"/>
  <c r="I21" i="3"/>
  <c r="I83" i="3" s="1"/>
  <c r="E21" i="3"/>
  <c r="F20" i="3"/>
  <c r="G20" i="3"/>
  <c r="H20" i="3"/>
  <c r="I20" i="3"/>
  <c r="E20" i="3"/>
  <c r="F41" i="3"/>
  <c r="G41" i="3"/>
  <c r="H41" i="3"/>
  <c r="I41" i="3"/>
  <c r="E41" i="3"/>
  <c r="F34" i="3"/>
  <c r="G34" i="3"/>
  <c r="H34" i="3"/>
  <c r="I34" i="3"/>
  <c r="E34" i="3"/>
  <c r="I31" i="3"/>
  <c r="I14" i="3" s="1"/>
  <c r="D24" i="7"/>
  <c r="L20" i="13"/>
  <c r="O27" i="4"/>
  <c r="F31" i="3"/>
  <c r="F14" i="3" s="1"/>
  <c r="G31" i="3"/>
  <c r="G14" i="3" s="1"/>
  <c r="H31" i="3"/>
  <c r="H14" i="3" s="1"/>
  <c r="E31" i="3"/>
  <c r="E14" i="3" s="1"/>
  <c r="F29" i="3"/>
  <c r="G29" i="3"/>
  <c r="H29" i="3"/>
  <c r="I29" i="3"/>
  <c r="E29" i="3"/>
  <c r="F37" i="3"/>
  <c r="G37" i="3"/>
  <c r="H37" i="3"/>
  <c r="I37" i="3"/>
  <c r="E37" i="3"/>
  <c r="F36" i="3"/>
  <c r="F77" i="3" s="1"/>
  <c r="F80" i="3" s="1"/>
  <c r="G36" i="3"/>
  <c r="G77" i="3" s="1"/>
  <c r="G80" i="3" s="1"/>
  <c r="H36" i="3"/>
  <c r="H77" i="3" s="1"/>
  <c r="H80" i="3" s="1"/>
  <c r="I36" i="3"/>
  <c r="I77" i="3" s="1"/>
  <c r="I80" i="3" s="1"/>
  <c r="E36" i="3"/>
  <c r="E77" i="3" s="1"/>
  <c r="E80" i="3" s="1"/>
  <c r="F35" i="3"/>
  <c r="G35" i="3"/>
  <c r="H35" i="3"/>
  <c r="I35" i="3"/>
  <c r="E35" i="3"/>
  <c r="L80" i="13"/>
  <c r="K80" i="13"/>
  <c r="J80" i="13"/>
  <c r="I80" i="13"/>
  <c r="H80" i="13"/>
  <c r="G80" i="13"/>
  <c r="F80" i="13"/>
  <c r="E80" i="13"/>
  <c r="D80" i="13"/>
  <c r="C80" i="13"/>
  <c r="L78" i="13"/>
  <c r="K78" i="13"/>
  <c r="J78" i="13"/>
  <c r="I78" i="13"/>
  <c r="H78" i="13"/>
  <c r="G78" i="13"/>
  <c r="F78" i="13"/>
  <c r="E78" i="13"/>
  <c r="D78" i="13"/>
  <c r="C78" i="13"/>
  <c r="L76" i="13"/>
  <c r="K76" i="13"/>
  <c r="J76" i="13"/>
  <c r="I76" i="13"/>
  <c r="H76" i="13"/>
  <c r="G76" i="13"/>
  <c r="F76" i="13"/>
  <c r="E76" i="13"/>
  <c r="D76" i="13"/>
  <c r="C76" i="13"/>
  <c r="L67" i="13"/>
  <c r="K67" i="13"/>
  <c r="J67" i="13"/>
  <c r="I67" i="13"/>
  <c r="H67" i="13"/>
  <c r="G67" i="13"/>
  <c r="F67" i="13"/>
  <c r="E67" i="13"/>
  <c r="D67" i="13"/>
  <c r="C67" i="13"/>
  <c r="L66" i="13"/>
  <c r="O21" i="11" s="1"/>
  <c r="K66" i="13"/>
  <c r="J66" i="13"/>
  <c r="M21" i="11" s="1"/>
  <c r="I66" i="13"/>
  <c r="L21" i="11" s="1"/>
  <c r="H66" i="13"/>
  <c r="K21" i="11" s="1"/>
  <c r="G66" i="13"/>
  <c r="F66" i="13"/>
  <c r="E66" i="13"/>
  <c r="D66" i="13"/>
  <c r="C66" i="13"/>
  <c r="L65" i="13"/>
  <c r="O20" i="11" s="1"/>
  <c r="K65" i="13"/>
  <c r="N20" i="11" s="1"/>
  <c r="J65" i="13"/>
  <c r="I65" i="13"/>
  <c r="L20" i="11" s="1"/>
  <c r="H65" i="13"/>
  <c r="K20" i="11" s="1"/>
  <c r="G65" i="13"/>
  <c r="J20" i="11" s="1"/>
  <c r="F65" i="13"/>
  <c r="E65" i="13"/>
  <c r="D65" i="13"/>
  <c r="C65" i="13"/>
  <c r="L62" i="13"/>
  <c r="K62" i="13"/>
  <c r="J62" i="13"/>
  <c r="I62" i="13"/>
  <c r="H62" i="13"/>
  <c r="G62" i="13"/>
  <c r="F62" i="13"/>
  <c r="E62" i="13"/>
  <c r="D62" i="13"/>
  <c r="C62" i="13"/>
  <c r="L61" i="13"/>
  <c r="K61" i="13"/>
  <c r="J61" i="13"/>
  <c r="I61" i="13"/>
  <c r="H61" i="13"/>
  <c r="G61" i="13"/>
  <c r="F61" i="13"/>
  <c r="E61" i="13"/>
  <c r="D61" i="13"/>
  <c r="C61" i="13"/>
  <c r="L60" i="13"/>
  <c r="K60" i="13"/>
  <c r="J60" i="13"/>
  <c r="I60" i="13"/>
  <c r="H60" i="13"/>
  <c r="G60" i="13"/>
  <c r="F60" i="13"/>
  <c r="E60" i="13"/>
  <c r="D60" i="13"/>
  <c r="C60" i="13"/>
  <c r="L59" i="13"/>
  <c r="K59" i="13"/>
  <c r="J59" i="13"/>
  <c r="I59" i="13"/>
  <c r="H59" i="13"/>
  <c r="G59" i="13"/>
  <c r="F59" i="13"/>
  <c r="E59" i="13"/>
  <c r="D59" i="13"/>
  <c r="C59" i="13"/>
  <c r="L57" i="13"/>
  <c r="K57" i="13"/>
  <c r="J57" i="13"/>
  <c r="I57" i="13"/>
  <c r="H57" i="13"/>
  <c r="G57" i="13"/>
  <c r="F57" i="13"/>
  <c r="E57" i="13"/>
  <c r="D57" i="13"/>
  <c r="C57" i="13"/>
  <c r="L56" i="13"/>
  <c r="K56" i="13"/>
  <c r="J56" i="13"/>
  <c r="I56" i="13"/>
  <c r="H56" i="13"/>
  <c r="G56" i="13"/>
  <c r="F56" i="13"/>
  <c r="E56" i="13"/>
  <c r="D56" i="13"/>
  <c r="C56" i="13"/>
  <c r="L55" i="13"/>
  <c r="K55" i="13"/>
  <c r="J55" i="13"/>
  <c r="I55" i="13"/>
  <c r="H55" i="13"/>
  <c r="G55" i="13"/>
  <c r="F55" i="13"/>
  <c r="E55" i="13"/>
  <c r="D55" i="13"/>
  <c r="C55" i="13"/>
  <c r="L54" i="13"/>
  <c r="K54" i="13"/>
  <c r="J54" i="13"/>
  <c r="I54" i="13"/>
  <c r="H54" i="13"/>
  <c r="G54" i="13"/>
  <c r="F54" i="13"/>
  <c r="E54" i="13"/>
  <c r="D54" i="13"/>
  <c r="C54" i="13"/>
  <c r="L53" i="13"/>
  <c r="K53" i="13"/>
  <c r="J53" i="13"/>
  <c r="I53" i="13"/>
  <c r="H53" i="13"/>
  <c r="G53" i="13"/>
  <c r="F53" i="13"/>
  <c r="E53" i="13"/>
  <c r="D53" i="13"/>
  <c r="C53" i="13"/>
  <c r="L41" i="13"/>
  <c r="L46" i="13" s="1"/>
  <c r="K41" i="13"/>
  <c r="K46" i="13" s="1"/>
  <c r="J41" i="13"/>
  <c r="J46" i="13" s="1"/>
  <c r="I41" i="13"/>
  <c r="I46" i="13" s="1"/>
  <c r="H41" i="13"/>
  <c r="H46" i="13" s="1"/>
  <c r="G41" i="13"/>
  <c r="G46" i="13" s="1"/>
  <c r="F41" i="13"/>
  <c r="F46" i="13" s="1"/>
  <c r="E41" i="13"/>
  <c r="E46" i="13" s="1"/>
  <c r="D41" i="13"/>
  <c r="D46" i="13" s="1"/>
  <c r="C41" i="13"/>
  <c r="C46" i="13" s="1"/>
  <c r="M38" i="13"/>
  <c r="M35" i="13"/>
  <c r="L35" i="13"/>
  <c r="K35" i="13"/>
  <c r="J35" i="13"/>
  <c r="I35" i="13"/>
  <c r="H35" i="13"/>
  <c r="G35" i="13"/>
  <c r="F35" i="13"/>
  <c r="E35" i="13"/>
  <c r="D35" i="13"/>
  <c r="C35" i="13"/>
  <c r="M29" i="13"/>
  <c r="L29" i="13"/>
  <c r="K29" i="13"/>
  <c r="J29" i="13"/>
  <c r="I29" i="13"/>
  <c r="H29" i="13"/>
  <c r="G29" i="13"/>
  <c r="F29" i="13"/>
  <c r="E29" i="13"/>
  <c r="D29" i="13"/>
  <c r="C29" i="13"/>
  <c r="M26" i="13"/>
  <c r="L26" i="13"/>
  <c r="K26" i="13"/>
  <c r="J26" i="13"/>
  <c r="I26" i="13"/>
  <c r="H26" i="13"/>
  <c r="G26" i="13"/>
  <c r="F26" i="13"/>
  <c r="E26" i="13"/>
  <c r="D26" i="13"/>
  <c r="C26" i="13"/>
  <c r="K20" i="13"/>
  <c r="J20" i="13"/>
  <c r="I20" i="13"/>
  <c r="H20" i="13"/>
  <c r="G20" i="13"/>
  <c r="F20" i="13"/>
  <c r="E20" i="13"/>
  <c r="D20" i="13"/>
  <c r="C20" i="13"/>
  <c r="L17" i="13"/>
  <c r="K17" i="13"/>
  <c r="J17" i="13"/>
  <c r="I17" i="13"/>
  <c r="H17" i="13"/>
  <c r="G17" i="13"/>
  <c r="F17" i="13"/>
  <c r="E17" i="13"/>
  <c r="D17" i="13"/>
  <c r="C17" i="13"/>
  <c r="M11" i="13"/>
  <c r="L11" i="13"/>
  <c r="K11" i="13"/>
  <c r="J11" i="13"/>
  <c r="I11" i="13"/>
  <c r="H11" i="13"/>
  <c r="G11" i="13"/>
  <c r="F11" i="13"/>
  <c r="E11" i="13"/>
  <c r="D11" i="13"/>
  <c r="C11" i="13"/>
  <c r="M8" i="13"/>
  <c r="M21" i="13" s="1"/>
  <c r="L8" i="13"/>
  <c r="K8" i="13"/>
  <c r="J8" i="13"/>
  <c r="I8" i="13"/>
  <c r="H8" i="13"/>
  <c r="G8" i="13"/>
  <c r="F8" i="13"/>
  <c r="E8" i="13"/>
  <c r="D8" i="13"/>
  <c r="C8" i="13"/>
  <c r="L5" i="13"/>
  <c r="K5" i="13"/>
  <c r="J5" i="13"/>
  <c r="I5" i="13"/>
  <c r="H5" i="13"/>
  <c r="G5" i="13"/>
  <c r="F5" i="13"/>
  <c r="E5" i="13"/>
  <c r="D5" i="13"/>
  <c r="C5" i="13"/>
  <c r="B3" i="13"/>
  <c r="K12" i="13" l="1"/>
  <c r="D96" i="7"/>
  <c r="J100" i="7" s="1"/>
  <c r="J101" i="7" s="1"/>
  <c r="K99" i="7" s="1"/>
  <c r="J106" i="7"/>
  <c r="N106" i="7"/>
  <c r="I82" i="13"/>
  <c r="E14" i="13"/>
  <c r="E15" i="13" s="1"/>
  <c r="C63" i="13"/>
  <c r="M106" i="7"/>
  <c r="L106" i="7"/>
  <c r="L4" i="12"/>
  <c r="E30" i="13"/>
  <c r="K106" i="7"/>
  <c r="J30" i="13"/>
  <c r="M4" i="12"/>
  <c r="G14" i="13"/>
  <c r="G23" i="13" s="1"/>
  <c r="H27" i="13"/>
  <c r="L21" i="13"/>
  <c r="I9" i="13"/>
  <c r="N4" i="12"/>
  <c r="L9" i="13"/>
  <c r="M9" i="13"/>
  <c r="J63" i="13"/>
  <c r="J41" i="5"/>
  <c r="K82" i="13"/>
  <c r="K63" i="13"/>
  <c r="C82" i="13"/>
  <c r="C18" i="13"/>
  <c r="E68" i="13"/>
  <c r="D95" i="7"/>
  <c r="C21" i="13"/>
  <c r="D21" i="13"/>
  <c r="E41" i="5"/>
  <c r="L120" i="3"/>
  <c r="F97" i="3"/>
  <c r="E97" i="3"/>
  <c r="I88" i="3"/>
  <c r="I113" i="3"/>
  <c r="H88" i="3"/>
  <c r="H113" i="3"/>
  <c r="G88" i="3"/>
  <c r="G113" i="3"/>
  <c r="H97" i="3"/>
  <c r="F88" i="3"/>
  <c r="F113" i="3"/>
  <c r="G97" i="3"/>
  <c r="L22" i="11"/>
  <c r="K22" i="11"/>
  <c r="O22" i="11"/>
  <c r="H18" i="13"/>
  <c r="J4" i="12"/>
  <c r="D18" i="13"/>
  <c r="L18" i="13"/>
  <c r="J68" i="13"/>
  <c r="M20" i="11"/>
  <c r="I18" i="13"/>
  <c r="K4" i="12"/>
  <c r="E18" i="13"/>
  <c r="J27" i="13"/>
  <c r="G30" i="13"/>
  <c r="F18" i="13"/>
  <c r="C41" i="5"/>
  <c r="C42" i="5" s="1"/>
  <c r="H30" i="13"/>
  <c r="D82" i="13"/>
  <c r="L82" i="13"/>
  <c r="J82" i="13"/>
  <c r="G18" i="13"/>
  <c r="E21" i="13"/>
  <c r="E63" i="13"/>
  <c r="C68" i="13"/>
  <c r="C70" i="13" s="1"/>
  <c r="C72" i="13" s="1"/>
  <c r="K68" i="13"/>
  <c r="N21" i="11"/>
  <c r="M39" i="13"/>
  <c r="F41" i="5"/>
  <c r="H14" i="13"/>
  <c r="H23" i="13" s="1"/>
  <c r="H32" i="13" s="1"/>
  <c r="G27" i="13"/>
  <c r="L30" i="13"/>
  <c r="F82" i="13"/>
  <c r="K41" i="5"/>
  <c r="K18" i="13"/>
  <c r="M30" i="13"/>
  <c r="G68" i="13"/>
  <c r="J21" i="11"/>
  <c r="G122" i="3"/>
  <c r="F24" i="12"/>
  <c r="J57" i="3" s="1"/>
  <c r="K57" i="3" s="1"/>
  <c r="L57" i="3" s="1"/>
  <c r="M57" i="3" s="1"/>
  <c r="N57" i="3" s="1"/>
  <c r="N6" i="12"/>
  <c r="L6" i="12"/>
  <c r="K6" i="12"/>
  <c r="M6" i="12"/>
  <c r="F29" i="12"/>
  <c r="J51" i="3" s="1"/>
  <c r="K51" i="3" s="1"/>
  <c r="L51" i="3" s="1"/>
  <c r="M51" i="3" s="1"/>
  <c r="N51" i="3" s="1"/>
  <c r="F122" i="3"/>
  <c r="E83" i="3"/>
  <c r="E113" i="3" s="1"/>
  <c r="H123" i="3"/>
  <c r="H122" i="3" s="1"/>
  <c r="I123" i="3"/>
  <c r="E122" i="3"/>
  <c r="J6" i="12"/>
  <c r="G58" i="3"/>
  <c r="G61" i="3" s="1"/>
  <c r="E58" i="3"/>
  <c r="E61" i="3" s="1"/>
  <c r="I58" i="3"/>
  <c r="I61" i="3" s="1"/>
  <c r="F58" i="3"/>
  <c r="F61" i="3" s="1"/>
  <c r="H58" i="3"/>
  <c r="H16" i="3" s="1"/>
  <c r="J92" i="3"/>
  <c r="J120" i="3" s="1"/>
  <c r="J55" i="3" s="1"/>
  <c r="M92" i="3"/>
  <c r="M120" i="3" s="1"/>
  <c r="K92" i="3"/>
  <c r="K120" i="3" s="1"/>
  <c r="J93" i="3"/>
  <c r="J64" i="3" s="1"/>
  <c r="N92" i="3"/>
  <c r="N120" i="3" s="1"/>
  <c r="E23" i="13"/>
  <c r="E32" i="13" s="1"/>
  <c r="J12" i="13"/>
  <c r="M14" i="13"/>
  <c r="M27" i="13"/>
  <c r="F9" i="13"/>
  <c r="D9" i="13"/>
  <c r="E12" i="13"/>
  <c r="M12" i="13"/>
  <c r="H21" i="13"/>
  <c r="F27" i="13"/>
  <c r="F63" i="13"/>
  <c r="F68" i="13"/>
  <c r="F70" i="13" s="1"/>
  <c r="F72" i="13" s="1"/>
  <c r="D68" i="13"/>
  <c r="L68" i="13"/>
  <c r="E27" i="13"/>
  <c r="I30" i="13"/>
  <c r="D41" i="5"/>
  <c r="E9" i="13"/>
  <c r="C14" i="13"/>
  <c r="C23" i="13" s="1"/>
  <c r="C24" i="13" s="1"/>
  <c r="G63" i="13"/>
  <c r="L14" i="13"/>
  <c r="L15" i="13" s="1"/>
  <c r="I21" i="13"/>
  <c r="D14" i="13"/>
  <c r="D15" i="13" s="1"/>
  <c r="J18" i="13"/>
  <c r="M18" i="13"/>
  <c r="J21" i="13"/>
  <c r="C30" i="13"/>
  <c r="K30" i="13"/>
  <c r="H63" i="13"/>
  <c r="H68" i="13"/>
  <c r="G82" i="13"/>
  <c r="E82" i="13"/>
  <c r="I41" i="5"/>
  <c r="J9" i="13"/>
  <c r="I27" i="13"/>
  <c r="I63" i="13"/>
  <c r="I68" i="13"/>
  <c r="H41" i="5"/>
  <c r="G41" i="5"/>
  <c r="K14" i="13"/>
  <c r="D30" i="13"/>
  <c r="H82" i="13"/>
  <c r="D63" i="13"/>
  <c r="L63" i="13"/>
  <c r="C12" i="13"/>
  <c r="K21" i="13"/>
  <c r="D12" i="13"/>
  <c r="I14" i="13"/>
  <c r="K9" i="13"/>
  <c r="J14" i="13"/>
  <c r="F21" i="13"/>
  <c r="G21" i="13"/>
  <c r="C27" i="13"/>
  <c r="F12" i="13"/>
  <c r="D27" i="13"/>
  <c r="L27" i="13"/>
  <c r="F30" i="13"/>
  <c r="K27" i="13"/>
  <c r="H12" i="13"/>
  <c r="G9" i="13"/>
  <c r="I12" i="13"/>
  <c r="F14" i="13"/>
  <c r="G12" i="13"/>
  <c r="H9" i="13"/>
  <c r="L12" i="13"/>
  <c r="K100" i="7" l="1"/>
  <c r="K101" i="7" s="1"/>
  <c r="L99" i="7" s="1"/>
  <c r="D70" i="13"/>
  <c r="D72" i="13" s="1"/>
  <c r="K70" i="13"/>
  <c r="K72" i="13" s="1"/>
  <c r="H70" i="13"/>
  <c r="H72" i="13" s="1"/>
  <c r="L23" i="13"/>
  <c r="J70" i="13"/>
  <c r="J72" i="13" s="1"/>
  <c r="E70" i="13"/>
  <c r="E72" i="13" s="1"/>
  <c r="G15" i="13"/>
  <c r="E24" i="13"/>
  <c r="K121" i="3"/>
  <c r="L121" i="3"/>
  <c r="M121" i="3"/>
  <c r="N121" i="3"/>
  <c r="J121" i="3"/>
  <c r="J56" i="3" s="1"/>
  <c r="J58" i="3" s="1"/>
  <c r="J91" i="3"/>
  <c r="K91" i="3" s="1"/>
  <c r="L91" i="3" s="1"/>
  <c r="M91" i="3" s="1"/>
  <c r="N91" i="3" s="1"/>
  <c r="H24" i="13"/>
  <c r="L70" i="13"/>
  <c r="L72" i="13" s="1"/>
  <c r="D23" i="13"/>
  <c r="D32" i="13" s="1"/>
  <c r="H15" i="13"/>
  <c r="G70" i="13"/>
  <c r="G72" i="13" s="1"/>
  <c r="O30" i="11"/>
  <c r="K30" i="11"/>
  <c r="L30" i="11"/>
  <c r="L23" i="11"/>
  <c r="L32" i="11"/>
  <c r="N22" i="11"/>
  <c r="M22" i="11"/>
  <c r="M23" i="11" s="1"/>
  <c r="J22" i="11"/>
  <c r="J30" i="11" s="1"/>
  <c r="I70" i="13"/>
  <c r="I72" i="13" s="1"/>
  <c r="D42" i="5"/>
  <c r="E42" i="5" s="1"/>
  <c r="F42" i="5" s="1"/>
  <c r="G42" i="5" s="1"/>
  <c r="H42" i="5" s="1"/>
  <c r="I42" i="5" s="1"/>
  <c r="J42" i="5" s="1"/>
  <c r="K42" i="5" s="1"/>
  <c r="C32" i="13"/>
  <c r="C36" i="13" s="1"/>
  <c r="F11" i="12"/>
  <c r="C15" i="13"/>
  <c r="E88" i="3"/>
  <c r="K55" i="3"/>
  <c r="H61" i="3"/>
  <c r="I16" i="3"/>
  <c r="K93" i="3"/>
  <c r="L93" i="3" s="1"/>
  <c r="M93" i="3" s="1"/>
  <c r="N93" i="3" s="1"/>
  <c r="E16" i="3"/>
  <c r="F16" i="3"/>
  <c r="G16" i="3"/>
  <c r="M23" i="13"/>
  <c r="M15" i="13"/>
  <c r="K15" i="13"/>
  <c r="K23" i="13"/>
  <c r="J15" i="13"/>
  <c r="J23" i="13"/>
  <c r="F23" i="13"/>
  <c r="F15" i="13"/>
  <c r="I23" i="13"/>
  <c r="I15" i="13"/>
  <c r="H36" i="13"/>
  <c r="H38" i="13"/>
  <c r="H33" i="13"/>
  <c r="E36" i="13"/>
  <c r="E38" i="13"/>
  <c r="E33" i="13"/>
  <c r="L24" i="13"/>
  <c r="L32" i="13"/>
  <c r="G32" i="13"/>
  <c r="G24" i="13"/>
  <c r="L100" i="7" l="1"/>
  <c r="M100" i="7" s="1"/>
  <c r="D24" i="13"/>
  <c r="C33" i="13"/>
  <c r="K43" i="5"/>
  <c r="F12" i="12" s="1"/>
  <c r="F19" i="12" s="1"/>
  <c r="K23" i="11"/>
  <c r="K56" i="3"/>
  <c r="L56" i="3" s="1"/>
  <c r="N30" i="11"/>
  <c r="N23" i="11"/>
  <c r="O23" i="11"/>
  <c r="K32" i="11"/>
  <c r="M30" i="11"/>
  <c r="M32" i="11" s="1"/>
  <c r="O32" i="11"/>
  <c r="C38" i="13"/>
  <c r="C43" i="13" s="1"/>
  <c r="L55" i="3"/>
  <c r="L101" i="7"/>
  <c r="M99" i="7" s="1"/>
  <c r="K24" i="13"/>
  <c r="K32" i="13"/>
  <c r="F18" i="12"/>
  <c r="J14" i="3" s="1"/>
  <c r="M24" i="13"/>
  <c r="M32" i="13"/>
  <c r="F24" i="13"/>
  <c r="F32" i="13"/>
  <c r="J24" i="13"/>
  <c r="J32" i="13"/>
  <c r="L33" i="13"/>
  <c r="L38" i="13"/>
  <c r="L36" i="13"/>
  <c r="H39" i="13"/>
  <c r="H43" i="13"/>
  <c r="E39" i="13"/>
  <c r="E43" i="13"/>
  <c r="I24" i="13"/>
  <c r="I32" i="13"/>
  <c r="D33" i="13"/>
  <c r="D38" i="13"/>
  <c r="D36" i="13"/>
  <c r="G38" i="13"/>
  <c r="G33" i="13"/>
  <c r="G36" i="13"/>
  <c r="M56" i="3" l="1"/>
  <c r="N56" i="3" s="1"/>
  <c r="C39" i="13"/>
  <c r="K58" i="3"/>
  <c r="N32" i="11"/>
  <c r="M55" i="3"/>
  <c r="L58" i="3"/>
  <c r="N100" i="7"/>
  <c r="M101" i="7"/>
  <c r="N99" i="7" s="1"/>
  <c r="K14" i="3"/>
  <c r="J31" i="3"/>
  <c r="K36" i="13"/>
  <c r="K33" i="13"/>
  <c r="K38" i="13"/>
  <c r="M36" i="13"/>
  <c r="M33" i="13"/>
  <c r="C47" i="13"/>
  <c r="C50" i="13" s="1"/>
  <c r="C49" i="13" s="1"/>
  <c r="F36" i="13"/>
  <c r="F33" i="13"/>
  <c r="F38" i="13"/>
  <c r="I38" i="13"/>
  <c r="I33" i="13"/>
  <c r="I36" i="13"/>
  <c r="H44" i="13"/>
  <c r="H47" i="13"/>
  <c r="H50" i="13" s="1"/>
  <c r="H49" i="13" s="1"/>
  <c r="D39" i="13"/>
  <c r="D43" i="13"/>
  <c r="E44" i="13"/>
  <c r="E47" i="13"/>
  <c r="E50" i="13" s="1"/>
  <c r="E49" i="13" s="1"/>
  <c r="L39" i="13"/>
  <c r="L43" i="13"/>
  <c r="G39" i="13"/>
  <c r="G43" i="13"/>
  <c r="J33" i="13"/>
  <c r="J36" i="13"/>
  <c r="J38" i="13"/>
  <c r="N55" i="3" l="1"/>
  <c r="N58" i="3" s="1"/>
  <c r="M58" i="3"/>
  <c r="N101" i="7"/>
  <c r="K43" i="13"/>
  <c r="K47" i="13" s="1"/>
  <c r="K50" i="13" s="1"/>
  <c r="K49" i="13" s="1"/>
  <c r="K39" i="13"/>
  <c r="K31" i="3"/>
  <c r="L14" i="3"/>
  <c r="J39" i="13"/>
  <c r="J43" i="13"/>
  <c r="L47" i="13"/>
  <c r="L50" i="13" s="1"/>
  <c r="L49" i="13" s="1"/>
  <c r="I43" i="13"/>
  <c r="I39" i="13"/>
  <c r="D44" i="13"/>
  <c r="D47" i="13"/>
  <c r="D50" i="13" s="1"/>
  <c r="D49" i="13" s="1"/>
  <c r="F39" i="13"/>
  <c r="F43" i="13"/>
  <c r="G44" i="13"/>
  <c r="G47" i="13"/>
  <c r="G50" i="13" s="1"/>
  <c r="G49" i="13" s="1"/>
  <c r="L44" i="13" l="1"/>
  <c r="M14" i="3"/>
  <c r="L31" i="3"/>
  <c r="I44" i="13"/>
  <c r="I47" i="13"/>
  <c r="I50" i="13" s="1"/>
  <c r="I49" i="13" s="1"/>
  <c r="F44" i="13"/>
  <c r="F47" i="13"/>
  <c r="F50" i="13" s="1"/>
  <c r="F49" i="13" s="1"/>
  <c r="J44" i="13"/>
  <c r="J47" i="13"/>
  <c r="J50" i="13" s="1"/>
  <c r="J49" i="13" s="1"/>
  <c r="K44" i="13"/>
  <c r="M31" i="3" l="1"/>
  <c r="N14" i="3"/>
  <c r="N31" i="3" s="1"/>
  <c r="F28" i="3" l="1"/>
  <c r="G28" i="3"/>
  <c r="H28" i="3"/>
  <c r="I28" i="3"/>
  <c r="E28" i="3"/>
  <c r="D86" i="7"/>
  <c r="K88" i="7"/>
  <c r="K89" i="7" s="1"/>
  <c r="L88" i="7"/>
  <c r="L89" i="7" s="1"/>
  <c r="M88" i="7"/>
  <c r="M89" i="7" s="1"/>
  <c r="N88" i="7"/>
  <c r="N89" i="7" s="1"/>
  <c r="J88" i="7"/>
  <c r="J89" i="7" s="1"/>
  <c r="D82" i="7"/>
  <c r="G31" i="11"/>
  <c r="F31" i="11"/>
  <c r="E31" i="11"/>
  <c r="D31" i="11"/>
  <c r="C31" i="11"/>
  <c r="G10" i="3" l="1"/>
  <c r="K20" i="3"/>
  <c r="L20" i="3" s="1"/>
  <c r="M20" i="3" s="1"/>
  <c r="N20" i="3" s="1"/>
  <c r="D87" i="7"/>
  <c r="D89" i="7" s="1"/>
  <c r="D83" i="7"/>
  <c r="J16" i="3" l="1"/>
  <c r="K16" i="3" s="1"/>
  <c r="L16" i="3" s="1"/>
  <c r="M16" i="3" s="1"/>
  <c r="N16" i="3" s="1"/>
  <c r="D90" i="7"/>
  <c r="D92" i="7" s="1"/>
  <c r="J125" i="3" s="1"/>
  <c r="K125" i="3" s="1"/>
  <c r="L125" i="3" s="1"/>
  <c r="M125" i="3" s="1"/>
  <c r="N125" i="3" s="1"/>
  <c r="J70" i="7"/>
  <c r="K68" i="7"/>
  <c r="L68" i="7"/>
  <c r="M68" i="7"/>
  <c r="N68" i="7"/>
  <c r="J68" i="7"/>
  <c r="K70" i="7" l="1"/>
  <c r="K75" i="7" s="1"/>
  <c r="J98" i="7"/>
  <c r="K98" i="7" s="1"/>
  <c r="L98" i="7" s="1"/>
  <c r="M98" i="7" s="1"/>
  <c r="N98" i="7" s="1"/>
  <c r="D51" i="7"/>
  <c r="J75" i="7"/>
  <c r="L70" i="7" l="1"/>
  <c r="M70" i="7" s="1"/>
  <c r="L75" i="7" l="1"/>
  <c r="N70" i="7"/>
  <c r="N75" i="7" s="1"/>
  <c r="M75" i="7"/>
  <c r="K64" i="7" l="1"/>
  <c r="L64" i="7"/>
  <c r="M64" i="7"/>
  <c r="J64" i="7"/>
  <c r="K62" i="7"/>
  <c r="L62" i="7"/>
  <c r="M62" i="7"/>
  <c r="N62" i="7"/>
  <c r="J62" i="7"/>
  <c r="L65" i="7" l="1"/>
  <c r="G50" i="3"/>
  <c r="G52" i="3" s="1"/>
  <c r="J65" i="7"/>
  <c r="E112" i="3"/>
  <c r="E50" i="3"/>
  <c r="E52" i="3" s="1"/>
  <c r="N65" i="7"/>
  <c r="I50" i="3"/>
  <c r="I52" i="3" s="1"/>
  <c r="M65" i="7"/>
  <c r="H50" i="3"/>
  <c r="H52" i="3" s="1"/>
  <c r="K65" i="7"/>
  <c r="F50" i="3"/>
  <c r="F52" i="3" s="1"/>
  <c r="D49" i="7"/>
  <c r="D38" i="7"/>
  <c r="D37" i="7"/>
  <c r="D40" i="5"/>
  <c r="E40" i="5"/>
  <c r="F40" i="5"/>
  <c r="G40" i="5"/>
  <c r="H40" i="5"/>
  <c r="I40" i="5"/>
  <c r="J40" i="5"/>
  <c r="K40" i="5"/>
  <c r="C40" i="5"/>
  <c r="D25" i="7"/>
  <c r="D21" i="7"/>
  <c r="D28" i="7" s="1"/>
  <c r="K18" i="6"/>
  <c r="K21" i="6" s="1"/>
  <c r="I19" i="3" s="1"/>
  <c r="J18" i="6"/>
  <c r="J21" i="6" s="1"/>
  <c r="H19" i="3" s="1"/>
  <c r="I18" i="6"/>
  <c r="I21" i="6" s="1"/>
  <c r="G19" i="3" s="1"/>
  <c r="H18" i="6"/>
  <c r="H21" i="6" s="1"/>
  <c r="F19" i="3" s="1"/>
  <c r="G18" i="6"/>
  <c r="G21" i="6" s="1"/>
  <c r="F18" i="6"/>
  <c r="F21" i="6" s="1"/>
  <c r="E18" i="6"/>
  <c r="E21" i="6" s="1"/>
  <c r="D18" i="6"/>
  <c r="D21" i="6" s="1"/>
  <c r="C18" i="6"/>
  <c r="C21" i="6" s="1"/>
  <c r="B18" i="6"/>
  <c r="B21" i="6" s="1"/>
  <c r="K17" i="6"/>
  <c r="K20" i="6" s="1"/>
  <c r="J17" i="6"/>
  <c r="J20" i="6" s="1"/>
  <c r="I17" i="6"/>
  <c r="I20" i="6" s="1"/>
  <c r="H17" i="6"/>
  <c r="H20" i="6" s="1"/>
  <c r="G17" i="6"/>
  <c r="G20" i="6" s="1"/>
  <c r="F17" i="6"/>
  <c r="F20" i="6" s="1"/>
  <c r="E17" i="6"/>
  <c r="E20" i="6" s="1"/>
  <c r="D17" i="6"/>
  <c r="D20" i="6" s="1"/>
  <c r="C17" i="6"/>
  <c r="C20" i="6" s="1"/>
  <c r="B17" i="6"/>
  <c r="B20" i="6" s="1"/>
  <c r="K14" i="6"/>
  <c r="J14" i="6"/>
  <c r="I14" i="6"/>
  <c r="H14" i="6"/>
  <c r="G14" i="6"/>
  <c r="F14" i="6"/>
  <c r="E14" i="6"/>
  <c r="D14" i="6"/>
  <c r="C14" i="6"/>
  <c r="B14" i="6"/>
  <c r="K13" i="6"/>
  <c r="J13" i="6"/>
  <c r="I13" i="6"/>
  <c r="H13" i="6"/>
  <c r="G13" i="6"/>
  <c r="F13" i="6"/>
  <c r="E13" i="6"/>
  <c r="D13" i="6"/>
  <c r="C13" i="6"/>
  <c r="B13" i="6"/>
  <c r="K12" i="6"/>
  <c r="J12" i="6"/>
  <c r="I12" i="6"/>
  <c r="H12" i="6"/>
  <c r="G12" i="6"/>
  <c r="F12" i="6"/>
  <c r="E12" i="6"/>
  <c r="D12" i="6"/>
  <c r="C12" i="6"/>
  <c r="B12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K5" i="6"/>
  <c r="J5" i="6"/>
  <c r="I5" i="6"/>
  <c r="H5" i="6"/>
  <c r="G5" i="6"/>
  <c r="F5" i="6"/>
  <c r="E5" i="6"/>
  <c r="D5" i="6"/>
  <c r="C5" i="6"/>
  <c r="B5" i="6"/>
  <c r="K4" i="6"/>
  <c r="J4" i="6"/>
  <c r="I4" i="6"/>
  <c r="H4" i="6"/>
  <c r="G4" i="6"/>
  <c r="F4" i="6"/>
  <c r="E4" i="6"/>
  <c r="D4" i="6"/>
  <c r="C4" i="6"/>
  <c r="B4" i="6"/>
  <c r="K3" i="6"/>
  <c r="J3" i="6"/>
  <c r="I3" i="6"/>
  <c r="H3" i="6"/>
  <c r="G3" i="6"/>
  <c r="F3" i="6"/>
  <c r="E3" i="6"/>
  <c r="D3" i="6"/>
  <c r="C3" i="6"/>
  <c r="B3" i="6"/>
  <c r="E1" i="6"/>
  <c r="A1" i="6"/>
  <c r="K28" i="5"/>
  <c r="J28" i="5"/>
  <c r="I28" i="5"/>
  <c r="H28" i="5"/>
  <c r="G28" i="5"/>
  <c r="F28" i="5"/>
  <c r="E28" i="5"/>
  <c r="D28" i="5"/>
  <c r="C28" i="5"/>
  <c r="B28" i="5"/>
  <c r="K18" i="5"/>
  <c r="J18" i="5"/>
  <c r="I18" i="5"/>
  <c r="H18" i="5"/>
  <c r="G18" i="5"/>
  <c r="F18" i="5"/>
  <c r="E18" i="5"/>
  <c r="D18" i="5"/>
  <c r="C18" i="5"/>
  <c r="B18" i="5"/>
  <c r="L15" i="5"/>
  <c r="K15" i="5"/>
  <c r="J15" i="5"/>
  <c r="I15" i="5"/>
  <c r="H15" i="5"/>
  <c r="G15" i="5"/>
  <c r="F15" i="5"/>
  <c r="E15" i="5"/>
  <c r="D15" i="5"/>
  <c r="C15" i="5"/>
  <c r="B15" i="5"/>
  <c r="G13" i="5"/>
  <c r="L12" i="5"/>
  <c r="L13" i="5" s="1"/>
  <c r="K12" i="5"/>
  <c r="J12" i="5"/>
  <c r="I12" i="5"/>
  <c r="H12" i="5"/>
  <c r="H13" i="5" s="1"/>
  <c r="G12" i="5"/>
  <c r="F12" i="5"/>
  <c r="E12" i="5"/>
  <c r="D12" i="5"/>
  <c r="C12" i="5"/>
  <c r="B12" i="5"/>
  <c r="L11" i="5"/>
  <c r="K11" i="5"/>
  <c r="J11" i="5"/>
  <c r="I11" i="5"/>
  <c r="H11" i="5"/>
  <c r="G11" i="5"/>
  <c r="F11" i="5"/>
  <c r="E11" i="5"/>
  <c r="D11" i="5"/>
  <c r="C11" i="5"/>
  <c r="B11" i="5"/>
  <c r="L10" i="5"/>
  <c r="K10" i="5"/>
  <c r="J10" i="5"/>
  <c r="I10" i="5"/>
  <c r="H10" i="5"/>
  <c r="G10" i="5"/>
  <c r="F10" i="5"/>
  <c r="E10" i="5"/>
  <c r="D10" i="5"/>
  <c r="C10" i="5"/>
  <c r="B10" i="5"/>
  <c r="L9" i="5"/>
  <c r="N9" i="5" s="1"/>
  <c r="K9" i="5"/>
  <c r="J9" i="5"/>
  <c r="I9" i="5"/>
  <c r="H9" i="5"/>
  <c r="G9" i="5"/>
  <c r="F9" i="5"/>
  <c r="E9" i="5"/>
  <c r="D9" i="5"/>
  <c r="C9" i="5"/>
  <c r="B9" i="5"/>
  <c r="L8" i="5"/>
  <c r="N8" i="5" s="1"/>
  <c r="K8" i="5"/>
  <c r="J8" i="5"/>
  <c r="I8" i="5"/>
  <c r="H8" i="5"/>
  <c r="G8" i="5"/>
  <c r="F8" i="5"/>
  <c r="E8" i="5"/>
  <c r="D8" i="5"/>
  <c r="C8" i="5"/>
  <c r="B8" i="5"/>
  <c r="L7" i="5"/>
  <c r="K7" i="5"/>
  <c r="J7" i="5"/>
  <c r="I7" i="5"/>
  <c r="H7" i="5"/>
  <c r="G7" i="5"/>
  <c r="F7" i="5"/>
  <c r="E7" i="5"/>
  <c r="D7" i="5"/>
  <c r="C7" i="5"/>
  <c r="B7" i="5"/>
  <c r="L6" i="5"/>
  <c r="L5" i="5"/>
  <c r="K5" i="5"/>
  <c r="J5" i="5"/>
  <c r="I5" i="5"/>
  <c r="H5" i="5"/>
  <c r="G5" i="5"/>
  <c r="F5" i="5"/>
  <c r="E5" i="5"/>
  <c r="D5" i="5"/>
  <c r="C5" i="5"/>
  <c r="B5" i="5"/>
  <c r="L4" i="5"/>
  <c r="K4" i="5"/>
  <c r="J4" i="5"/>
  <c r="I4" i="5"/>
  <c r="H4" i="5"/>
  <c r="G4" i="5"/>
  <c r="F4" i="5"/>
  <c r="E4" i="5"/>
  <c r="D4" i="5"/>
  <c r="C4" i="5"/>
  <c r="B4" i="5"/>
  <c r="K3" i="5"/>
  <c r="J3" i="5"/>
  <c r="I3" i="5"/>
  <c r="H3" i="5"/>
  <c r="G3" i="5"/>
  <c r="F3" i="5"/>
  <c r="E3" i="5"/>
  <c r="D3" i="5"/>
  <c r="C3" i="5"/>
  <c r="B3" i="5"/>
  <c r="H1" i="5"/>
  <c r="A1" i="5"/>
  <c r="K99" i="4"/>
  <c r="J99" i="4"/>
  <c r="I99" i="4"/>
  <c r="H99" i="4"/>
  <c r="G99" i="4"/>
  <c r="F99" i="4"/>
  <c r="E99" i="4"/>
  <c r="D99" i="4"/>
  <c r="C99" i="4"/>
  <c r="B99" i="4"/>
  <c r="K97" i="4"/>
  <c r="J97" i="4"/>
  <c r="I97" i="4"/>
  <c r="H97" i="4"/>
  <c r="G97" i="4"/>
  <c r="F97" i="4"/>
  <c r="E97" i="4"/>
  <c r="D97" i="4"/>
  <c r="C97" i="4"/>
  <c r="B97" i="4"/>
  <c r="K96" i="4"/>
  <c r="J96" i="4"/>
  <c r="I96" i="4"/>
  <c r="H96" i="4"/>
  <c r="G96" i="4"/>
  <c r="F96" i="4"/>
  <c r="E96" i="4"/>
  <c r="D96" i="4"/>
  <c r="C96" i="4"/>
  <c r="B96" i="4"/>
  <c r="K95" i="4"/>
  <c r="J95" i="4"/>
  <c r="I95" i="4"/>
  <c r="H95" i="4"/>
  <c r="H98" i="4" s="1"/>
  <c r="G95" i="4"/>
  <c r="F95" i="4"/>
  <c r="E95" i="4"/>
  <c r="D95" i="4"/>
  <c r="C95" i="4"/>
  <c r="B95" i="4"/>
  <c r="B6" i="4"/>
  <c r="E1" i="4"/>
  <c r="I29" i="5" l="1"/>
  <c r="D98" i="4"/>
  <c r="D34" i="7"/>
  <c r="I98" i="4"/>
  <c r="J98" i="4"/>
  <c r="C98" i="4"/>
  <c r="G98" i="4"/>
  <c r="I24" i="6"/>
  <c r="E98" i="4"/>
  <c r="D50" i="7"/>
  <c r="F98" i="4"/>
  <c r="H27" i="5"/>
  <c r="B98" i="4"/>
  <c r="K98" i="4"/>
  <c r="C29" i="5"/>
  <c r="E29" i="5"/>
  <c r="E38" i="5"/>
  <c r="F29" i="5"/>
  <c r="H16" i="6"/>
  <c r="F27" i="5"/>
  <c r="H34" i="5"/>
  <c r="G29" i="5"/>
  <c r="I23" i="5"/>
  <c r="C24" i="6"/>
  <c r="K24" i="6"/>
  <c r="E6" i="5"/>
  <c r="E19" i="5" s="1"/>
  <c r="L19" i="5"/>
  <c r="L24" i="5" s="1"/>
  <c r="I38" i="5"/>
  <c r="G14" i="5"/>
  <c r="B38" i="5"/>
  <c r="H23" i="5"/>
  <c r="L14" i="5"/>
  <c r="L25" i="5" s="1"/>
  <c r="K38" i="5"/>
  <c r="G16" i="6"/>
  <c r="E16" i="6"/>
  <c r="H14" i="5"/>
  <c r="G18" i="3"/>
  <c r="L3" i="12"/>
  <c r="J19" i="3"/>
  <c r="K19" i="3" s="1"/>
  <c r="L19" i="3" s="1"/>
  <c r="M19" i="3" s="1"/>
  <c r="N19" i="3" s="1"/>
  <c r="E19" i="3"/>
  <c r="F5" i="12"/>
  <c r="C32" i="5"/>
  <c r="K32" i="5"/>
  <c r="K29" i="5"/>
  <c r="F24" i="6"/>
  <c r="F18" i="3"/>
  <c r="K3" i="12"/>
  <c r="E23" i="6"/>
  <c r="G38" i="5"/>
  <c r="D32" i="5"/>
  <c r="G24" i="6"/>
  <c r="F16" i="6"/>
  <c r="F38" i="5"/>
  <c r="F6" i="5"/>
  <c r="F19" i="5" s="1"/>
  <c r="M8" i="5"/>
  <c r="M11" i="5"/>
  <c r="E32" i="5"/>
  <c r="D13" i="5"/>
  <c r="D33" i="5" s="1"/>
  <c r="H24" i="6"/>
  <c r="H18" i="3"/>
  <c r="M3" i="12"/>
  <c r="B6" i="5"/>
  <c r="B30" i="5" s="1"/>
  <c r="J27" i="5"/>
  <c r="F32" i="5"/>
  <c r="E13" i="5"/>
  <c r="E33" i="5" s="1"/>
  <c r="I18" i="3"/>
  <c r="N3" i="12"/>
  <c r="D38" i="5"/>
  <c r="C27" i="5"/>
  <c r="J23" i="5"/>
  <c r="G32" i="5"/>
  <c r="F13" i="5"/>
  <c r="F33" i="5" s="1"/>
  <c r="G35" i="5"/>
  <c r="J29" i="5"/>
  <c r="J24" i="6"/>
  <c r="I16" i="6"/>
  <c r="C38" i="5"/>
  <c r="H35" i="5"/>
  <c r="B16" i="6"/>
  <c r="J16" i="6"/>
  <c r="J38" i="5"/>
  <c r="E27" i="5"/>
  <c r="N11" i="5"/>
  <c r="I32" i="5"/>
  <c r="C23" i="6"/>
  <c r="K23" i="6"/>
  <c r="C16" i="6"/>
  <c r="K16" i="6"/>
  <c r="M9" i="5"/>
  <c r="B32" i="5"/>
  <c r="J32" i="5"/>
  <c r="D23" i="6"/>
  <c r="D16" i="6"/>
  <c r="E18" i="3"/>
  <c r="J3" i="12"/>
  <c r="H38" i="5"/>
  <c r="J72" i="7"/>
  <c r="J15" i="3"/>
  <c r="K15" i="3" s="1"/>
  <c r="L15" i="3" s="1"/>
  <c r="M15" i="3" s="1"/>
  <c r="N15" i="3" s="1"/>
  <c r="D29" i="7"/>
  <c r="D41" i="7"/>
  <c r="D40" i="7"/>
  <c r="J12" i="3"/>
  <c r="K12" i="3" s="1"/>
  <c r="L12" i="3" s="1"/>
  <c r="M12" i="3" s="1"/>
  <c r="N12" i="3" s="1"/>
  <c r="D24" i="6"/>
  <c r="F23" i="6"/>
  <c r="E24" i="6"/>
  <c r="G23" i="6"/>
  <c r="H23" i="6"/>
  <c r="I23" i="6"/>
  <c r="B23" i="6"/>
  <c r="J23" i="6"/>
  <c r="H6" i="5"/>
  <c r="J6" i="5"/>
  <c r="I13" i="5"/>
  <c r="K23" i="5"/>
  <c r="I27" i="5"/>
  <c r="H32" i="5"/>
  <c r="C6" i="5"/>
  <c r="K6" i="5"/>
  <c r="B13" i="5"/>
  <c r="B33" i="5" s="1"/>
  <c r="J13" i="5"/>
  <c r="J14" i="5" s="1"/>
  <c r="L23" i="5"/>
  <c r="E30" i="5"/>
  <c r="G33" i="5"/>
  <c r="D6" i="5"/>
  <c r="C13" i="5"/>
  <c r="C14" i="5" s="1"/>
  <c r="K13" i="5"/>
  <c r="K27" i="5"/>
  <c r="H29" i="5"/>
  <c r="H33" i="5"/>
  <c r="D27" i="5"/>
  <c r="E31" i="5"/>
  <c r="G27" i="5"/>
  <c r="D29" i="5"/>
  <c r="G6" i="5"/>
  <c r="I6" i="5"/>
  <c r="D14" i="5" l="1"/>
  <c r="H36" i="5"/>
  <c r="D35" i="5"/>
  <c r="F4" i="12"/>
  <c r="J18" i="3" s="1"/>
  <c r="K18" i="3" s="1"/>
  <c r="L18" i="3" s="1"/>
  <c r="M18" i="3" s="1"/>
  <c r="N18" i="3" s="1"/>
  <c r="E14" i="5"/>
  <c r="E34" i="5"/>
  <c r="F31" i="5"/>
  <c r="B31" i="5"/>
  <c r="F30" i="5"/>
  <c r="F34" i="5"/>
  <c r="D13" i="7"/>
  <c r="G34" i="5"/>
  <c r="B19" i="5"/>
  <c r="M23" i="5"/>
  <c r="M4" i="5" s="1"/>
  <c r="F35" i="5"/>
  <c r="G36" i="5" s="1"/>
  <c r="E35" i="5"/>
  <c r="E36" i="5" s="1"/>
  <c r="F14" i="5"/>
  <c r="I31" i="5"/>
  <c r="I30" i="5"/>
  <c r="I19" i="5"/>
  <c r="D19" i="5"/>
  <c r="D31" i="5"/>
  <c r="D30" i="5"/>
  <c r="K30" i="5"/>
  <c r="K19" i="5"/>
  <c r="K31" i="5"/>
  <c r="I14" i="5"/>
  <c r="I34" i="5"/>
  <c r="I33" i="5"/>
  <c r="J35" i="5"/>
  <c r="B14" i="5"/>
  <c r="C30" i="5"/>
  <c r="C19" i="5"/>
  <c r="C31" i="5"/>
  <c r="J30" i="5"/>
  <c r="J19" i="5"/>
  <c r="J31" i="5"/>
  <c r="B35" i="5"/>
  <c r="I35" i="5"/>
  <c r="I36" i="5" s="1"/>
  <c r="C34" i="5"/>
  <c r="C33" i="5"/>
  <c r="C35" i="5"/>
  <c r="D36" i="5" s="1"/>
  <c r="G19" i="5"/>
  <c r="G31" i="5"/>
  <c r="G30" i="5"/>
  <c r="H31" i="5"/>
  <c r="H30" i="5"/>
  <c r="H19" i="5"/>
  <c r="N23" i="5"/>
  <c r="N4" i="5" s="1"/>
  <c r="K34" i="5"/>
  <c r="K33" i="5"/>
  <c r="K35" i="5"/>
  <c r="J34" i="5"/>
  <c r="J33" i="5"/>
  <c r="D34" i="5"/>
  <c r="K14" i="5"/>
  <c r="K24" i="5" l="1"/>
  <c r="M24" i="5" s="1"/>
  <c r="M6" i="5" s="1"/>
  <c r="K36" i="5"/>
  <c r="H25" i="5"/>
  <c r="F36" i="5"/>
  <c r="D16" i="7"/>
  <c r="J11" i="3" s="1"/>
  <c r="K11" i="3" s="1"/>
  <c r="L11" i="3" s="1"/>
  <c r="M11" i="3" s="1"/>
  <c r="N11" i="3" s="1"/>
  <c r="D17" i="7"/>
  <c r="J36" i="5"/>
  <c r="J24" i="5"/>
  <c r="I24" i="5"/>
  <c r="K25" i="5"/>
  <c r="M25" i="5" s="1"/>
  <c r="M14" i="5" s="1"/>
  <c r="J25" i="5"/>
  <c r="I25" i="5"/>
  <c r="C36" i="5"/>
  <c r="H24" i="5"/>
  <c r="M10" i="5" l="1"/>
  <c r="M12" i="5" s="1"/>
  <c r="M13" i="5" s="1"/>
  <c r="M15" i="5" s="1"/>
  <c r="M5" i="5"/>
  <c r="N25" i="5"/>
  <c r="N14" i="5" s="1"/>
  <c r="N24" i="5"/>
  <c r="N6" i="5" s="1"/>
  <c r="N10" i="5" l="1"/>
  <c r="N12" i="5" s="1"/>
  <c r="N13" i="5" s="1"/>
  <c r="N15" i="5" s="1"/>
  <c r="N5" i="5"/>
  <c r="D20" i="1" l="1"/>
  <c r="D25" i="1"/>
  <c r="D24" i="1"/>
  <c r="D23" i="1"/>
  <c r="I129" i="3"/>
  <c r="H129" i="3"/>
  <c r="G129" i="3"/>
  <c r="F129" i="3"/>
  <c r="E129" i="3"/>
  <c r="I125" i="3"/>
  <c r="H125" i="3"/>
  <c r="G125" i="3"/>
  <c r="F125" i="3"/>
  <c r="E125" i="3"/>
  <c r="I114" i="3"/>
  <c r="H114" i="3"/>
  <c r="G114" i="3"/>
  <c r="F114" i="3"/>
  <c r="E114" i="3"/>
  <c r="E115" i="3" s="1"/>
  <c r="H134" i="3"/>
  <c r="G134" i="3"/>
  <c r="F134" i="3"/>
  <c r="E134" i="3"/>
  <c r="I133" i="3"/>
  <c r="H133" i="3"/>
  <c r="G133" i="3"/>
  <c r="F133" i="3"/>
  <c r="E133" i="3"/>
  <c r="I66" i="3"/>
  <c r="H66" i="3"/>
  <c r="G66" i="3"/>
  <c r="F66" i="3"/>
  <c r="E66" i="3"/>
  <c r="I38" i="3"/>
  <c r="H38" i="3"/>
  <c r="G38" i="3"/>
  <c r="F38" i="3"/>
  <c r="E38" i="3"/>
  <c r="I30" i="3"/>
  <c r="H30" i="3"/>
  <c r="G30" i="3"/>
  <c r="F30" i="3"/>
  <c r="E30" i="3"/>
  <c r="E130" i="3" s="1"/>
  <c r="I23" i="3"/>
  <c r="H23" i="3"/>
  <c r="G23" i="3"/>
  <c r="F23" i="3"/>
  <c r="E23" i="3"/>
  <c r="I22" i="3"/>
  <c r="H22" i="3"/>
  <c r="F22" i="3"/>
  <c r="E22" i="3"/>
  <c r="I15" i="3"/>
  <c r="H15" i="3"/>
  <c r="G15" i="3"/>
  <c r="F15" i="3"/>
  <c r="E15" i="3"/>
  <c r="I13" i="3"/>
  <c r="J13" i="3" s="1"/>
  <c r="K13" i="3" s="1"/>
  <c r="L13" i="3" s="1"/>
  <c r="M13" i="3" s="1"/>
  <c r="N13" i="3" s="1"/>
  <c r="N35" i="3" s="1"/>
  <c r="H13" i="3"/>
  <c r="G13" i="3"/>
  <c r="F13" i="3"/>
  <c r="E13" i="3"/>
  <c r="I12" i="3"/>
  <c r="H12" i="3"/>
  <c r="G12" i="3"/>
  <c r="F12" i="3"/>
  <c r="E12" i="3"/>
  <c r="I11" i="3"/>
  <c r="H11" i="3"/>
  <c r="G11" i="3"/>
  <c r="F11" i="3"/>
  <c r="E11" i="3"/>
  <c r="I10" i="3"/>
  <c r="H10" i="3"/>
  <c r="F10" i="3"/>
  <c r="D31" i="1" l="1"/>
  <c r="J10" i="3" s="1"/>
  <c r="D32" i="1"/>
  <c r="J22" i="3"/>
  <c r="K22" i="3"/>
  <c r="L22" i="3"/>
  <c r="M22" i="3"/>
  <c r="N22" i="3"/>
  <c r="F39" i="3"/>
  <c r="F17" i="3" s="1"/>
  <c r="E39" i="3"/>
  <c r="G39" i="3"/>
  <c r="G17" i="3" s="1"/>
  <c r="H39" i="3"/>
  <c r="H17" i="3" s="1"/>
  <c r="F67" i="3"/>
  <c r="I39" i="3"/>
  <c r="I17" i="3" s="1"/>
  <c r="E67" i="3"/>
  <c r="G67" i="3"/>
  <c r="F112" i="3"/>
  <c r="F115" i="3" s="1"/>
  <c r="G112" i="3" s="1"/>
  <c r="G115" i="3" s="1"/>
  <c r="H112" i="3" s="1"/>
  <c r="H115" i="3" s="1"/>
  <c r="I112" i="3" s="1"/>
  <c r="I115" i="3" s="1"/>
  <c r="J112" i="3" s="1"/>
  <c r="J114" i="3" s="1"/>
  <c r="J77" i="3" s="1"/>
  <c r="J36" i="3" s="1"/>
  <c r="I67" i="3"/>
  <c r="H67" i="3"/>
  <c r="F130" i="3"/>
  <c r="K35" i="3"/>
  <c r="L35" i="3"/>
  <c r="J35" i="3"/>
  <c r="M35" i="3"/>
  <c r="G130" i="3"/>
  <c r="K64" i="3"/>
  <c r="H130" i="3"/>
  <c r="I130" i="3"/>
  <c r="H69" i="3" l="1"/>
  <c r="H71" i="3"/>
  <c r="I69" i="3"/>
  <c r="I71" i="3"/>
  <c r="F69" i="3"/>
  <c r="F71" i="3"/>
  <c r="G69" i="3"/>
  <c r="G71" i="3"/>
  <c r="E69" i="3"/>
  <c r="E71" i="3"/>
  <c r="K10" i="3"/>
  <c r="L10" i="3" s="1"/>
  <c r="M10" i="3" s="1"/>
  <c r="N10" i="3" s="1"/>
  <c r="J28" i="3"/>
  <c r="J37" i="3"/>
  <c r="J118" i="3"/>
  <c r="F42" i="3"/>
  <c r="I42" i="3"/>
  <c r="H42" i="3"/>
  <c r="G42" i="3"/>
  <c r="E17" i="3"/>
  <c r="E42" i="3"/>
  <c r="L64" i="3"/>
  <c r="J48" i="3" l="1"/>
  <c r="J106" i="3" s="1"/>
  <c r="J76" i="7"/>
  <c r="J77" i="7" s="1"/>
  <c r="J71" i="7"/>
  <c r="K28" i="3"/>
  <c r="J29" i="3"/>
  <c r="J129" i="3"/>
  <c r="J34" i="3"/>
  <c r="J38" i="3" s="1"/>
  <c r="F99" i="3"/>
  <c r="H99" i="3"/>
  <c r="G99" i="3"/>
  <c r="I132" i="3"/>
  <c r="J123" i="3"/>
  <c r="K118" i="3" s="1"/>
  <c r="K123" i="3" s="1"/>
  <c r="L118" i="3" s="1"/>
  <c r="M64" i="3"/>
  <c r="K37" i="3"/>
  <c r="J60" i="3" l="1"/>
  <c r="J30" i="3"/>
  <c r="J130" i="3" s="1"/>
  <c r="J49" i="3"/>
  <c r="J107" i="3" s="1"/>
  <c r="K76" i="7"/>
  <c r="K77" i="7" s="1"/>
  <c r="K71" i="7"/>
  <c r="K21" i="3" s="1"/>
  <c r="K113" i="3" s="1"/>
  <c r="K129" i="3"/>
  <c r="K48" i="3"/>
  <c r="K106" i="3" s="1"/>
  <c r="K29" i="3"/>
  <c r="K34" i="3"/>
  <c r="L28" i="3"/>
  <c r="J21" i="3"/>
  <c r="J73" i="7"/>
  <c r="G132" i="3"/>
  <c r="E99" i="3"/>
  <c r="E132" i="3"/>
  <c r="H132" i="3"/>
  <c r="F132" i="3"/>
  <c r="L123" i="3"/>
  <c r="M118" i="3" s="1"/>
  <c r="N64" i="3"/>
  <c r="K83" i="3" l="1"/>
  <c r="K88" i="3" s="1"/>
  <c r="L76" i="7"/>
  <c r="L77" i="7" s="1"/>
  <c r="L71" i="7"/>
  <c r="L21" i="3" s="1"/>
  <c r="L113" i="3" s="1"/>
  <c r="L129" i="3"/>
  <c r="L48" i="3"/>
  <c r="L106" i="3" s="1"/>
  <c r="M28" i="3"/>
  <c r="L34" i="3"/>
  <c r="L29" i="3"/>
  <c r="J108" i="3"/>
  <c r="J109" i="3" s="1"/>
  <c r="J78" i="3" s="1"/>
  <c r="J61" i="3"/>
  <c r="K49" i="3"/>
  <c r="K107" i="3" s="1"/>
  <c r="K60" i="3"/>
  <c r="K30" i="3"/>
  <c r="K130" i="3" s="1"/>
  <c r="K72" i="7"/>
  <c r="K73" i="7"/>
  <c r="J113" i="3"/>
  <c r="J115" i="3" s="1"/>
  <c r="J83" i="3"/>
  <c r="J88" i="3" s="1"/>
  <c r="J133" i="3" s="1"/>
  <c r="J39" i="3"/>
  <c r="J41" i="3" s="1"/>
  <c r="J42" i="3" s="1"/>
  <c r="K133" i="3"/>
  <c r="M123" i="3"/>
  <c r="N118" i="3" s="1"/>
  <c r="N123" i="3" s="1"/>
  <c r="J76" i="3" l="1"/>
  <c r="J80" i="3" s="1"/>
  <c r="J132" i="3" s="1"/>
  <c r="J65" i="3"/>
  <c r="J50" i="3"/>
  <c r="K112" i="3"/>
  <c r="L83" i="3"/>
  <c r="L88" i="3" s="1"/>
  <c r="L133" i="3" s="1"/>
  <c r="K108" i="3"/>
  <c r="K109" i="3" s="1"/>
  <c r="K78" i="3" s="1"/>
  <c r="K61" i="3"/>
  <c r="L30" i="3"/>
  <c r="L130" i="3" s="1"/>
  <c r="L60" i="3"/>
  <c r="L108" i="3" s="1"/>
  <c r="L49" i="3"/>
  <c r="L107" i="3" s="1"/>
  <c r="M34" i="3"/>
  <c r="M71" i="7"/>
  <c r="M21" i="3" s="1"/>
  <c r="M113" i="3" s="1"/>
  <c r="M48" i="3"/>
  <c r="M106" i="3" s="1"/>
  <c r="M129" i="3"/>
  <c r="M76" i="7"/>
  <c r="M77" i="7" s="1"/>
  <c r="M29" i="3"/>
  <c r="N28" i="3"/>
  <c r="L72" i="7"/>
  <c r="L73" i="7" s="1"/>
  <c r="L37" i="3"/>
  <c r="L109" i="3" l="1"/>
  <c r="L78" i="3" s="1"/>
  <c r="J66" i="3"/>
  <c r="J67" i="3" s="1"/>
  <c r="M72" i="7"/>
  <c r="M73" i="7" s="1"/>
  <c r="N34" i="3"/>
  <c r="N129" i="3"/>
  <c r="N71" i="7"/>
  <c r="N21" i="3" s="1"/>
  <c r="N113" i="3" s="1"/>
  <c r="N29" i="3"/>
  <c r="N76" i="7"/>
  <c r="N77" i="7" s="1"/>
  <c r="N48" i="3"/>
  <c r="N106" i="3" s="1"/>
  <c r="K114" i="3"/>
  <c r="K77" i="3" s="1"/>
  <c r="K36" i="3" s="1"/>
  <c r="K38" i="3" s="1"/>
  <c r="K39" i="3" s="1"/>
  <c r="K41" i="3" s="1"/>
  <c r="K42" i="3" s="1"/>
  <c r="K76" i="3" s="1"/>
  <c r="K80" i="3" s="1"/>
  <c r="K132" i="3" s="1"/>
  <c r="M83" i="3"/>
  <c r="M88" i="3" s="1"/>
  <c r="M133" i="3" s="1"/>
  <c r="L61" i="3"/>
  <c r="M30" i="3"/>
  <c r="M130" i="3" s="1"/>
  <c r="M60" i="3"/>
  <c r="M108" i="3" s="1"/>
  <c r="M49" i="3"/>
  <c r="M107" i="3" s="1"/>
  <c r="M109" i="3" s="1"/>
  <c r="M78" i="3" s="1"/>
  <c r="K115" i="3" l="1"/>
  <c r="K50" i="3" s="1"/>
  <c r="K65" i="3"/>
  <c r="N83" i="3"/>
  <c r="N88" i="3" s="1"/>
  <c r="N133" i="3" s="1"/>
  <c r="N49" i="3"/>
  <c r="N107" i="3" s="1"/>
  <c r="N60" i="3"/>
  <c r="N108" i="3" s="1"/>
  <c r="N109" i="3" s="1"/>
  <c r="N78" i="3" s="1"/>
  <c r="N30" i="3"/>
  <c r="N130" i="3" s="1"/>
  <c r="N72" i="7"/>
  <c r="N73" i="7"/>
  <c r="M61" i="3"/>
  <c r="M37" i="3"/>
  <c r="L112" i="3" l="1"/>
  <c r="L114" i="3" s="1"/>
  <c r="L77" i="3" s="1"/>
  <c r="L36" i="3" s="1"/>
  <c r="L38" i="3" s="1"/>
  <c r="L39" i="3" s="1"/>
  <c r="L41" i="3" s="1"/>
  <c r="L42" i="3" s="1"/>
  <c r="L76" i="3" s="1"/>
  <c r="L80" i="3" s="1"/>
  <c r="K66" i="3"/>
  <c r="K67" i="3" s="1"/>
  <c r="N61" i="3"/>
  <c r="L65" i="3" l="1"/>
  <c r="L115" i="3"/>
  <c r="L50" i="3" s="1"/>
  <c r="L132" i="3"/>
  <c r="N37" i="3"/>
  <c r="L66" i="3" l="1"/>
  <c r="L67" i="3" s="1"/>
  <c r="M112" i="3"/>
  <c r="M114" i="3"/>
  <c r="M77" i="3" s="1"/>
  <c r="M36" i="3" s="1"/>
  <c r="M38" i="3" s="1"/>
  <c r="M39" i="3" s="1"/>
  <c r="M41" i="3" s="1"/>
  <c r="M42" i="3" s="1"/>
  <c r="M76" i="3" s="1"/>
  <c r="M80" i="3" s="1"/>
  <c r="M65" i="3" l="1"/>
  <c r="M66" i="3" s="1"/>
  <c r="M67" i="3" s="1"/>
  <c r="M115" i="3"/>
  <c r="M132" i="3"/>
  <c r="M50" i="3" l="1"/>
  <c r="N112" i="3"/>
  <c r="N114" i="3" l="1"/>
  <c r="N77" i="3" s="1"/>
  <c r="N36" i="3" s="1"/>
  <c r="N38" i="3" s="1"/>
  <c r="N39" i="3" s="1"/>
  <c r="N41" i="3" s="1"/>
  <c r="N42" i="3" s="1"/>
  <c r="N76" i="3" l="1"/>
  <c r="N80" i="3" s="1"/>
  <c r="N132" i="3" s="1"/>
  <c r="N65" i="3"/>
  <c r="N66" i="3" s="1"/>
  <c r="N67" i="3" s="1"/>
  <c r="N115" i="3"/>
  <c r="N50" i="3" s="1"/>
  <c r="E100" i="3" l="1"/>
  <c r="E101" i="3" s="1"/>
  <c r="F100" i="3" s="1"/>
  <c r="F101" i="3" s="1"/>
  <c r="G100" i="3" s="1"/>
  <c r="G101" i="3" s="1"/>
  <c r="H100" i="3" s="1"/>
  <c r="H101" i="3" s="1"/>
  <c r="I100" i="3" s="1"/>
  <c r="J47" i="3"/>
  <c r="K47" i="3"/>
  <c r="L47" i="3"/>
  <c r="M47" i="3"/>
  <c r="N47" i="3"/>
  <c r="J52" i="3"/>
  <c r="K52" i="3"/>
  <c r="L52" i="3"/>
  <c r="M52" i="3"/>
  <c r="N52" i="3"/>
  <c r="J69" i="3"/>
  <c r="K69" i="3"/>
  <c r="L69" i="3"/>
  <c r="M69" i="3"/>
  <c r="N69" i="3"/>
  <c r="J71" i="3"/>
  <c r="K71" i="3"/>
  <c r="L71" i="3"/>
  <c r="M71" i="3"/>
  <c r="N71" i="3"/>
  <c r="I95" i="3"/>
  <c r="J95" i="3"/>
  <c r="K95" i="3"/>
  <c r="L95" i="3"/>
  <c r="M95" i="3"/>
  <c r="N95" i="3"/>
  <c r="I97" i="3"/>
  <c r="J97" i="3"/>
  <c r="K97" i="3"/>
  <c r="L97" i="3"/>
  <c r="M97" i="3"/>
  <c r="N97" i="3"/>
  <c r="I99" i="3"/>
  <c r="J99" i="3"/>
  <c r="K99" i="3"/>
  <c r="L99" i="3"/>
  <c r="M99" i="3"/>
  <c r="N99" i="3"/>
  <c r="J100" i="3"/>
  <c r="K100" i="3"/>
  <c r="L100" i="3"/>
  <c r="M100" i="3"/>
  <c r="N100" i="3"/>
  <c r="I101" i="3"/>
  <c r="J101" i="3"/>
  <c r="K101" i="3"/>
  <c r="L101" i="3"/>
  <c r="M101" i="3"/>
  <c r="N101" i="3"/>
  <c r="I134" i="3"/>
  <c r="J134" i="3"/>
  <c r="K134" i="3"/>
  <c r="L134" i="3"/>
  <c r="M134" i="3"/>
  <c r="N1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1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</comments>
</file>

<file path=xl/sharedStrings.xml><?xml version="1.0" encoding="utf-8"?>
<sst xmlns="http://schemas.openxmlformats.org/spreadsheetml/2006/main" count="556" uniqueCount="351">
  <si>
    <t>Historical Results</t>
  </si>
  <si>
    <t xml:space="preserve"> Forecast Period</t>
  </si>
  <si>
    <t>Assumptions</t>
  </si>
  <si>
    <t>Key Assumptions</t>
  </si>
  <si>
    <t>Revenue Growth (% Change)</t>
  </si>
  <si>
    <t>Cost of Goods Sold (% of Revenue)</t>
  </si>
  <si>
    <t>Salaries and Benefits (% of Revenue)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</si>
  <si>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</si>
  <si>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</si>
  <si>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</si>
  <si>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</si>
  <si>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</si>
  <si>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</si>
  <si>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</si>
  <si>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</si>
  <si>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</si>
  <si>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Days in Period</t>
  </si>
  <si>
    <t>Income Statement</t>
  </si>
  <si>
    <t>Revenue</t>
  </si>
  <si>
    <t>Cost of Goods Sold (COGS)</t>
  </si>
  <si>
    <t>Gross Profit</t>
  </si>
  <si>
    <t>Expenses</t>
  </si>
  <si>
    <t>Salaries and Benefits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</si>
  <si>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</si>
  <si>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</si>
  <si>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</si>
  <si>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</si>
  <si>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</si>
  <si>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</si>
  <si>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</si>
  <si>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</si>
  <si>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</si>
  <si>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</si>
  <si>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</si>
  <si>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</si>
  <si>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</si>
  <si>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</si>
  <si>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</si>
  <si>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</si>
  <si>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</si>
  <si>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</si>
  <si>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</si>
  <si>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</si>
  <si>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</si>
  <si>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</si>
  <si>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</si>
  <si>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</si>
  <si>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</si>
  <si>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</si>
  <si>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</si>
  <si>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</si>
  <si>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</si>
  <si>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</si>
  <si>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</si>
  <si>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</si>
  <si>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</si>
  <si>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</si>
  <si>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</si>
  <si>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</si>
  <si>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</si>
  <si>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</si>
  <si>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</si>
  <si>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</si>
  <si>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</si>
  <si>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</si>
  <si>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</si>
  <si>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</si>
  <si>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</si>
  <si>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Debt Closing</t>
  </si>
  <si>
    <t>Interest Expense</t>
  </si>
  <si>
    <t>Charts and Graphs</t>
  </si>
  <si>
    <t>Gross Profit Margin (%)</t>
  </si>
  <si>
    <t>Key Assumption Rates</t>
  </si>
  <si>
    <t>#</t>
  </si>
  <si>
    <t>Sector Reports</t>
  </si>
  <si>
    <t>imarc</t>
  </si>
  <si>
    <t>Statista</t>
  </si>
  <si>
    <t>CAGR</t>
  </si>
  <si>
    <t>wrightresearch</t>
  </si>
  <si>
    <t>from</t>
  </si>
  <si>
    <t>to</t>
  </si>
  <si>
    <t>NA</t>
  </si>
  <si>
    <t>ITC LTD</t>
  </si>
  <si>
    <t>Equity Reports</t>
  </si>
  <si>
    <t>ICICI</t>
  </si>
  <si>
    <t>nuvama</t>
  </si>
  <si>
    <t>Axis</t>
  </si>
  <si>
    <t>Based only on tobacco sector</t>
  </si>
  <si>
    <t>Trendlyne</t>
  </si>
  <si>
    <t>Analyst Forecasts</t>
  </si>
  <si>
    <t>Deven Choksey</t>
  </si>
  <si>
    <t>Mirae Asset</t>
  </si>
  <si>
    <t>ITC</t>
  </si>
  <si>
    <t>Historic Rate - 5Y CAGR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</si>
  <si>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</si>
  <si>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</si>
  <si>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</si>
  <si>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</si>
  <si>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</si>
  <si>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</si>
  <si>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</si>
  <si>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</si>
  <si>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</si>
  <si>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</si>
  <si>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</si>
  <si>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</si>
  <si>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</si>
  <si>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</si>
  <si>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</si>
  <si>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</si>
  <si>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</si>
  <si>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</si>
  <si>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</si>
  <si>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</si>
  <si>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</si>
  <si>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Profit before tax</t>
  </si>
  <si>
    <t>Tax</t>
  </si>
  <si>
    <t>Net profit</t>
  </si>
  <si>
    <t>Dividend Amount</t>
  </si>
  <si>
    <t>Quarters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</si>
  <si>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</si>
  <si>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</si>
  <si>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</si>
  <si>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</si>
  <si>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</si>
  <si>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</si>
  <si>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</si>
  <si>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</si>
  <si>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</si>
  <si>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</si>
  <si>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</si>
  <si>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</si>
  <si>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</si>
  <si>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</si>
  <si>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</si>
  <si>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</si>
  <si>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</si>
  <si>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</si>
  <si>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</si>
  <si>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</si>
  <si>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</si>
  <si>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</si>
  <si>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</si>
  <si>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</si>
  <si>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EV</t>
  </si>
  <si>
    <t>Book Value</t>
  </si>
  <si>
    <t>SCREENER.IN</t>
  </si>
  <si>
    <t>Narration</t>
  </si>
  <si>
    <t>Trailing</t>
  </si>
  <si>
    <t>Best Case</t>
  </si>
  <si>
    <t>Worst Case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</si>
  <si>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</si>
  <si>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</si>
  <si>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</si>
  <si>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</si>
  <si>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</si>
  <si>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</si>
  <si>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</si>
  <si>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</si>
  <si>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</si>
  <si>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</si>
  <si>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</si>
  <si>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</si>
  <si>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</si>
  <si>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</si>
  <si>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</si>
  <si>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</si>
  <si>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Sales Growth YoY</t>
  </si>
  <si>
    <t>Gross Profit Margins %</t>
  </si>
  <si>
    <t>EBITDA Margins %</t>
  </si>
  <si>
    <t>EBIT Margins %</t>
  </si>
  <si>
    <t>Net Profit Margins %</t>
  </si>
  <si>
    <t>Earnings Per Share</t>
  </si>
  <si>
    <t>EPS Growth YoY</t>
  </si>
  <si>
    <t>Dividend Per Share</t>
  </si>
  <si>
    <t>DPS Growth YoY</t>
  </si>
  <si>
    <t>Working Capital</t>
  </si>
  <si>
    <t>Debtors</t>
  </si>
  <si>
    <t>Debtor Days</t>
  </si>
  <si>
    <t>Inventory Turnover</t>
  </si>
  <si>
    <t>Return on Equity</t>
  </si>
  <si>
    <t>Return on Capital Emp</t>
  </si>
  <si>
    <t>Average</t>
  </si>
  <si>
    <t>Median</t>
  </si>
  <si>
    <t>Cost of Goods Sold</t>
  </si>
  <si>
    <t>% of revenue</t>
  </si>
  <si>
    <t>COGS</t>
  </si>
  <si>
    <t>COGS % Revenue</t>
  </si>
  <si>
    <t>Historic Rate - 5Y</t>
  </si>
  <si>
    <t>Employees Cost % Rev</t>
  </si>
  <si>
    <t>Neutral</t>
  </si>
  <si>
    <t>Bullish</t>
  </si>
  <si>
    <t>Bearish</t>
  </si>
  <si>
    <t>YoY Growth</t>
  </si>
  <si>
    <t>Increasing YoY Growth Rate</t>
  </si>
  <si>
    <t>Depriciation</t>
  </si>
  <si>
    <t>Non Current Assets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</si>
  <si>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</si>
  <si>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</si>
  <si>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</si>
  <si>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</si>
  <si>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</si>
  <si>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</si>
  <si>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</si>
  <si>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</si>
  <si>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</si>
  <si>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</si>
  <si>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</si>
  <si>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Net Non Current Assets</t>
  </si>
  <si>
    <t>Depreciation Expense % Gross PPE</t>
  </si>
  <si>
    <t>PPE</t>
  </si>
  <si>
    <t>PPE % Revenue</t>
  </si>
  <si>
    <t>Average PPE % Revenue - 5Y</t>
  </si>
  <si>
    <t>Net Capex</t>
  </si>
  <si>
    <t>Alternative Method for PPE</t>
  </si>
  <si>
    <t>Average Capex % Revenue - 5Y</t>
  </si>
  <si>
    <t>Capex % Revenue</t>
  </si>
  <si>
    <t>Capex</t>
  </si>
  <si>
    <t>Average Depreciation % Gross PPE - 5Y</t>
  </si>
  <si>
    <t>Convenient Method for PPE</t>
  </si>
  <si>
    <t>Historical Approach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</si>
  <si>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</si>
  <si>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</si>
  <si>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</si>
  <si>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</si>
  <si>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</si>
  <si>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</si>
  <si>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</si>
  <si>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</si>
  <si>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</si>
  <si>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</si>
  <si>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</si>
  <si>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</si>
  <si>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</si>
  <si>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</si>
  <si>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</si>
  <si>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</si>
  <si>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</si>
  <si>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</si>
  <si>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</si>
  <si>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</si>
  <si>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Debt Forecasting</t>
  </si>
  <si>
    <t>Total Borrowings</t>
  </si>
  <si>
    <t>Long term Borrowings</t>
  </si>
  <si>
    <t>Short term Borrowings</t>
  </si>
  <si>
    <t>Lease Liabilities</t>
  </si>
  <si>
    <t>Non controlling int</t>
  </si>
  <si>
    <t>Trade Payables</t>
  </si>
  <si>
    <t>Advance from Customers</t>
  </si>
  <si>
    <t>Other liability items</t>
  </si>
  <si>
    <t>Invest in subsidiaries</t>
  </si>
  <si>
    <t>Fixed Assets</t>
  </si>
  <si>
    <t>CWIP</t>
  </si>
  <si>
    <t>Inventories</t>
  </si>
  <si>
    <t>Trade receivables</t>
  </si>
  <si>
    <t>Cash Equivalents</t>
  </si>
  <si>
    <t>Loans n Advances</t>
  </si>
  <si>
    <t>Other asset items</t>
  </si>
  <si>
    <t>Weight</t>
  </si>
  <si>
    <t>Debt forecasted flat at 70 Cr based on latest available balance; company has historically operated with minimal financial debt</t>
  </si>
  <si>
    <t>Interest Paid</t>
  </si>
  <si>
    <t>Average Interest Paid</t>
  </si>
  <si>
    <t>Average Lease Liabilities</t>
  </si>
  <si>
    <t>Estimated Modest Int. Rate on Total Debt</t>
  </si>
  <si>
    <t>Interest on Debt (Forecast)</t>
  </si>
  <si>
    <t>Lease Interest</t>
  </si>
  <si>
    <t>Interest Forecast</t>
  </si>
  <si>
    <t>Weighted Average Total Debt - 3Y (Forecast)</t>
  </si>
  <si>
    <t>Inventory Days</t>
  </si>
  <si>
    <t>Average Inventory Days</t>
  </si>
  <si>
    <t>Average Debtor Days</t>
  </si>
  <si>
    <t>Payable Days</t>
  </si>
  <si>
    <t>Current Assets and Liabilities</t>
  </si>
  <si>
    <t>Historical Financial Statements</t>
  </si>
  <si>
    <t>Particulars</t>
  </si>
  <si>
    <t>LTM</t>
  </si>
  <si>
    <t>-</t>
  </si>
  <si>
    <t>COGS % Sales</t>
  </si>
  <si>
    <t>Gross Margins</t>
  </si>
  <si>
    <t>Selling &amp; General Expenses</t>
  </si>
  <si>
    <t>S&amp;G Exp % Sales</t>
  </si>
  <si>
    <t>Other Income % Sales</t>
  </si>
  <si>
    <t>EBITDA</t>
  </si>
  <si>
    <t>EBITDA Margins</t>
  </si>
  <si>
    <t>Interest % Sales</t>
  </si>
  <si>
    <t>Depreciation%Sales</t>
  </si>
  <si>
    <t>EBT % Sales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</si>
  <si>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</si>
  <si>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</si>
  <si>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</si>
  <si>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</si>
  <si>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</si>
  <si>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</si>
  <si>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</si>
  <si>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</si>
  <si>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Fixed Assets Net Block</t>
  </si>
  <si>
    <t>According to the Data Sheet from Screener, other assets already include receivable, inv and cash.</t>
  </si>
  <si>
    <t>Total Non Current Assets</t>
  </si>
  <si>
    <t>Total Current Assets</t>
  </si>
  <si>
    <t>Cash Flow Statements</t>
  </si>
  <si>
    <t>Cash from Operating Activities</t>
  </si>
  <si>
    <t>Cash from Investing Activities</t>
  </si>
  <si>
    <t>Cash from Financing Activities</t>
  </si>
  <si>
    <t xml:space="preserve"> This is includes 14340 worth of exceptional one off income from discontinued operations</t>
  </si>
  <si>
    <t>YoY Other Expense Growth %</t>
  </si>
  <si>
    <t>Yoy Other Income Growth %</t>
  </si>
  <si>
    <t>Best Estimate</t>
  </si>
  <si>
    <t>Retained Earnings %</t>
  </si>
  <si>
    <t>Closing Debt</t>
  </si>
  <si>
    <t>Opening Debt</t>
  </si>
  <si>
    <t>Repayment</t>
  </si>
  <si>
    <t>Total Repayment</t>
  </si>
  <si>
    <t>Interest % Total Debt</t>
  </si>
  <si>
    <t>Non-Current Liablities</t>
  </si>
  <si>
    <t>Net Debt</t>
  </si>
  <si>
    <t>Net Equity</t>
  </si>
  <si>
    <t>Lease Repaid (inc. Interest)</t>
  </si>
  <si>
    <t>Lease Repayment (inc. interest)</t>
  </si>
  <si>
    <t>Average Debt Repayment</t>
  </si>
  <si>
    <t>Average Lease Repayment</t>
  </si>
  <si>
    <t>Average Total Repayment</t>
  </si>
  <si>
    <t>Average Repayment Percentage</t>
  </si>
  <si>
    <t>Lease Repayment Percentage</t>
  </si>
  <si>
    <t>Proceeds from Debt</t>
  </si>
  <si>
    <t>Repayment of Debt</t>
  </si>
  <si>
    <t>Repayment of Lease</t>
  </si>
  <si>
    <t>Difference (+)(-)</t>
  </si>
  <si>
    <t>Average Payable Days - 4Y</t>
  </si>
  <si>
    <t>Less: Direct Tax</t>
  </si>
  <si>
    <t xml:space="preserve">Investments Purchased </t>
  </si>
  <si>
    <t>Investments Sold</t>
  </si>
  <si>
    <t>Interest Received</t>
  </si>
  <si>
    <t>Others</t>
  </si>
  <si>
    <t>Dividends Paid</t>
  </si>
  <si>
    <t>Other Financial Liabilities</t>
  </si>
  <si>
    <t>Change</t>
  </si>
  <si>
    <t>Advance from Customer</t>
  </si>
  <si>
    <t>Change in Accounts Receivable</t>
  </si>
  <si>
    <t>Less: Change in Accounts Payable</t>
  </si>
  <si>
    <t>CA</t>
  </si>
  <si>
    <t>CL</t>
  </si>
  <si>
    <t>NWC</t>
  </si>
  <si>
    <t>Change in CA</t>
  </si>
  <si>
    <t>Change in CL</t>
  </si>
  <si>
    <t>2026E</t>
  </si>
  <si>
    <t>2027E</t>
  </si>
  <si>
    <t>2028E</t>
  </si>
  <si>
    <t>2029E</t>
  </si>
  <si>
    <t>2030E</t>
  </si>
  <si>
    <t>3-Statement Model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</si>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</sst>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  <numFmt numFmtId="169" formatCode="0.0"/>
    <numFmt numFmtId="170" formatCode="[$-409]mmm\-yy;@"/>
    <numFmt numFmtId="171" formatCode="_(* #,##0.00_);_(* \(#,##0.00\);_(* &quot;-&quot;??_);_(@_)"/>
    <numFmt numFmtId="173" formatCode="mmm/yy&quot;E&quot;"/>
    <numFmt numFmtId="174" formatCode="\(0\)"/>
    <numFmt numFmtId="175" formatCode="_ * #,##0.0_ ;_ * \-#,##0.0_ ;_ * &quot;-&quot;??_ ;_ @_ "/>
    <numFmt numFmtId="176" formatCode="&quot;₹&quot;\ #,##0.0;\(&quot;₹&quot;\ #,##0.0\)"/>
    <numFmt numFmtId="177" formatCode="0.00_ ;\-0.00\ "/>
    <numFmt numFmtId="178" formatCode="&quot;₹&quot;\ #,##0.00"/>
    <numFmt numFmtId="179" formatCode="#,##0;\(#,##0\)"/>
  </numFmts>
  <fonts count="47" x14ac:knownFonts="1"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271D2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sz val="11"/>
      <color rgb="FF9C000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rgb="FF2D2D2D"/>
      <name val="Calibri"/>
      <family val="2"/>
      <scheme val="minor"/>
    </font>
    <font>
      <i/>
      <sz val="11"/>
      <color theme="1"/>
      <name val="Calibri"/>
      <family val="2"/>
    </font>
    <font>
      <sz val="11"/>
      <color rgb="FF0000FF"/>
      <name val="Calibri"/>
      <family val="2"/>
    </font>
    <font>
      <b/>
      <i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i/>
      <sz val="11"/>
      <color theme="0"/>
      <name val="Calibri"/>
      <family val="2"/>
    </font>
    <font>
      <i/>
      <sz val="11"/>
      <color theme="2" tint="-0.249977111117893"/>
      <name val="Calibri"/>
      <family val="2"/>
    </font>
    <font>
      <i/>
      <sz val="11"/>
      <color theme="2" tint="-0.499984740745262"/>
      <name val="Calibri"/>
      <family val="2"/>
    </font>
    <font>
      <i/>
      <sz val="10"/>
      <color theme="2" tint="-0.249977111117893"/>
      <name val="Calibri"/>
      <family val="2"/>
    </font>
    <font>
      <b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name val="Calibri"/>
      <family val="2"/>
    </font>
    <font>
      <i/>
      <sz val="11"/>
      <color rgb="FF0000FF"/>
      <name val="Calibri"/>
      <family val="2"/>
      <scheme val="minor"/>
    </font>
    <font>
      <b/>
      <sz val="11"/>
      <name val="Calibri"/>
      <family val="2"/>
    </font>
    <font>
      <i/>
      <sz val="11"/>
      <color theme="1" tint="0.499984740745262"/>
      <name val="Calibri"/>
      <family val="2"/>
    </font>
    <font>
      <i/>
      <sz val="11"/>
      <color rgb="FFFF0000"/>
      <name val="Calibri"/>
      <family val="2"/>
    </font>
    <font>
      <b/>
      <sz val="14"/>
      <color theme="0"/>
      <name val="Calibri"/>
      <family val="2"/>
    </font>
    <font>
      <i/>
      <sz val="11"/>
      <color theme="2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F"/>
      <name val="Calibri"/>
      <family val="2"/>
      <scheme val="minor"/>
    </font>
    <font>
      <b/>
      <sz val="11"/>
      <color rgb="FF22222F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rgb="FF9C0006"/>
      <name val="Calibri"/>
      <family val="2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3271D2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8" tint="-0.249977111117893"/>
        <bgColor rgb="FF132E57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2060"/>
        <bgColor rgb="FF132E57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medium">
        <color auto="1"/>
      </bottom>
      <diagonal/>
    </border>
  </borders>
  <cellStyleXfs count="13">
    <xf numFmtId="0" fontId="0" fillId="0" borderId="0"/>
    <xf numFmtId="0" fontId="1" fillId="0" borderId="0"/>
    <xf numFmtId="9" fontId="12" fillId="0" borderId="0" applyFont="0" applyFill="0" applyBorder="0" applyAlignment="0" applyProtection="0"/>
    <xf numFmtId="0" fontId="13" fillId="2" borderId="0" applyNumberFormat="0" applyBorder="0" applyAlignment="0" applyProtection="0"/>
    <xf numFmtId="0" fontId="12" fillId="4" borderId="0" applyNumberFormat="0" applyBorder="0" applyAlignment="0" applyProtection="0"/>
    <xf numFmtId="43" fontId="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4" fillId="6" borderId="0" applyNumberFormat="0" applyBorder="0" applyAlignment="0" applyProtection="0"/>
    <xf numFmtId="0" fontId="2" fillId="0" borderId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82">
    <xf numFmtId="0" fontId="0" fillId="0" borderId="0" xfId="0"/>
    <xf numFmtId="0" fontId="2" fillId="0" borderId="0" xfId="1" applyFont="1"/>
    <xf numFmtId="164" fontId="2" fillId="0" borderId="0" xfId="1" applyNumberFormat="1" applyFont="1"/>
    <xf numFmtId="164" fontId="7" fillId="0" borderId="0" xfId="1" applyNumberFormat="1" applyFont="1"/>
    <xf numFmtId="164" fontId="7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right"/>
    </xf>
    <xf numFmtId="164" fontId="2" fillId="0" borderId="0" xfId="1" applyNumberFormat="1" applyFont="1" applyAlignment="1">
      <alignment horizontal="center"/>
    </xf>
    <xf numFmtId="164" fontId="9" fillId="0" borderId="0" xfId="1" applyNumberFormat="1" applyFont="1"/>
    <xf numFmtId="164" fontId="10" fillId="0" borderId="0" xfId="1" applyNumberFormat="1" applyFont="1"/>
    <xf numFmtId="164" fontId="2" fillId="0" borderId="1" xfId="1" applyNumberFormat="1" applyFont="1" applyBorder="1"/>
    <xf numFmtId="164" fontId="10" fillId="0" borderId="1" xfId="1" applyNumberFormat="1" applyFont="1" applyBorder="1"/>
    <xf numFmtId="164" fontId="10" fillId="0" borderId="1" xfId="1" applyNumberFormat="1" applyFont="1" applyBorder="1" applyAlignment="1">
      <alignment horizontal="center"/>
    </xf>
    <xf numFmtId="165" fontId="2" fillId="0" borderId="1" xfId="1" applyNumberFormat="1" applyFont="1" applyBorder="1"/>
    <xf numFmtId="165" fontId="2" fillId="0" borderId="0" xfId="1" applyNumberFormat="1" applyFont="1"/>
    <xf numFmtId="9" fontId="9" fillId="0" borderId="0" xfId="1" applyNumberFormat="1" applyFont="1" applyAlignment="1">
      <alignment horizontal="center"/>
    </xf>
    <xf numFmtId="164" fontId="10" fillId="0" borderId="0" xfId="1" applyNumberFormat="1" applyFont="1" applyAlignment="1">
      <alignment horizontal="center"/>
    </xf>
    <xf numFmtId="164" fontId="11" fillId="0" borderId="0" xfId="1" applyNumberFormat="1" applyFont="1"/>
    <xf numFmtId="9" fontId="11" fillId="0" borderId="0" xfId="1" applyNumberFormat="1" applyFont="1"/>
    <xf numFmtId="164" fontId="2" fillId="0" borderId="2" xfId="1" applyNumberFormat="1" applyFont="1" applyBorder="1"/>
    <xf numFmtId="164" fontId="2" fillId="0" borderId="2" xfId="1" applyNumberFormat="1" applyFont="1" applyBorder="1" applyAlignment="1">
      <alignment horizontal="center"/>
    </xf>
    <xf numFmtId="164" fontId="10" fillId="0" borderId="3" xfId="1" applyNumberFormat="1" applyFont="1" applyBorder="1"/>
    <xf numFmtId="164" fontId="10" fillId="0" borderId="3" xfId="1" applyNumberFormat="1" applyFont="1" applyBorder="1" applyAlignment="1">
      <alignment horizontal="center"/>
    </xf>
    <xf numFmtId="164" fontId="10" fillId="0" borderId="4" xfId="1" applyNumberFormat="1" applyFont="1" applyBorder="1"/>
    <xf numFmtId="164" fontId="10" fillId="0" borderId="4" xfId="1" applyNumberFormat="1" applyFont="1" applyBorder="1" applyAlignment="1">
      <alignment horizontal="center"/>
    </xf>
    <xf numFmtId="168" fontId="7" fillId="0" borderId="0" xfId="1" applyNumberFormat="1" applyFont="1"/>
    <xf numFmtId="168" fontId="7" fillId="0" borderId="0" xfId="1" applyNumberFormat="1" applyFont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9" fontId="2" fillId="0" borderId="0" xfId="1" applyNumberFormat="1" applyFont="1"/>
    <xf numFmtId="0" fontId="0" fillId="7" borderId="0" xfId="0" applyFill="1"/>
    <xf numFmtId="0" fontId="14" fillId="7" borderId="0" xfId="0" applyFont="1" applyFill="1"/>
    <xf numFmtId="0" fontId="15" fillId="0" borderId="0" xfId="0" applyFont="1"/>
    <xf numFmtId="0" fontId="15" fillId="8" borderId="0" xfId="0" applyFont="1" applyFill="1"/>
    <xf numFmtId="0" fontId="0" fillId="8" borderId="0" xfId="0" applyFill="1"/>
    <xf numFmtId="0" fontId="17" fillId="0" borderId="0" xfId="0" applyFont="1"/>
    <xf numFmtId="0" fontId="18" fillId="0" borderId="0" xfId="0" applyFont="1"/>
    <xf numFmtId="0" fontId="23" fillId="7" borderId="0" xfId="0" applyFont="1" applyFill="1"/>
    <xf numFmtId="0" fontId="24" fillId="0" borderId="0" xfId="0" applyFont="1"/>
    <xf numFmtId="0" fontId="25" fillId="0" borderId="0" xfId="0" applyFont="1"/>
    <xf numFmtId="169" fontId="0" fillId="0" borderId="0" xfId="0" applyNumberFormat="1"/>
    <xf numFmtId="3" fontId="0" fillId="0" borderId="0" xfId="0" applyNumberFormat="1"/>
    <xf numFmtId="0" fontId="26" fillId="0" borderId="0" xfId="0" applyFont="1"/>
    <xf numFmtId="9" fontId="0" fillId="0" borderId="0" xfId="2" applyFont="1"/>
    <xf numFmtId="165" fontId="0" fillId="0" borderId="0" xfId="2" applyNumberFormat="1" applyFont="1"/>
    <xf numFmtId="10" fontId="19" fillId="0" borderId="0" xfId="2" applyNumberFormat="1" applyFont="1"/>
    <xf numFmtId="10" fontId="0" fillId="0" borderId="0" xfId="2" applyNumberFormat="1" applyFont="1"/>
    <xf numFmtId="43" fontId="10" fillId="0" borderId="0" xfId="5" applyFont="1" applyBorder="1"/>
    <xf numFmtId="43" fontId="0" fillId="0" borderId="0" xfId="5" applyFont="1" applyBorder="1"/>
    <xf numFmtId="0" fontId="2" fillId="0" borderId="0" xfId="8"/>
    <xf numFmtId="170" fontId="6" fillId="9" borderId="0" xfId="5" applyNumberFormat="1" applyFont="1" applyFill="1" applyBorder="1"/>
    <xf numFmtId="170" fontId="6" fillId="9" borderId="0" xfId="8" applyNumberFormat="1" applyFont="1" applyFill="1" applyAlignment="1">
      <alignment horizontal="center"/>
    </xf>
    <xf numFmtId="170" fontId="3" fillId="0" borderId="0" xfId="5" applyNumberFormat="1" applyFont="1" applyFill="1" applyBorder="1"/>
    <xf numFmtId="43" fontId="2" fillId="0" borderId="0" xfId="5" applyFont="1" applyBorder="1"/>
    <xf numFmtId="171" fontId="0" fillId="0" borderId="0" xfId="5" applyNumberFormat="1" applyFont="1" applyBorder="1"/>
    <xf numFmtId="0" fontId="10" fillId="0" borderId="0" xfId="8" applyFont="1"/>
    <xf numFmtId="0" fontId="27" fillId="0" borderId="0" xfId="8" applyFont="1"/>
    <xf numFmtId="0" fontId="6" fillId="9" borderId="0" xfId="8" applyFont="1" applyFill="1"/>
    <xf numFmtId="0" fontId="6" fillId="9" borderId="0" xfId="8" applyFont="1" applyFill="1" applyAlignment="1">
      <alignment horizontal="center"/>
    </xf>
    <xf numFmtId="9" fontId="2" fillId="0" borderId="0" xfId="5" applyNumberFormat="1" applyFont="1" applyBorder="1"/>
    <xf numFmtId="43" fontId="6" fillId="3" borderId="0" xfId="9" applyNumberFormat="1" applyFont="1" applyBorder="1"/>
    <xf numFmtId="43" fontId="6" fillId="5" borderId="0" xfId="10" applyNumberFormat="1" applyFont="1" applyBorder="1"/>
    <xf numFmtId="10" fontId="2" fillId="0" borderId="0" xfId="8" applyNumberFormat="1"/>
    <xf numFmtId="10" fontId="10" fillId="0" borderId="0" xfId="8" applyNumberFormat="1" applyFont="1"/>
    <xf numFmtId="10" fontId="0" fillId="0" borderId="0" xfId="11" applyNumberFormat="1" applyFont="1" applyBorder="1"/>
    <xf numFmtId="43" fontId="0" fillId="0" borderId="0" xfId="11" applyNumberFormat="1" applyFont="1" applyBorder="1"/>
    <xf numFmtId="43" fontId="2" fillId="0" borderId="0" xfId="8" applyNumberFormat="1"/>
    <xf numFmtId="43" fontId="0" fillId="0" borderId="0" xfId="5" applyFont="1" applyBorder="1" applyAlignment="1">
      <alignment horizontal="center"/>
    </xf>
    <xf numFmtId="43" fontId="10" fillId="0" borderId="0" xfId="5" applyFont="1" applyBorder="1" applyAlignment="1">
      <alignment horizontal="center"/>
    </xf>
    <xf numFmtId="9" fontId="10" fillId="0" borderId="0" xfId="11" applyFont="1" applyBorder="1"/>
    <xf numFmtId="3" fontId="19" fillId="0" borderId="0" xfId="0" applyNumberFormat="1" applyFont="1"/>
    <xf numFmtId="0" fontId="16" fillId="0" borderId="0" xfId="0" applyFont="1"/>
    <xf numFmtId="10" fontId="0" fillId="0" borderId="0" xfId="0" applyNumberFormat="1"/>
    <xf numFmtId="10" fontId="15" fillId="0" borderId="0" xfId="0" applyNumberFormat="1" applyFont="1"/>
    <xf numFmtId="0" fontId="22" fillId="0" borderId="0" xfId="0" applyFont="1"/>
    <xf numFmtId="10" fontId="2" fillId="0" borderId="0" xfId="2" applyNumberFormat="1" applyFont="1" applyBorder="1"/>
    <xf numFmtId="0" fontId="29" fillId="0" borderId="0" xfId="0" applyFont="1"/>
    <xf numFmtId="17" fontId="15" fillId="0" borderId="0" xfId="0" applyNumberFormat="1" applyFont="1"/>
    <xf numFmtId="0" fontId="15" fillId="0" borderId="5" xfId="0" applyFont="1" applyBorder="1"/>
    <xf numFmtId="165" fontId="0" fillId="0" borderId="0" xfId="0" applyNumberFormat="1"/>
    <xf numFmtId="0" fontId="15" fillId="11" borderId="0" xfId="0" applyFont="1" applyFill="1"/>
    <xf numFmtId="0" fontId="0" fillId="11" borderId="0" xfId="0" applyFill="1"/>
    <xf numFmtId="165" fontId="0" fillId="11" borderId="0" xfId="2" applyNumberFormat="1" applyFont="1" applyFill="1"/>
    <xf numFmtId="1" fontId="0" fillId="0" borderId="0" xfId="0" applyNumberFormat="1"/>
    <xf numFmtId="0" fontId="19" fillId="11" borderId="0" xfId="0" applyFont="1" applyFill="1"/>
    <xf numFmtId="0" fontId="0" fillId="12" borderId="0" xfId="0" applyFill="1"/>
    <xf numFmtId="0" fontId="20" fillId="13" borderId="0" xfId="0" applyFont="1" applyFill="1"/>
    <xf numFmtId="0" fontId="0" fillId="13" borderId="0" xfId="0" applyFill="1"/>
    <xf numFmtId="173" fontId="15" fillId="13" borderId="0" xfId="0" applyNumberFormat="1" applyFont="1" applyFill="1"/>
    <xf numFmtId="1" fontId="0" fillId="13" borderId="0" xfId="0" applyNumberFormat="1" applyFill="1"/>
    <xf numFmtId="174" fontId="0" fillId="13" borderId="0" xfId="0" applyNumberFormat="1" applyFill="1"/>
    <xf numFmtId="0" fontId="20" fillId="14" borderId="0" xfId="0" applyFont="1" applyFill="1"/>
    <xf numFmtId="0" fontId="0" fillId="14" borderId="0" xfId="0" applyFill="1"/>
    <xf numFmtId="173" fontId="15" fillId="14" borderId="0" xfId="0" applyNumberFormat="1" applyFont="1" applyFill="1"/>
    <xf numFmtId="1" fontId="0" fillId="14" borderId="0" xfId="0" applyNumberFormat="1" applyFill="1"/>
    <xf numFmtId="0" fontId="15" fillId="14" borderId="0" xfId="0" applyFont="1" applyFill="1"/>
    <xf numFmtId="165" fontId="0" fillId="14" borderId="0" xfId="0" applyNumberFormat="1" applyFill="1"/>
    <xf numFmtId="165" fontId="0" fillId="13" borderId="0" xfId="0" applyNumberFormat="1" applyFill="1"/>
    <xf numFmtId="0" fontId="0" fillId="0" borderId="6" xfId="0" applyBorder="1"/>
    <xf numFmtId="17" fontId="14" fillId="15" borderId="0" xfId="0" applyNumberFormat="1" applyFont="1" applyFill="1"/>
    <xf numFmtId="17" fontId="16" fillId="15" borderId="0" xfId="0" applyNumberFormat="1" applyFont="1" applyFill="1"/>
    <xf numFmtId="0" fontId="16" fillId="15" borderId="0" xfId="0" applyFont="1" applyFill="1"/>
    <xf numFmtId="3" fontId="15" fillId="0" borderId="0" xfId="0" applyNumberFormat="1" applyFont="1"/>
    <xf numFmtId="3" fontId="15" fillId="0" borderId="5" xfId="0" applyNumberFormat="1" applyFont="1" applyBorder="1"/>
    <xf numFmtId="17" fontId="14" fillId="10" borderId="0" xfId="0" applyNumberFormat="1" applyFont="1" applyFill="1"/>
    <xf numFmtId="17" fontId="16" fillId="10" borderId="0" xfId="0" applyNumberFormat="1" applyFont="1" applyFill="1"/>
    <xf numFmtId="0" fontId="16" fillId="10" borderId="0" xfId="0" applyFont="1" applyFill="1"/>
    <xf numFmtId="17" fontId="31" fillId="10" borderId="0" xfId="0" applyNumberFormat="1" applyFont="1" applyFill="1"/>
    <xf numFmtId="0" fontId="15" fillId="0" borderId="6" xfId="0" applyFont="1" applyBorder="1"/>
    <xf numFmtId="3" fontId="15" fillId="0" borderId="6" xfId="0" applyNumberFormat="1" applyFont="1" applyBorder="1"/>
    <xf numFmtId="0" fontId="32" fillId="0" borderId="0" xfId="0" applyFont="1"/>
    <xf numFmtId="9" fontId="0" fillId="0" borderId="0" xfId="0" applyNumberFormat="1"/>
    <xf numFmtId="169" fontId="15" fillId="0" borderId="0" xfId="0" applyNumberFormat="1" applyFont="1"/>
    <xf numFmtId="0" fontId="33" fillId="0" borderId="0" xfId="0" applyFont="1" applyAlignment="1">
      <alignment wrapText="1"/>
    </xf>
    <xf numFmtId="43" fontId="0" fillId="0" borderId="0" xfId="0" applyNumberFormat="1"/>
    <xf numFmtId="175" fontId="0" fillId="0" borderId="0" xfId="0" applyNumberFormat="1"/>
    <xf numFmtId="164" fontId="3" fillId="0" borderId="0" xfId="1" applyNumberFormat="1" applyFont="1"/>
    <xf numFmtId="164" fontId="5" fillId="0" borderId="0" xfId="1" applyNumberFormat="1" applyFont="1"/>
    <xf numFmtId="0" fontId="34" fillId="7" borderId="0" xfId="12" applyFont="1" applyFill="1"/>
    <xf numFmtId="43" fontId="23" fillId="7" borderId="0" xfId="12" applyNumberFormat="1" applyFont="1" applyFill="1"/>
    <xf numFmtId="17" fontId="14" fillId="7" borderId="0" xfId="0" applyNumberFormat="1" applyFont="1" applyFill="1" applyAlignment="1">
      <alignment horizontal="right"/>
    </xf>
    <xf numFmtId="0" fontId="10" fillId="12" borderId="0" xfId="0" applyFont="1" applyFill="1"/>
    <xf numFmtId="176" fontId="0" fillId="0" borderId="0" xfId="0" applyNumberFormat="1"/>
    <xf numFmtId="0" fontId="35" fillId="0" borderId="0" xfId="0" applyFont="1"/>
    <xf numFmtId="0" fontId="35" fillId="0" borderId="0" xfId="0" applyFont="1" applyAlignment="1">
      <alignment horizontal="right"/>
    </xf>
    <xf numFmtId="10" fontId="35" fillId="0" borderId="0" xfId="2" applyNumberFormat="1" applyFont="1"/>
    <xf numFmtId="0" fontId="10" fillId="0" borderId="7" xfId="0" applyFont="1" applyBorder="1"/>
    <xf numFmtId="176" fontId="10" fillId="0" borderId="7" xfId="0" applyNumberFormat="1" applyFont="1" applyBorder="1"/>
    <xf numFmtId="10" fontId="35" fillId="0" borderId="0" xfId="2" applyNumberFormat="1" applyFont="1" applyAlignment="1">
      <alignment horizontal="right"/>
    </xf>
    <xf numFmtId="0" fontId="35" fillId="0" borderId="0" xfId="0" applyFont="1" applyAlignment="1">
      <alignment horizontal="center"/>
    </xf>
    <xf numFmtId="0" fontId="10" fillId="0" borderId="0" xfId="0" applyFont="1"/>
    <xf numFmtId="176" fontId="10" fillId="0" borderId="0" xfId="0" applyNumberFormat="1" applyFont="1"/>
    <xf numFmtId="164" fontId="3" fillId="0" borderId="2" xfId="1" applyNumberFormat="1" applyFont="1" applyBorder="1"/>
    <xf numFmtId="164" fontId="2" fillId="0" borderId="0" xfId="1" applyNumberFormat="1" applyFont="1" applyAlignment="1">
      <alignment horizontal="left"/>
    </xf>
    <xf numFmtId="176" fontId="13" fillId="2" borderId="0" xfId="3" applyNumberFormat="1"/>
    <xf numFmtId="43" fontId="36" fillId="0" borderId="0" xfId="5" applyFont="1" applyBorder="1"/>
    <xf numFmtId="178" fontId="0" fillId="0" borderId="0" xfId="0" applyNumberFormat="1"/>
    <xf numFmtId="179" fontId="0" fillId="13" borderId="0" xfId="0" applyNumberFormat="1" applyFill="1"/>
    <xf numFmtId="0" fontId="0" fillId="0" borderId="8" xfId="0" applyBorder="1"/>
    <xf numFmtId="0" fontId="12" fillId="4" borderId="0" xfId="4"/>
    <xf numFmtId="179" fontId="2" fillId="0" borderId="0" xfId="1" applyNumberFormat="1" applyFont="1"/>
    <xf numFmtId="165" fontId="19" fillId="0" borderId="0" xfId="0" applyNumberFormat="1" applyFont="1"/>
    <xf numFmtId="0" fontId="14" fillId="0" borderId="0" xfId="0" applyFont="1"/>
    <xf numFmtId="3" fontId="37" fillId="0" borderId="0" xfId="0" applyNumberFormat="1" applyFont="1"/>
    <xf numFmtId="3" fontId="38" fillId="0" borderId="0" xfId="0" applyNumberFormat="1" applyFont="1"/>
    <xf numFmtId="168" fontId="39" fillId="0" borderId="0" xfId="1" applyNumberFormat="1" applyFont="1"/>
    <xf numFmtId="0" fontId="2" fillId="7" borderId="0" xfId="1" applyFont="1" applyFill="1"/>
    <xf numFmtId="0" fontId="41" fillId="7" borderId="0" xfId="1" applyFont="1" applyFill="1"/>
    <xf numFmtId="43" fontId="39" fillId="7" borderId="0" xfId="1" applyNumberFormat="1" applyFont="1" applyFill="1"/>
    <xf numFmtId="0" fontId="6" fillId="16" borderId="0" xfId="1" applyFont="1" applyFill="1" applyAlignment="1">
      <alignment vertical="center"/>
    </xf>
    <xf numFmtId="0" fontId="8" fillId="16" borderId="0" xfId="1" applyFont="1" applyFill="1" applyAlignment="1">
      <alignment vertical="center"/>
    </xf>
    <xf numFmtId="165" fontId="28" fillId="19" borderId="1" xfId="1" applyNumberFormat="1" applyFont="1" applyFill="1" applyBorder="1"/>
    <xf numFmtId="165" fontId="28" fillId="19" borderId="0" xfId="1" applyNumberFormat="1" applyFont="1" applyFill="1"/>
    <xf numFmtId="164" fontId="28" fillId="19" borderId="0" xfId="1" applyNumberFormat="1" applyFont="1" applyFill="1"/>
    <xf numFmtId="165" fontId="3" fillId="19" borderId="0" xfId="1" applyNumberFormat="1" applyFont="1" applyFill="1"/>
    <xf numFmtId="165" fontId="30" fillId="19" borderId="0" xfId="1" applyNumberFormat="1" applyFont="1" applyFill="1"/>
    <xf numFmtId="164" fontId="30" fillId="19" borderId="0" xfId="1" applyNumberFormat="1" applyFont="1" applyFill="1"/>
    <xf numFmtId="177" fontId="40" fillId="19" borderId="0" xfId="3" applyNumberFormat="1" applyFont="1" applyFill="1" applyAlignment="1">
      <alignment horizontal="center"/>
    </xf>
    <xf numFmtId="0" fontId="6" fillId="20" borderId="0" xfId="1" applyFont="1" applyFill="1"/>
    <xf numFmtId="164" fontId="42" fillId="19" borderId="0" xfId="1" applyNumberFormat="1" applyFont="1" applyFill="1"/>
    <xf numFmtId="166" fontId="7" fillId="19" borderId="0" xfId="1" applyNumberFormat="1" applyFont="1" applyFill="1"/>
    <xf numFmtId="164" fontId="42" fillId="19" borderId="1" xfId="1" applyNumberFormat="1" applyFont="1" applyFill="1" applyBorder="1"/>
    <xf numFmtId="164" fontId="7" fillId="19" borderId="0" xfId="1" applyNumberFormat="1" applyFont="1" applyFill="1"/>
    <xf numFmtId="9" fontId="43" fillId="19" borderId="0" xfId="1" applyNumberFormat="1" applyFont="1" applyFill="1"/>
    <xf numFmtId="164" fontId="29" fillId="19" borderId="2" xfId="3" applyNumberFormat="1" applyFont="1" applyFill="1" applyBorder="1"/>
    <xf numFmtId="164" fontId="42" fillId="19" borderId="3" xfId="1" applyNumberFormat="1" applyFont="1" applyFill="1" applyBorder="1"/>
    <xf numFmtId="167" fontId="7" fillId="19" borderId="0" xfId="1" applyNumberFormat="1" applyFont="1" applyFill="1"/>
    <xf numFmtId="164" fontId="44" fillId="19" borderId="0" xfId="1" applyNumberFormat="1" applyFont="1" applyFill="1"/>
    <xf numFmtId="0" fontId="7" fillId="19" borderId="0" xfId="1" applyFont="1" applyFill="1"/>
    <xf numFmtId="164" fontId="42" fillId="19" borderId="4" xfId="1" applyNumberFormat="1" applyFont="1" applyFill="1" applyBorder="1"/>
    <xf numFmtId="0" fontId="45" fillId="16" borderId="0" xfId="1" applyFont="1" applyFill="1" applyAlignment="1">
      <alignment vertical="center"/>
    </xf>
    <xf numFmtId="43" fontId="7" fillId="19" borderId="0" xfId="1" applyNumberFormat="1" applyFont="1" applyFill="1"/>
    <xf numFmtId="164" fontId="7" fillId="19" borderId="1" xfId="1" applyNumberFormat="1" applyFont="1" applyFill="1" applyBorder="1"/>
    <xf numFmtId="9" fontId="7" fillId="19" borderId="0" xfId="1" applyNumberFormat="1" applyFont="1" applyFill="1"/>
    <xf numFmtId="0" fontId="6" fillId="17" borderId="0" xfId="1" applyFont="1" applyFill="1" applyAlignment="1">
      <alignment horizontal="right"/>
    </xf>
    <xf numFmtId="164" fontId="46" fillId="0" borderId="0" xfId="1" applyNumberFormat="1" applyFont="1"/>
    <xf numFmtId="164" fontId="46" fillId="0" borderId="0" xfId="1" applyNumberFormat="1" applyFont="1" applyAlignment="1">
      <alignment horizontal="center"/>
    </xf>
    <xf numFmtId="164" fontId="6" fillId="20" borderId="0" xfId="1" applyNumberFormat="1" applyFont="1" applyFill="1" applyAlignment="1">
      <alignment horizontal="center"/>
    </xf>
    <xf numFmtId="0" fontId="3" fillId="7" borderId="0" xfId="1" applyFont="1" applyFill="1"/>
    <xf numFmtId="164" fontId="6" fillId="17" borderId="0" xfId="1" applyNumberFormat="1" applyFont="1" applyFill="1" applyAlignment="1">
      <alignment horizontal="center"/>
    </xf>
    <xf numFmtId="0" fontId="3" fillId="18" borderId="0" xfId="1" applyFont="1" applyFill="1"/>
    <xf numFmtId="0" fontId="33" fillId="0" borderId="0" xfId="0" applyFont="1" applyAlignment="1">
      <alignment horizontal="left" vertical="center" wrapText="1"/>
    </xf>
    <xf numFmtId="43" fontId="21" fillId="0" borderId="0" xfId="6" applyNumberFormat="1" applyBorder="1" applyAlignment="1" applyProtection="1">
      <alignment horizontal="center"/>
    </xf>
    <xf numFmtId="43" fontId="6" fillId="6" borderId="0" xfId="7" applyNumberFormat="1" applyFont="1" applyBorder="1" applyAlignment="1">
      <alignment horizontal="center"/>
    </xf>
  </cellXfs>
  <cellStyles count="13">
    <cellStyle name="20% - Accent3" xfId="4" builtinId="38"/>
    <cellStyle name="60% - Accent1 2" xfId="9" xr:uid="{00000000-0005-0000-0000-000001000000}"/>
    <cellStyle name="60% - Accent3 2" xfId="10" xr:uid="{00000000-0005-0000-0000-000002000000}"/>
    <cellStyle name="Accent6 2" xfId="7" xr:uid="{00000000-0005-0000-0000-000003000000}"/>
    <cellStyle name="Bad" xfId="3" builtinId="27"/>
    <cellStyle name="Comma 2" xfId="5" xr:uid="{00000000-0005-0000-0000-000005000000}"/>
    <cellStyle name="Hyperlink 2" xfId="6" xr:uid="{00000000-0005-0000-0000-000006000000}"/>
    <cellStyle name="Normal" xfId="0" builtinId="0"/>
    <cellStyle name="Normal 2" xfId="1" xr:uid="{00000000-0005-0000-0000-000008000000}"/>
    <cellStyle name="Normal 2 2" xfId="12" xr:uid="{00000000-0005-0000-0000-000009000000}"/>
    <cellStyle name="Normal 3" xfId="8" xr:uid="{00000000-0005-0000-0000-00000A000000}"/>
    <cellStyle name="Percent" xfId="2" builtinId="5"/>
    <cellStyle name="Percent 2" xfId="11" xr:uid="{00000000-0005-0000-0000-00000C000000}"/>
  </cellStyles>
  <dxfs count="21">
    <dxf>
      <font>
        <b/>
        <i val="0"/>
        <color theme="0"/>
      </font>
      <fill>
        <patternFill>
          <bgColor theme="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70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70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70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70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70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70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70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70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70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70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2" defaultPivotStyle="PivotStyleLight16"/>
  <colors>
    <mruColors>
      <color rgb="FFF9F9F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chemeClr val="accent5">
                    <a:lumMod val="50000"/>
                  </a:schemeClr>
                </a:solidFill>
              </a:defRPr>
            </a:pPr>
            <a:r>
              <a:rPr lang="en-US" sz="1200" b="1">
                <a:solidFill>
                  <a:schemeClr val="accent5">
                    <a:lumMod val="50000"/>
                  </a:schemeClr>
                </a:solidFill>
              </a:rPr>
              <a:t>Revenue and Gross</a:t>
            </a:r>
            <a:r>
              <a:rPr lang="en-US" sz="1200" b="1" baseline="0">
                <a:solidFill>
                  <a:schemeClr val="accent5">
                    <a:lumMod val="50000"/>
                  </a:schemeClr>
                </a:solidFill>
              </a:rPr>
              <a:t> Profit Margin %</a:t>
            </a:r>
            <a:endParaRPr lang="en-US" sz="1200" b="1">
              <a:solidFill>
                <a:schemeClr val="accent5">
                  <a:lumMod val="50000"/>
                </a:schemeClr>
              </a:solidFill>
            </a:endParaRPr>
          </a:p>
        </c:rich>
      </c:tx>
      <c:overlay val="0"/>
      <c:spPr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'3 STATEMENT MODEL'!$B$129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002060"/>
            </a:solidFill>
            <a:ln cmpd="sng">
              <a:noFill/>
            </a:ln>
          </c:spPr>
          <c:invertIfNegative val="1"/>
          <c:cat>
            <c:strRef>
              <c:f>'3 STATEMENT MODEL'!$E$5:$N$5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'3 STATEMENT MODEL'!$E$129:$N$129</c:f>
              <c:numCache>
                <c:formatCode>_-* #,##0_-;\(#,##0\)_-;_-* "-"_-;_-@</c:formatCode>
                <c:ptCount val="10"/>
                <c:pt idx="0">
                  <c:v>49257.45</c:v>
                </c:pt>
                <c:pt idx="1">
                  <c:v>60644.54</c:v>
                </c:pt>
                <c:pt idx="2">
                  <c:v>70919.03</c:v>
                </c:pt>
                <c:pt idx="3">
                  <c:v>67931.94</c:v>
                </c:pt>
                <c:pt idx="4">
                  <c:v>75323.34</c:v>
                </c:pt>
                <c:pt idx="5">
                  <c:v>83077.163594137033</c:v>
                </c:pt>
                <c:pt idx="6">
                  <c:v>91629.169801113545</c:v>
                </c:pt>
                <c:pt idx="7">
                  <c:v>101061.52395209865</c:v>
                </c:pt>
                <c:pt idx="8">
                  <c:v>111464.84951996683</c:v>
                </c:pt>
                <c:pt idx="9">
                  <c:v>122939.0988047815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472-49BC-A4D9-CF33A05D9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'3 STATEMENT MODEL'!$B$130</c:f>
              <c:strCache>
                <c:ptCount val="1"/>
                <c:pt idx="0">
                  <c:v> Gross Profit Margin (%)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'3 STATEMENT MODEL'!$E$130:$N$130</c:f>
              <c:numCache>
                <c:formatCode>0%</c:formatCode>
                <c:ptCount val="10"/>
                <c:pt idx="0">
                  <c:v>0.54487737387948421</c:v>
                </c:pt>
                <c:pt idx="1">
                  <c:v>0.51912389804589176</c:v>
                </c:pt>
                <c:pt idx="2">
                  <c:v>0.54080153098540684</c:v>
                </c:pt>
                <c:pt idx="3">
                  <c:v>0.55665243771928197</c:v>
                </c:pt>
                <c:pt idx="4">
                  <c:v>0.53136132837444539</c:v>
                </c:pt>
                <c:pt idx="5">
                  <c:v>0.56268925884132404</c:v>
                </c:pt>
                <c:pt idx="6">
                  <c:v>0.56268925884132404</c:v>
                </c:pt>
                <c:pt idx="7">
                  <c:v>0.56268925884132404</c:v>
                </c:pt>
                <c:pt idx="8">
                  <c:v>0.56268925884132404</c:v>
                </c:pt>
                <c:pt idx="9">
                  <c:v>0.56268925884132392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72-49BC-A4D9-CF33A05D9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>
            <c:tx>
              <c:rich>
                <a:bodyPr/>
                <a:lstStyle/>
                <a:p>
                  <a:pPr>
                    <a:defRPr/>
                  </a:pPr>
                  <a:r>
                    <a:rPr lang="en-US"/>
                    <a:t>Thousands (in</a:t>
                  </a:r>
                  <a:r>
                    <a:rPr lang="en-US" baseline="0"/>
                    <a:t> Crs.)</a:t>
                  </a:r>
                  <a:endParaRPr lang="en-US"/>
                </a:p>
              </c:rich>
            </c:tx>
          </c:dispUnitsLbl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0.2347994649379696"/>
          <c:y val="0.11339049297624257"/>
          <c:w val="0.53040108046837509"/>
          <c:h val="6.7917045580570032E-2"/>
        </c:manualLayout>
      </c:layout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chemeClr val="accent5">
                    <a:lumMod val="50000"/>
                  </a:schemeClr>
                </a:solidFill>
              </a:defRPr>
            </a:pPr>
            <a:r>
              <a:rPr lang="en-US" sz="1200" b="1">
                <a:solidFill>
                  <a:schemeClr val="accent5">
                    <a:lumMod val="50000"/>
                  </a:schemeClr>
                </a:solidFill>
              </a:rPr>
              <a:t>Cash</a:t>
            </a:r>
            <a:r>
              <a:rPr lang="en-US" sz="1200" b="1" baseline="0">
                <a:solidFill>
                  <a:schemeClr val="accent5">
                    <a:lumMod val="50000"/>
                  </a:schemeClr>
                </a:solidFill>
              </a:rPr>
              <a:t> Flow</a:t>
            </a:r>
            <a:endParaRPr lang="en-US" sz="1200" b="1"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47189411792810854"/>
          <c:y val="2.49999835958112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262248468941382"/>
          <c:y val="8.2505991098938719E-2"/>
          <c:w val="0.85300379119276737"/>
          <c:h val="0.81233259356766718"/>
        </c:manualLayout>
      </c:layout>
      <c:barChart>
        <c:barDir val="col"/>
        <c:grouping val="clustered"/>
        <c:varyColors val="1"/>
        <c:ser>
          <c:idx val="1"/>
          <c:order val="0"/>
          <c:tx>
            <c:strRef>
              <c:f>'3 STATEMENT MODEL'!$B$132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8FAADC"/>
            </a:solidFill>
          </c:spPr>
          <c:invertIfNegative val="1"/>
          <c:cat>
            <c:strRef>
              <c:f>'3 STATEMENT MODEL'!$E$5:$N$5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'3 STATEMENT MODEL'!$E$132:$N$132</c:f>
              <c:numCache>
                <c:formatCode>_-* #,##0_-;\(#,##0\)_-;_-* "-"_-;_-@</c:formatCode>
                <c:ptCount val="10"/>
                <c:pt idx="0">
                  <c:v>14998.59</c:v>
                </c:pt>
                <c:pt idx="1">
                  <c:v>17706.41</c:v>
                </c:pt>
                <c:pt idx="2">
                  <c:v>22535.01</c:v>
                </c:pt>
                <c:pt idx="3">
                  <c:v>25371.05</c:v>
                </c:pt>
                <c:pt idx="4">
                  <c:v>24757.32</c:v>
                </c:pt>
                <c:pt idx="5">
                  <c:v>8557.9044827239777</c:v>
                </c:pt>
                <c:pt idx="6">
                  <c:v>24394.764985222446</c:v>
                </c:pt>
                <c:pt idx="7">
                  <c:v>27376.250365050768</c:v>
                </c:pt>
                <c:pt idx="8">
                  <c:v>30656.804262764013</c:v>
                </c:pt>
                <c:pt idx="9">
                  <c:v>34266.267092059556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13B-4144-B9E0-179BFC804279}"/>
            </c:ext>
          </c:extLst>
        </c:ser>
        <c:ser>
          <c:idx val="0"/>
          <c:order val="1"/>
          <c:tx>
            <c:strRef>
              <c:f>'3 STATEMENT MODEL'!$B$133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'3 STATEMENT MODEL'!$E$133:$N$133</c:f>
              <c:numCache>
                <c:formatCode>_-* #,##0_-;\(#,##0\)_-;_-* "-"_-;_-@</c:formatCode>
                <c:ptCount val="10"/>
                <c:pt idx="0">
                  <c:v>-5741</c:v>
                </c:pt>
                <c:pt idx="1">
                  <c:v>2238</c:v>
                </c:pt>
                <c:pt idx="2">
                  <c:v>5732</c:v>
                </c:pt>
                <c:pt idx="3">
                  <c:v>-1563</c:v>
                </c:pt>
                <c:pt idx="4">
                  <c:v>564</c:v>
                </c:pt>
                <c:pt idx="5">
                  <c:v>1272.8572303663852</c:v>
                </c:pt>
                <c:pt idx="6">
                  <c:v>1592.9669546894759</c:v>
                </c:pt>
                <c:pt idx="7">
                  <c:v>1946.0289396686596</c:v>
                </c:pt>
                <c:pt idx="8">
                  <c:v>2335.4353080663886</c:v>
                </c:pt>
                <c:pt idx="9">
                  <c:v>2764.9273695174224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B-4144-B9E0-179BFC804279}"/>
            </c:ext>
          </c:extLst>
        </c:ser>
        <c:ser>
          <c:idx val="2"/>
          <c:order val="2"/>
          <c:tx>
            <c:strRef>
              <c:f>'3 STATEMENT MODEL'!$B$134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val>
            <c:numRef>
              <c:f>'3 STATEMENT MODEL'!$E$134:$N$134</c:f>
              <c:numCache>
                <c:formatCode>_-* #,##0_-;\(#,##0\)_-;_-* "-"_-;_-@</c:formatCode>
                <c:ptCount val="10"/>
                <c:pt idx="0">
                  <c:v>-18633</c:v>
                </c:pt>
                <c:pt idx="1">
                  <c:v>-13581</c:v>
                </c:pt>
                <c:pt idx="2">
                  <c:v>-13007</c:v>
                </c:pt>
                <c:pt idx="3">
                  <c:v>-18551</c:v>
                </c:pt>
                <c:pt idx="4">
                  <c:v>-16988</c:v>
                </c:pt>
                <c:pt idx="5">
                  <c:v>-15699.55</c:v>
                </c:pt>
                <c:pt idx="6">
                  <c:v>-15699.55</c:v>
                </c:pt>
                <c:pt idx="7">
                  <c:v>-15699.55</c:v>
                </c:pt>
                <c:pt idx="8">
                  <c:v>-15699.55</c:v>
                </c:pt>
                <c:pt idx="9">
                  <c:v>-15699.55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3B-4144-B9E0-179BFC804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  <c:dispUnits>
          <c:builtInUnit val="thousands"/>
          <c:dispUnitsLbl>
            <c:tx>
              <c:rich>
                <a:bodyPr/>
                <a:lstStyle/>
                <a:p>
                  <a:pPr>
                    <a:defRPr/>
                  </a:pPr>
                  <a:r>
                    <a:rPr lang="en-US"/>
                    <a:t>Thousands (in Crs.)</a:t>
                  </a:r>
                </a:p>
              </c:rich>
            </c:tx>
          </c:dispUnitsLbl>
        </c:dispUnits>
      </c:valAx>
    </c:plotArea>
    <c:legend>
      <c:legendPos val="l"/>
      <c:layout>
        <c:manualLayout>
          <c:xMode val="edge"/>
          <c:yMode val="edge"/>
          <c:x val="0.16131866629402575"/>
          <c:y val="0.82306770139914609"/>
          <c:w val="0.79769277762693458"/>
          <c:h val="7.8686303322084955E-2"/>
        </c:manualLayout>
      </c:layout>
      <c:overlay val="1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134937</xdr:colOff>
      <xdr:row>135</xdr:row>
      <xdr:rowOff>38098</xdr:rowOff>
    </xdr:from>
    <xdr:ext cx="5256213" cy="3409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37328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381000</xdr:colOff>
      <xdr:row>135</xdr:row>
      <xdr:rowOff>47620</xdr:rowOff>
    </xdr:from>
    <xdr:ext cx="5256000" cy="301942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1FEC8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4</xdr:col>
      <xdr:colOff>323850</xdr:colOff>
      <xdr:row>138</xdr:row>
      <xdr:rowOff>142875</xdr:rowOff>
    </xdr:from>
    <xdr:to>
      <xdr:col>4</xdr:col>
      <xdr:colOff>323850</xdr:colOff>
      <xdr:row>151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3000375" y="24831675"/>
          <a:ext cx="0" cy="2333625"/>
        </a:xfrm>
        <a:prstGeom prst="line">
          <a:avLst/>
        </a:prstGeom>
        <a:ln w="9525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137</xdr:row>
      <xdr:rowOff>85725</xdr:rowOff>
    </xdr:from>
    <xdr:to>
      <xdr:col>11</xdr:col>
      <xdr:colOff>219075</xdr:colOff>
      <xdr:row>148</xdr:row>
      <xdr:rowOff>38100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8296275" y="24584025"/>
          <a:ext cx="0" cy="2047875"/>
        </a:xfrm>
        <a:prstGeom prst="line">
          <a:avLst/>
        </a:prstGeom>
        <a:ln w="9525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63</xdr:row>
      <xdr:rowOff>161925</xdr:rowOff>
    </xdr:from>
    <xdr:to>
      <xdr:col>13</xdr:col>
      <xdr:colOff>292412</xdr:colOff>
      <xdr:row>71</xdr:row>
      <xdr:rowOff>47626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 flipV="1">
          <a:off x="8334375" y="14258925"/>
          <a:ext cx="2340287" cy="1409701"/>
        </a:xfrm>
        <a:prstGeom prst="straightConnector1">
          <a:avLst/>
        </a:prstGeom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23</xdr:row>
      <xdr:rowOff>114300</xdr:rowOff>
    </xdr:from>
    <xdr:to>
      <xdr:col>12</xdr:col>
      <xdr:colOff>495300</xdr:colOff>
      <xdr:row>25</xdr:row>
      <xdr:rowOff>76200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0934700" y="4495800"/>
          <a:ext cx="952500" cy="3429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m/Downloads/ITC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n/Desktop/Finance%20Projects/ITC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Historical Data"/>
      <sheetName val="One Page Profile"/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/>
      <sheetData sheetId="1"/>
      <sheetData sheetId="2"/>
      <sheetData sheetId="3">
        <row r="1">
          <cell r="A1" t="str">
            <v>ITC LTD</v>
          </cell>
        </row>
        <row r="4">
          <cell r="B4">
            <v>39192.1</v>
          </cell>
          <cell r="C4">
            <v>42767.6</v>
          </cell>
          <cell r="D4">
            <v>43448.94</v>
          </cell>
          <cell r="E4">
            <v>48339.58</v>
          </cell>
          <cell r="F4">
            <v>49387.7</v>
          </cell>
          <cell r="G4">
            <v>49257.45</v>
          </cell>
          <cell r="H4">
            <v>60644.54</v>
          </cell>
          <cell r="I4">
            <v>70919.03</v>
          </cell>
          <cell r="J4">
            <v>67931.94</v>
          </cell>
          <cell r="K4">
            <v>75323.34</v>
          </cell>
        </row>
        <row r="9">
          <cell r="C9">
            <v>49.03</v>
          </cell>
          <cell r="D9">
            <v>115.01</v>
          </cell>
          <cell r="E9">
            <v>71.400000000000006</v>
          </cell>
          <cell r="F9">
            <v>81.38</v>
          </cell>
          <cell r="G9">
            <v>57.97</v>
          </cell>
          <cell r="H9">
            <v>59.99</v>
          </cell>
          <cell r="I9">
            <v>77.77</v>
          </cell>
          <cell r="J9">
            <v>39.11</v>
          </cell>
          <cell r="K9">
            <v>45.06</v>
          </cell>
        </row>
        <row r="10">
          <cell r="C10">
            <v>16026.32</v>
          </cell>
          <cell r="D10">
            <v>17409.11</v>
          </cell>
          <cell r="E10">
            <v>19149.82</v>
          </cell>
          <cell r="F10">
            <v>20034.57</v>
          </cell>
          <cell r="G10">
            <v>17938.169999999998</v>
          </cell>
          <cell r="H10">
            <v>20740.47</v>
          </cell>
          <cell r="I10">
            <v>25915.119999999999</v>
          </cell>
          <cell r="J10">
            <v>26960.82</v>
          </cell>
          <cell r="K10">
            <v>41942.949999999997</v>
          </cell>
        </row>
        <row r="12">
          <cell r="B12">
            <v>9344.4500000000007</v>
          </cell>
          <cell r="C12">
            <v>10289.44</v>
          </cell>
          <cell r="D12">
            <v>11271.2</v>
          </cell>
          <cell r="E12">
            <v>12592.33</v>
          </cell>
          <cell r="F12">
            <v>15306.23</v>
          </cell>
          <cell r="G12">
            <v>13161.19</v>
          </cell>
          <cell r="H12">
            <v>15242.66</v>
          </cell>
          <cell r="I12">
            <v>19191.66</v>
          </cell>
          <cell r="J12">
            <v>20458.78</v>
          </cell>
          <cell r="K12">
            <v>34746.629999999997</v>
          </cell>
        </row>
      </sheetData>
      <sheetData sheetId="4">
        <row r="4">
          <cell r="H4">
            <v>19990.36</v>
          </cell>
          <cell r="I4">
            <v>18790.169999999998</v>
          </cell>
          <cell r="J4">
            <v>18765</v>
          </cell>
          <cell r="K4">
            <v>21494.79</v>
          </cell>
        </row>
        <row r="5">
          <cell r="H5">
            <v>13438.28</v>
          </cell>
          <cell r="I5">
            <v>12428.27</v>
          </cell>
          <cell r="J5">
            <v>12245.61</v>
          </cell>
          <cell r="K5">
            <v>14678.32</v>
          </cell>
        </row>
        <row r="6">
          <cell r="H6">
            <v>6552.08</v>
          </cell>
          <cell r="I6">
            <v>6361.9</v>
          </cell>
          <cell r="J6">
            <v>6519.39</v>
          </cell>
          <cell r="K6">
            <v>6816.47</v>
          </cell>
        </row>
        <row r="7">
          <cell r="H7">
            <v>690.31</v>
          </cell>
          <cell r="I7">
            <v>803.4</v>
          </cell>
          <cell r="J7">
            <v>15391.28</v>
          </cell>
          <cell r="K7">
            <v>750.97</v>
          </cell>
        </row>
        <row r="8">
          <cell r="H8">
            <v>416.18</v>
          </cell>
          <cell r="I8">
            <v>415.98</v>
          </cell>
          <cell r="J8">
            <v>411.03</v>
          </cell>
          <cell r="K8">
            <v>422.96</v>
          </cell>
        </row>
        <row r="9">
          <cell r="H9">
            <v>14.73</v>
          </cell>
          <cell r="I9">
            <v>9.82</v>
          </cell>
          <cell r="J9">
            <v>10.91</v>
          </cell>
          <cell r="K9">
            <v>16.47</v>
          </cell>
        </row>
        <row r="10">
          <cell r="H10">
            <v>6811.48</v>
          </cell>
          <cell r="I10">
            <v>6739.5</v>
          </cell>
          <cell r="J10">
            <v>21488.73</v>
          </cell>
          <cell r="K10">
            <v>7128.01</v>
          </cell>
        </row>
        <row r="11">
          <cell r="H11">
            <v>1757.05</v>
          </cell>
          <cell r="I11">
            <v>1726.32</v>
          </cell>
          <cell r="J11">
            <v>1680.85</v>
          </cell>
          <cell r="K11">
            <v>1784.6</v>
          </cell>
        </row>
        <row r="12">
          <cell r="H12">
            <v>4992.87</v>
          </cell>
          <cell r="I12">
            <v>4934.8</v>
          </cell>
          <cell r="J12">
            <v>19727.37</v>
          </cell>
          <cell r="K12">
            <v>5244.2</v>
          </cell>
        </row>
      </sheetData>
      <sheetData sheetId="5"/>
      <sheetData sheetId="6"/>
      <sheetData sheetId="7"/>
      <sheetData sheetId="8">
        <row r="1">
          <cell r="B1" t="str">
            <v>ITC LTD</v>
          </cell>
          <cell r="E1" t="str">
            <v/>
          </cell>
        </row>
        <row r="6">
          <cell r="B6">
            <v>1252.2004488778055</v>
          </cell>
        </row>
        <row r="8">
          <cell r="B8">
            <v>401</v>
          </cell>
        </row>
        <row r="16">
          <cell r="B16">
            <v>42460</v>
          </cell>
          <cell r="C16">
            <v>42825</v>
          </cell>
          <cell r="D16">
            <v>43190</v>
          </cell>
          <cell r="E16">
            <v>43555</v>
          </cell>
          <cell r="F16">
            <v>43921</v>
          </cell>
          <cell r="G16">
            <v>44286</v>
          </cell>
          <cell r="H16">
            <v>44651</v>
          </cell>
          <cell r="I16">
            <v>45016</v>
          </cell>
          <cell r="J16">
            <v>45382</v>
          </cell>
          <cell r="K16">
            <v>45747</v>
          </cell>
        </row>
        <row r="17">
          <cell r="B17">
            <v>39192.1</v>
          </cell>
          <cell r="C17">
            <v>42767.6</v>
          </cell>
          <cell r="D17">
            <v>43448.94</v>
          </cell>
          <cell r="E17">
            <v>48339.58</v>
          </cell>
          <cell r="F17">
            <v>49387.7</v>
          </cell>
          <cell r="G17">
            <v>49257.45</v>
          </cell>
          <cell r="H17">
            <v>60644.54</v>
          </cell>
          <cell r="I17">
            <v>70919.03</v>
          </cell>
          <cell r="J17">
            <v>67931.94</v>
          </cell>
          <cell r="K17">
            <v>75323.34</v>
          </cell>
        </row>
        <row r="18">
          <cell r="B18">
            <v>13763.88</v>
          </cell>
          <cell r="C18">
            <v>15456.59</v>
          </cell>
          <cell r="D18">
            <v>14827.72</v>
          </cell>
          <cell r="E18">
            <v>17623.52</v>
          </cell>
          <cell r="F18">
            <v>18048.599999999999</v>
          </cell>
          <cell r="G18">
            <v>20776.71</v>
          </cell>
          <cell r="H18">
            <v>27071.07</v>
          </cell>
          <cell r="I18">
            <v>29364.36</v>
          </cell>
          <cell r="J18">
            <v>27348.57</v>
          </cell>
          <cell r="K18">
            <v>32704.37</v>
          </cell>
        </row>
        <row r="19">
          <cell r="B19">
            <v>195.38</v>
          </cell>
          <cell r="C19">
            <v>-592.57000000000005</v>
          </cell>
          <cell r="D19">
            <v>-1027.76</v>
          </cell>
          <cell r="E19">
            <v>203.19</v>
          </cell>
          <cell r="F19">
            <v>703.13</v>
          </cell>
          <cell r="G19">
            <v>645.27</v>
          </cell>
          <cell r="H19">
            <v>686</v>
          </cell>
          <cell r="I19">
            <v>358.59</v>
          </cell>
          <cell r="J19">
            <v>367.77</v>
          </cell>
          <cell r="K19">
            <v>725.65</v>
          </cell>
        </row>
        <row r="20">
          <cell r="B20">
            <v>571.88</v>
          </cell>
          <cell r="C20">
            <v>584.33000000000004</v>
          </cell>
          <cell r="D20">
            <v>653.5</v>
          </cell>
          <cell r="E20">
            <v>746.73</v>
          </cell>
          <cell r="F20">
            <v>780.85</v>
          </cell>
          <cell r="G20">
            <v>699.56</v>
          </cell>
          <cell r="H20">
            <v>889.77</v>
          </cell>
          <cell r="I20">
            <v>1232.3399999999999</v>
          </cell>
          <cell r="J20">
            <v>952.9</v>
          </cell>
          <cell r="K20">
            <v>975.35</v>
          </cell>
        </row>
        <row r="21">
          <cell r="B21">
            <v>1581.59</v>
          </cell>
          <cell r="C21">
            <v>1683.9</v>
          </cell>
          <cell r="D21">
            <v>1697.62</v>
          </cell>
          <cell r="E21">
            <v>1871.01</v>
          </cell>
          <cell r="F21">
            <v>1908.29</v>
          </cell>
          <cell r="G21">
            <v>1587.18</v>
          </cell>
          <cell r="H21">
            <v>1887.67</v>
          </cell>
          <cell r="I21">
            <v>2327.8000000000002</v>
          </cell>
          <cell r="J21">
            <v>2183.7600000000002</v>
          </cell>
          <cell r="K21">
            <v>2345.36</v>
          </cell>
        </row>
        <row r="22">
          <cell r="B22">
            <v>3440.97</v>
          </cell>
          <cell r="C22">
            <v>3631.73</v>
          </cell>
          <cell r="D22">
            <v>3760.9</v>
          </cell>
          <cell r="E22">
            <v>4177.88</v>
          </cell>
          <cell r="F22">
            <v>4295.79</v>
          </cell>
          <cell r="G22">
            <v>4463.33</v>
          </cell>
          <cell r="H22">
            <v>4890.55</v>
          </cell>
          <cell r="I22">
            <v>5736.22</v>
          </cell>
          <cell r="J22">
            <v>5548.53</v>
          </cell>
          <cell r="K22">
            <v>6169.78</v>
          </cell>
        </row>
        <row r="23">
          <cell r="B23">
            <v>4261.78</v>
          </cell>
          <cell r="C23">
            <v>4179.74</v>
          </cell>
          <cell r="D23">
            <v>3954.87</v>
          </cell>
          <cell r="E23">
            <v>4546.3900000000003</v>
          </cell>
          <cell r="F23">
            <v>4488.63</v>
          </cell>
          <cell r="G23">
            <v>4236.7700000000004</v>
          </cell>
          <cell r="H23">
            <v>4858.38</v>
          </cell>
          <cell r="I23">
            <v>5604.08</v>
          </cell>
          <cell r="J23">
            <v>5312.45</v>
          </cell>
          <cell r="K23">
            <v>5793.29</v>
          </cell>
        </row>
        <row r="24">
          <cell r="B24">
            <v>1235.8900000000001</v>
          </cell>
          <cell r="C24">
            <v>1169.23</v>
          </cell>
          <cell r="D24">
            <v>1005.98</v>
          </cell>
          <cell r="E24">
            <v>1039.8499999999999</v>
          </cell>
          <cell r="F24">
            <v>1225.1300000000001</v>
          </cell>
          <cell r="G24">
            <v>1074.3900000000001</v>
          </cell>
          <cell r="H24">
            <v>1109.95</v>
          </cell>
          <cell r="I24">
            <v>1308.56</v>
          </cell>
          <cell r="J24">
            <v>1765.97</v>
          </cell>
          <cell r="K24">
            <v>2221.39</v>
          </cell>
        </row>
        <row r="25">
          <cell r="B25">
            <v>1483.11</v>
          </cell>
          <cell r="C25">
            <v>1758.63</v>
          </cell>
          <cell r="D25">
            <v>2239.81</v>
          </cell>
          <cell r="E25">
            <v>2080.44</v>
          </cell>
          <cell r="F25">
            <v>2417.3200000000002</v>
          </cell>
          <cell r="G25">
            <v>2576.9499999999998</v>
          </cell>
          <cell r="H25">
            <v>1909.72</v>
          </cell>
          <cell r="I25">
            <v>2097.64</v>
          </cell>
          <cell r="J25">
            <v>3330.45</v>
          </cell>
          <cell r="K25">
            <v>17794.88</v>
          </cell>
        </row>
        <row r="26">
          <cell r="B26">
            <v>1077.4000000000001</v>
          </cell>
          <cell r="C26">
            <v>1152.79</v>
          </cell>
          <cell r="D26">
            <v>1236.28</v>
          </cell>
          <cell r="E26">
            <v>1396.61</v>
          </cell>
          <cell r="F26">
            <v>1644.91</v>
          </cell>
          <cell r="G26">
            <v>1645.59</v>
          </cell>
          <cell r="H26">
            <v>1732.41</v>
          </cell>
          <cell r="I26">
            <v>1809.01</v>
          </cell>
          <cell r="J26">
            <v>1518.05</v>
          </cell>
          <cell r="K26">
            <v>1646.32</v>
          </cell>
        </row>
        <row r="27">
          <cell r="B27">
            <v>78.13</v>
          </cell>
          <cell r="C27">
            <v>49.03</v>
          </cell>
          <cell r="D27">
            <v>115.01</v>
          </cell>
          <cell r="E27">
            <v>71.400000000000006</v>
          </cell>
          <cell r="F27">
            <v>81.38</v>
          </cell>
          <cell r="G27">
            <v>57.97</v>
          </cell>
          <cell r="H27">
            <v>59.99</v>
          </cell>
          <cell r="I27">
            <v>77.77</v>
          </cell>
          <cell r="J27">
            <v>39.11</v>
          </cell>
          <cell r="K27">
            <v>45.06</v>
          </cell>
        </row>
        <row r="28">
          <cell r="B28">
            <v>14859.07</v>
          </cell>
          <cell r="C28">
            <v>16026.32</v>
          </cell>
          <cell r="D28">
            <v>17409.11</v>
          </cell>
          <cell r="E28">
            <v>19149.82</v>
          </cell>
          <cell r="F28">
            <v>20034.57</v>
          </cell>
          <cell r="G28">
            <v>17938.169999999998</v>
          </cell>
          <cell r="H28">
            <v>20740.47</v>
          </cell>
          <cell r="I28">
            <v>25915.119999999999</v>
          </cell>
          <cell r="J28">
            <v>26960.82</v>
          </cell>
          <cell r="K28">
            <v>41942.949999999997</v>
          </cell>
        </row>
        <row r="29">
          <cell r="B29">
            <v>5358.21</v>
          </cell>
          <cell r="C29">
            <v>5549.09</v>
          </cell>
          <cell r="D29">
            <v>5916.43</v>
          </cell>
          <cell r="E29">
            <v>6313.92</v>
          </cell>
          <cell r="F29">
            <v>4441.79</v>
          </cell>
          <cell r="G29">
            <v>4555.29</v>
          </cell>
          <cell r="H29">
            <v>5237.34</v>
          </cell>
          <cell r="I29">
            <v>6438.4</v>
          </cell>
          <cell r="J29">
            <v>6209.46</v>
          </cell>
          <cell r="K29">
            <v>6890.47</v>
          </cell>
        </row>
        <row r="30">
          <cell r="B30">
            <v>9344.4500000000007</v>
          </cell>
          <cell r="C30">
            <v>10289.44</v>
          </cell>
          <cell r="D30">
            <v>11271.2</v>
          </cell>
          <cell r="E30">
            <v>12592.33</v>
          </cell>
          <cell r="F30">
            <v>15306.23</v>
          </cell>
          <cell r="G30">
            <v>13161.19</v>
          </cell>
          <cell r="H30">
            <v>15242.66</v>
          </cell>
          <cell r="I30">
            <v>19191.66</v>
          </cell>
          <cell r="J30">
            <v>20458.78</v>
          </cell>
          <cell r="K30">
            <v>34746.629999999997</v>
          </cell>
        </row>
        <row r="31">
          <cell r="B31">
            <v>6840.12</v>
          </cell>
          <cell r="C31">
            <v>5770.02</v>
          </cell>
          <cell r="D31">
            <v>6285.21</v>
          </cell>
          <cell r="E31">
            <v>7048.7</v>
          </cell>
          <cell r="F31">
            <v>12476.58</v>
          </cell>
          <cell r="G31">
            <v>13231.96</v>
          </cell>
          <cell r="H31">
            <v>14171.8</v>
          </cell>
          <cell r="I31">
            <v>19263.400000000001</v>
          </cell>
          <cell r="J31">
            <v>17166.46</v>
          </cell>
          <cell r="K31">
            <v>17957.73</v>
          </cell>
        </row>
        <row r="56">
          <cell r="B56">
            <v>42460</v>
          </cell>
          <cell r="C56">
            <v>42825</v>
          </cell>
          <cell r="D56">
            <v>43190</v>
          </cell>
          <cell r="E56">
            <v>43555</v>
          </cell>
          <cell r="F56">
            <v>43921</v>
          </cell>
          <cell r="G56">
            <v>44286</v>
          </cell>
          <cell r="H56">
            <v>44651</v>
          </cell>
          <cell r="I56">
            <v>45016</v>
          </cell>
          <cell r="J56">
            <v>45382</v>
          </cell>
          <cell r="K56">
            <v>45747</v>
          </cell>
        </row>
        <row r="57">
          <cell r="B57">
            <v>804.72</v>
          </cell>
          <cell r="C57">
            <v>1214.74</v>
          </cell>
          <cell r="D57">
            <v>1220.43</v>
          </cell>
          <cell r="E57">
            <v>1225.8599999999999</v>
          </cell>
          <cell r="F57">
            <v>1229.22</v>
          </cell>
          <cell r="G57">
            <v>1230.8800000000001</v>
          </cell>
          <cell r="H57">
            <v>1232.33</v>
          </cell>
          <cell r="I57">
            <v>1242.8</v>
          </cell>
          <cell r="J57">
            <v>1248.47</v>
          </cell>
          <cell r="K57">
            <v>1251.4100000000001</v>
          </cell>
        </row>
        <row r="58">
          <cell r="B58">
            <v>41874.800000000003</v>
          </cell>
          <cell r="C58">
            <v>45198.19</v>
          </cell>
          <cell r="D58">
            <v>51289.68</v>
          </cell>
          <cell r="E58">
            <v>57915.01</v>
          </cell>
          <cell r="F58">
            <v>64044.04</v>
          </cell>
          <cell r="G58">
            <v>59116.46</v>
          </cell>
          <cell r="H58">
            <v>61223.24</v>
          </cell>
          <cell r="I58">
            <v>67912.460000000006</v>
          </cell>
          <cell r="J58">
            <v>73258.53</v>
          </cell>
          <cell r="K58">
            <v>68778.64</v>
          </cell>
        </row>
        <row r="59">
          <cell r="B59">
            <v>83.78</v>
          </cell>
          <cell r="C59">
            <v>45.72</v>
          </cell>
          <cell r="D59">
            <v>35.92</v>
          </cell>
          <cell r="E59">
            <v>13.44</v>
          </cell>
          <cell r="F59">
            <v>277.45</v>
          </cell>
          <cell r="G59">
            <v>270.83</v>
          </cell>
          <cell r="H59">
            <v>249.44</v>
          </cell>
          <cell r="I59">
            <v>306.04000000000002</v>
          </cell>
          <cell r="J59">
            <v>303.43</v>
          </cell>
          <cell r="K59">
            <v>284.54000000000002</v>
          </cell>
        </row>
        <row r="60">
          <cell r="B60">
            <v>8888.0400000000009</v>
          </cell>
          <cell r="C60">
            <v>9439.67</v>
          </cell>
          <cell r="D60">
            <v>11694.85</v>
          </cell>
          <cell r="E60">
            <v>12584.73</v>
          </cell>
          <cell r="F60">
            <v>11760.04</v>
          </cell>
          <cell r="G60">
            <v>13142.59</v>
          </cell>
          <cell r="H60">
            <v>14491.01</v>
          </cell>
          <cell r="I60">
            <v>16369.66</v>
          </cell>
          <cell r="J60">
            <v>16943.54</v>
          </cell>
          <cell r="K60">
            <v>17688.11</v>
          </cell>
        </row>
        <row r="61">
          <cell r="B61">
            <v>51651.34</v>
          </cell>
          <cell r="C61">
            <v>55898.32</v>
          </cell>
          <cell r="D61">
            <v>64240.88</v>
          </cell>
          <cell r="E61">
            <v>71739.039999999994</v>
          </cell>
          <cell r="F61">
            <v>77310.75</v>
          </cell>
          <cell r="G61">
            <v>73760.759999999995</v>
          </cell>
          <cell r="H61">
            <v>77196.02</v>
          </cell>
          <cell r="I61">
            <v>85830.96</v>
          </cell>
          <cell r="J61">
            <v>91753.97</v>
          </cell>
          <cell r="K61">
            <v>88002.7</v>
          </cell>
        </row>
        <row r="62">
          <cell r="B62">
            <v>15106.63</v>
          </cell>
          <cell r="C62">
            <v>15893.48</v>
          </cell>
          <cell r="D62">
            <v>16523.96</v>
          </cell>
          <cell r="E62">
            <v>19374.189999999999</v>
          </cell>
          <cell r="F62">
            <v>21713.34</v>
          </cell>
          <cell r="G62">
            <v>23298.48</v>
          </cell>
          <cell r="H62">
            <v>24231.59</v>
          </cell>
          <cell r="I62">
            <v>25851.27</v>
          </cell>
          <cell r="J62">
            <v>27820.22</v>
          </cell>
          <cell r="K62">
            <v>21954.85</v>
          </cell>
        </row>
        <row r="63">
          <cell r="B63">
            <v>2559.7199999999998</v>
          </cell>
          <cell r="C63">
            <v>3729.89</v>
          </cell>
          <cell r="D63">
            <v>5508.33</v>
          </cell>
          <cell r="E63">
            <v>4136.42</v>
          </cell>
          <cell r="F63">
            <v>3256.46</v>
          </cell>
          <cell r="G63">
            <v>4011.29</v>
          </cell>
          <cell r="H63">
            <v>3225.54</v>
          </cell>
          <cell r="I63">
            <v>3003.3</v>
          </cell>
          <cell r="J63">
            <v>2860.78</v>
          </cell>
          <cell r="K63">
            <v>1090.9100000000001</v>
          </cell>
        </row>
        <row r="64">
          <cell r="B64">
            <v>11747.59</v>
          </cell>
          <cell r="C64">
            <v>17581.38</v>
          </cell>
          <cell r="D64">
            <v>22052.86</v>
          </cell>
          <cell r="E64">
            <v>25043.49</v>
          </cell>
          <cell r="F64">
            <v>28663.35</v>
          </cell>
          <cell r="G64">
            <v>24870.87</v>
          </cell>
          <cell r="H64">
            <v>24841.01</v>
          </cell>
          <cell r="I64">
            <v>29415.02</v>
          </cell>
          <cell r="J64">
            <v>31114.02</v>
          </cell>
          <cell r="K64">
            <v>34719.82</v>
          </cell>
        </row>
        <row r="65">
          <cell r="B65">
            <v>22237.4</v>
          </cell>
          <cell r="C65">
            <v>18693.57</v>
          </cell>
          <cell r="D65">
            <v>20155.73</v>
          </cell>
          <cell r="E65">
            <v>23184.94</v>
          </cell>
          <cell r="F65">
            <v>23677.599999999999</v>
          </cell>
          <cell r="G65">
            <v>21580.12</v>
          </cell>
          <cell r="H65">
            <v>24897.88</v>
          </cell>
          <cell r="I65">
            <v>27561.37</v>
          </cell>
          <cell r="J65">
            <v>29958.95</v>
          </cell>
          <cell r="K65">
            <v>30237.119999999999</v>
          </cell>
        </row>
        <row r="66">
          <cell r="B66">
            <v>51651.34</v>
          </cell>
          <cell r="C66">
            <v>55898.32</v>
          </cell>
          <cell r="D66">
            <v>64240.88</v>
          </cell>
          <cell r="E66">
            <v>71739.039999999994</v>
          </cell>
          <cell r="F66">
            <v>77310.75</v>
          </cell>
          <cell r="G66">
            <v>73760.759999999995</v>
          </cell>
          <cell r="H66">
            <v>77196.02</v>
          </cell>
          <cell r="I66">
            <v>85830.96</v>
          </cell>
          <cell r="J66">
            <v>91753.97</v>
          </cell>
          <cell r="K66">
            <v>88002.7</v>
          </cell>
        </row>
        <row r="67">
          <cell r="B67">
            <v>1917.18</v>
          </cell>
          <cell r="C67">
            <v>2474.29</v>
          </cell>
          <cell r="D67">
            <v>2682.29</v>
          </cell>
          <cell r="E67">
            <v>4035.28</v>
          </cell>
          <cell r="F67">
            <v>2562.48</v>
          </cell>
          <cell r="G67">
            <v>2501.6999999999998</v>
          </cell>
          <cell r="H67">
            <v>2461.9</v>
          </cell>
          <cell r="I67">
            <v>2956.17</v>
          </cell>
          <cell r="J67">
            <v>4025.82</v>
          </cell>
          <cell r="K67">
            <v>4719.67</v>
          </cell>
        </row>
        <row r="68">
          <cell r="B68">
            <v>9062.1</v>
          </cell>
          <cell r="C68">
            <v>8116.1</v>
          </cell>
          <cell r="D68">
            <v>7495.09</v>
          </cell>
          <cell r="E68">
            <v>7859.56</v>
          </cell>
          <cell r="F68">
            <v>8879.33</v>
          </cell>
          <cell r="G68">
            <v>10397.16</v>
          </cell>
          <cell r="H68">
            <v>10864.15</v>
          </cell>
          <cell r="I68">
            <v>11771.16</v>
          </cell>
          <cell r="J68">
            <v>14152.88</v>
          </cell>
          <cell r="K68">
            <v>15637.56</v>
          </cell>
        </row>
        <row r="90">
          <cell r="B90">
            <v>205.13</v>
          </cell>
          <cell r="C90">
            <v>262.75</v>
          </cell>
          <cell r="D90">
            <v>239.5</v>
          </cell>
          <cell r="E90">
            <v>278.64</v>
          </cell>
          <cell r="F90">
            <v>160.94999999999999</v>
          </cell>
          <cell r="G90">
            <v>204.82</v>
          </cell>
          <cell r="H90">
            <v>234.96</v>
          </cell>
          <cell r="I90">
            <v>359.49</v>
          </cell>
          <cell r="J90">
            <v>401.53</v>
          </cell>
          <cell r="K90">
            <v>409.75</v>
          </cell>
        </row>
        <row r="93">
          <cell r="B93">
            <v>1207.08</v>
          </cell>
          <cell r="C93">
            <v>1214.74</v>
          </cell>
          <cell r="D93">
            <v>1220.43</v>
          </cell>
          <cell r="E93">
            <v>1225.8599999999999</v>
          </cell>
          <cell r="F93">
            <v>1229.22</v>
          </cell>
          <cell r="G93">
            <v>1230.8800000000001</v>
          </cell>
          <cell r="H93">
            <v>1232.33</v>
          </cell>
          <cell r="I93">
            <v>1242.8</v>
          </cell>
          <cell r="J93">
            <v>1248.47</v>
          </cell>
          <cell r="K93">
            <v>1251.4100000000001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istorical FS"/>
      <sheetName val="Common Size Statement"/>
      <sheetName val="Ratios"/>
      <sheetName val="Forecasting"/>
      <sheetName val="Beta - Regression"/>
      <sheetName val="WACC"/>
      <sheetName val="Intrinsic Growth"/>
      <sheetName val="DCF"/>
      <sheetName val="Football Field"/>
      <sheetName val="Dupont Analysis"/>
      <sheetName val="Altman Z Score"/>
      <sheetName val="Altman Theory"/>
      <sheetName val="Data"/>
      <sheetName val="Data Sheet"/>
      <sheetName val="WACC Data"/>
      <sheetName val="Historical Data"/>
      <sheetName val="Rm"/>
      <sheetName val="RAW FSn"/>
      <sheetName val="Sector Data"/>
      <sheetName val="RAW FS"/>
      <sheetName val="RAW FS ITC"/>
      <sheetName val="List of Sto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ITC LTD</v>
          </cell>
        </row>
        <row r="16">
          <cell r="B16">
            <v>42460</v>
          </cell>
          <cell r="C16">
            <v>42825</v>
          </cell>
          <cell r="D16">
            <v>43190</v>
          </cell>
          <cell r="E16">
            <v>43555</v>
          </cell>
          <cell r="F16">
            <v>43921</v>
          </cell>
          <cell r="G16">
            <v>44286</v>
          </cell>
          <cell r="H16">
            <v>44651</v>
          </cell>
          <cell r="I16">
            <v>45016</v>
          </cell>
          <cell r="J16">
            <v>45382</v>
          </cell>
          <cell r="K16">
            <v>45747</v>
          </cell>
        </row>
        <row r="17">
          <cell r="B17">
            <v>39192.1</v>
          </cell>
          <cell r="C17">
            <v>42767.6</v>
          </cell>
          <cell r="D17">
            <v>43448.94</v>
          </cell>
          <cell r="E17">
            <v>48339.58</v>
          </cell>
          <cell r="F17">
            <v>49387.7</v>
          </cell>
          <cell r="G17">
            <v>49257.45</v>
          </cell>
          <cell r="H17">
            <v>60644.54</v>
          </cell>
          <cell r="I17">
            <v>70919.03</v>
          </cell>
          <cell r="J17">
            <v>67931.94</v>
          </cell>
          <cell r="K17">
            <v>75323.34</v>
          </cell>
        </row>
        <row r="18">
          <cell r="B18">
            <v>13763.88</v>
          </cell>
          <cell r="C18">
            <v>15456.59</v>
          </cell>
          <cell r="D18">
            <v>14827.72</v>
          </cell>
          <cell r="E18">
            <v>17623.52</v>
          </cell>
          <cell r="F18">
            <v>18048.599999999999</v>
          </cell>
          <cell r="G18">
            <v>20776.71</v>
          </cell>
          <cell r="H18">
            <v>27071.07</v>
          </cell>
          <cell r="I18">
            <v>29364.36</v>
          </cell>
          <cell r="J18">
            <v>27348.57</v>
          </cell>
          <cell r="K18">
            <v>32704.37</v>
          </cell>
        </row>
        <row r="19">
          <cell r="B19">
            <v>195.38</v>
          </cell>
          <cell r="C19">
            <v>-592.57000000000005</v>
          </cell>
          <cell r="D19">
            <v>-1027.76</v>
          </cell>
          <cell r="E19">
            <v>203.19</v>
          </cell>
          <cell r="F19">
            <v>703.13</v>
          </cell>
          <cell r="G19">
            <v>645.27</v>
          </cell>
          <cell r="H19">
            <v>686</v>
          </cell>
          <cell r="I19">
            <v>358.59</v>
          </cell>
          <cell r="J19">
            <v>367.77</v>
          </cell>
          <cell r="K19">
            <v>725.65</v>
          </cell>
        </row>
        <row r="20">
          <cell r="B20">
            <v>571.88</v>
          </cell>
          <cell r="C20">
            <v>584.33000000000004</v>
          </cell>
          <cell r="D20">
            <v>653.5</v>
          </cell>
          <cell r="E20">
            <v>746.73</v>
          </cell>
          <cell r="F20">
            <v>780.85</v>
          </cell>
          <cell r="G20">
            <v>699.56</v>
          </cell>
          <cell r="H20">
            <v>889.77</v>
          </cell>
          <cell r="I20">
            <v>1232.3399999999999</v>
          </cell>
          <cell r="J20">
            <v>952.9</v>
          </cell>
          <cell r="K20">
            <v>975.35</v>
          </cell>
        </row>
        <row r="21">
          <cell r="B21">
            <v>1581.59</v>
          </cell>
          <cell r="C21">
            <v>1683.9</v>
          </cell>
          <cell r="D21">
            <v>1697.62</v>
          </cell>
          <cell r="E21">
            <v>1871.01</v>
          </cell>
          <cell r="F21">
            <v>1908.29</v>
          </cell>
          <cell r="G21">
            <v>1587.18</v>
          </cell>
          <cell r="H21">
            <v>1887.67</v>
          </cell>
          <cell r="I21">
            <v>2327.8000000000002</v>
          </cell>
          <cell r="J21">
            <v>2183.7600000000002</v>
          </cell>
          <cell r="K21">
            <v>2345.36</v>
          </cell>
        </row>
        <row r="22">
          <cell r="B22">
            <v>3440.97</v>
          </cell>
          <cell r="C22">
            <v>3631.73</v>
          </cell>
          <cell r="D22">
            <v>3760.9</v>
          </cell>
          <cell r="E22">
            <v>4177.88</v>
          </cell>
          <cell r="F22">
            <v>4295.79</v>
          </cell>
          <cell r="G22">
            <v>4463.33</v>
          </cell>
          <cell r="H22">
            <v>4890.55</v>
          </cell>
          <cell r="I22">
            <v>5736.22</v>
          </cell>
          <cell r="J22">
            <v>5548.53</v>
          </cell>
          <cell r="K22">
            <v>6169.78</v>
          </cell>
        </row>
        <row r="23">
          <cell r="B23">
            <v>4261.78</v>
          </cell>
          <cell r="C23">
            <v>4179.74</v>
          </cell>
          <cell r="D23">
            <v>3954.87</v>
          </cell>
          <cell r="E23">
            <v>4546.3900000000003</v>
          </cell>
          <cell r="F23">
            <v>4488.63</v>
          </cell>
          <cell r="G23">
            <v>4236.7700000000004</v>
          </cell>
          <cell r="H23">
            <v>4858.38</v>
          </cell>
          <cell r="I23">
            <v>5604.08</v>
          </cell>
          <cell r="J23">
            <v>5312.45</v>
          </cell>
          <cell r="K23">
            <v>5793.29</v>
          </cell>
        </row>
        <row r="24">
          <cell r="B24">
            <v>1235.8900000000001</v>
          </cell>
          <cell r="C24">
            <v>1169.23</v>
          </cell>
          <cell r="D24">
            <v>1005.98</v>
          </cell>
          <cell r="E24">
            <v>1039.8499999999999</v>
          </cell>
          <cell r="F24">
            <v>1225.1300000000001</v>
          </cell>
          <cell r="G24">
            <v>1074.3900000000001</v>
          </cell>
          <cell r="H24">
            <v>1109.95</v>
          </cell>
          <cell r="I24">
            <v>1308.56</v>
          </cell>
          <cell r="J24">
            <v>1765.97</v>
          </cell>
          <cell r="K24">
            <v>2221.39</v>
          </cell>
        </row>
        <row r="25">
          <cell r="B25">
            <v>1483.11</v>
          </cell>
          <cell r="C25">
            <v>1758.63</v>
          </cell>
          <cell r="D25">
            <v>2239.81</v>
          </cell>
          <cell r="E25">
            <v>2080.44</v>
          </cell>
          <cell r="F25">
            <v>2417.3200000000002</v>
          </cell>
          <cell r="G25">
            <v>2576.9499999999998</v>
          </cell>
          <cell r="H25">
            <v>1909.72</v>
          </cell>
          <cell r="I25">
            <v>2097.64</v>
          </cell>
          <cell r="J25">
            <v>3330.45</v>
          </cell>
        </row>
        <row r="26">
          <cell r="B26">
            <v>1077.4000000000001</v>
          </cell>
          <cell r="C26">
            <v>1152.79</v>
          </cell>
          <cell r="D26">
            <v>1236.28</v>
          </cell>
          <cell r="E26">
            <v>1396.61</v>
          </cell>
          <cell r="F26">
            <v>1644.91</v>
          </cell>
          <cell r="G26">
            <v>1645.59</v>
          </cell>
          <cell r="H26">
            <v>1732.41</v>
          </cell>
          <cell r="I26">
            <v>1809.01</v>
          </cell>
          <cell r="J26">
            <v>1518.05</v>
          </cell>
          <cell r="K26">
            <v>1646.32</v>
          </cell>
        </row>
        <row r="27">
          <cell r="B27">
            <v>78.13</v>
          </cell>
          <cell r="C27">
            <v>49.03</v>
          </cell>
          <cell r="D27">
            <v>115.01</v>
          </cell>
          <cell r="E27">
            <v>71.400000000000006</v>
          </cell>
          <cell r="F27">
            <v>81.38</v>
          </cell>
          <cell r="G27">
            <v>57.97</v>
          </cell>
          <cell r="H27">
            <v>59.99</v>
          </cell>
          <cell r="I27">
            <v>77.77</v>
          </cell>
          <cell r="J27">
            <v>39.11</v>
          </cell>
          <cell r="K27">
            <v>45.06</v>
          </cell>
        </row>
        <row r="29">
          <cell r="B29">
            <v>5358.21</v>
          </cell>
          <cell r="C29">
            <v>5549.09</v>
          </cell>
          <cell r="D29">
            <v>5916.43</v>
          </cell>
          <cell r="E29">
            <v>6313.92</v>
          </cell>
          <cell r="F29">
            <v>4441.79</v>
          </cell>
          <cell r="G29">
            <v>4555.29</v>
          </cell>
          <cell r="H29">
            <v>5237.34</v>
          </cell>
          <cell r="I29">
            <v>6438.4</v>
          </cell>
          <cell r="J29">
            <v>6209.46</v>
          </cell>
          <cell r="K29">
            <v>6890.47</v>
          </cell>
        </row>
        <row r="31">
          <cell r="B31">
            <v>6840.12</v>
          </cell>
          <cell r="C31">
            <v>5770.02</v>
          </cell>
          <cell r="D31">
            <v>6285.21</v>
          </cell>
          <cell r="E31">
            <v>7048.7</v>
          </cell>
          <cell r="F31">
            <v>12476.58</v>
          </cell>
          <cell r="G31">
            <v>13231.96</v>
          </cell>
          <cell r="H31">
            <v>14171.8</v>
          </cell>
          <cell r="I31">
            <v>19263.400000000001</v>
          </cell>
          <cell r="J31">
            <v>17166.46</v>
          </cell>
          <cell r="K31">
            <v>17957.73</v>
          </cell>
        </row>
        <row r="42">
          <cell r="H42">
            <v>19990.36</v>
          </cell>
          <cell r="I42">
            <v>18790.169999999998</v>
          </cell>
          <cell r="J42">
            <v>18765</v>
          </cell>
          <cell r="K42">
            <v>21494.79</v>
          </cell>
        </row>
        <row r="43">
          <cell r="H43">
            <v>13438.28</v>
          </cell>
          <cell r="I43">
            <v>12428.27</v>
          </cell>
          <cell r="J43">
            <v>12245.61</v>
          </cell>
          <cell r="K43">
            <v>14678.32</v>
          </cell>
        </row>
        <row r="45">
          <cell r="H45">
            <v>416.18</v>
          </cell>
          <cell r="I45">
            <v>415.98</v>
          </cell>
          <cell r="J45">
            <v>411.03</v>
          </cell>
          <cell r="K45">
            <v>422.96</v>
          </cell>
        </row>
        <row r="46">
          <cell r="H46">
            <v>14.73</v>
          </cell>
          <cell r="I46">
            <v>9.82</v>
          </cell>
          <cell r="J46">
            <v>10.91</v>
          </cell>
          <cell r="K46">
            <v>16.47</v>
          </cell>
        </row>
        <row r="48">
          <cell r="H48">
            <v>1757.05</v>
          </cell>
          <cell r="I48">
            <v>1726.32</v>
          </cell>
          <cell r="J48">
            <v>1680.85</v>
          </cell>
          <cell r="K48">
            <v>1784.6</v>
          </cell>
        </row>
        <row r="49">
          <cell r="H49">
            <v>4992.87</v>
          </cell>
          <cell r="I49">
            <v>4934.8</v>
          </cell>
          <cell r="J49">
            <v>19727.37</v>
          </cell>
          <cell r="K49">
            <v>5244.2</v>
          </cell>
        </row>
        <row r="57">
          <cell r="B57">
            <v>804.72</v>
          </cell>
          <cell r="C57">
            <v>1214.74</v>
          </cell>
          <cell r="D57">
            <v>1220.43</v>
          </cell>
          <cell r="E57">
            <v>1225.8599999999999</v>
          </cell>
          <cell r="F57">
            <v>1229.22</v>
          </cell>
          <cell r="G57">
            <v>1230.8800000000001</v>
          </cell>
          <cell r="H57">
            <v>1232.33</v>
          </cell>
          <cell r="I57">
            <v>1242.8</v>
          </cell>
          <cell r="J57">
            <v>1248.47</v>
          </cell>
          <cell r="K57">
            <v>1251.4100000000001</v>
          </cell>
        </row>
        <row r="58">
          <cell r="B58">
            <v>41874.800000000003</v>
          </cell>
          <cell r="C58">
            <v>45198.19</v>
          </cell>
          <cell r="D58">
            <v>51289.68</v>
          </cell>
          <cell r="E58">
            <v>57915.01</v>
          </cell>
          <cell r="F58">
            <v>64044.04</v>
          </cell>
          <cell r="G58">
            <v>59116.46</v>
          </cell>
          <cell r="H58">
            <v>61223.24</v>
          </cell>
          <cell r="I58">
            <v>67912.460000000006</v>
          </cell>
          <cell r="J58">
            <v>73258.53</v>
          </cell>
          <cell r="K58">
            <v>68778.64</v>
          </cell>
        </row>
        <row r="59">
          <cell r="B59">
            <v>83.78</v>
          </cell>
          <cell r="C59">
            <v>45.72</v>
          </cell>
          <cell r="D59">
            <v>35.92</v>
          </cell>
          <cell r="E59">
            <v>13.44</v>
          </cell>
          <cell r="F59">
            <v>277.45</v>
          </cell>
          <cell r="G59">
            <v>270.83</v>
          </cell>
          <cell r="H59">
            <v>249.44</v>
          </cell>
          <cell r="I59">
            <v>306.04000000000002</v>
          </cell>
          <cell r="J59">
            <v>303.43</v>
          </cell>
          <cell r="K59">
            <v>284.54000000000002</v>
          </cell>
        </row>
        <row r="60">
          <cell r="B60">
            <v>8888.0400000000009</v>
          </cell>
          <cell r="C60">
            <v>9439.67</v>
          </cell>
          <cell r="D60">
            <v>11694.85</v>
          </cell>
          <cell r="E60">
            <v>12584.73</v>
          </cell>
          <cell r="F60">
            <v>11760.04</v>
          </cell>
          <cell r="G60">
            <v>13142.59</v>
          </cell>
          <cell r="H60">
            <v>14491.01</v>
          </cell>
          <cell r="I60">
            <v>16369.66</v>
          </cell>
          <cell r="J60">
            <v>16943.54</v>
          </cell>
          <cell r="K60">
            <v>17688.11</v>
          </cell>
        </row>
        <row r="61">
          <cell r="B61">
            <v>51651.34</v>
          </cell>
          <cell r="C61">
            <v>55898.32</v>
          </cell>
          <cell r="D61">
            <v>64240.88</v>
          </cell>
          <cell r="E61">
            <v>71739.039999999994</v>
          </cell>
          <cell r="F61">
            <v>77310.75</v>
          </cell>
          <cell r="G61">
            <v>73760.759999999995</v>
          </cell>
          <cell r="H61">
            <v>77196.02</v>
          </cell>
          <cell r="I61">
            <v>85830.96</v>
          </cell>
          <cell r="J61">
            <v>91753.97</v>
          </cell>
          <cell r="K61">
            <v>88002.7</v>
          </cell>
        </row>
        <row r="62">
          <cell r="B62">
            <v>15106.63</v>
          </cell>
          <cell r="C62">
            <v>15893.48</v>
          </cell>
          <cell r="D62">
            <v>16523.96</v>
          </cell>
          <cell r="E62">
            <v>19374.189999999999</v>
          </cell>
          <cell r="F62">
            <v>21713.34</v>
          </cell>
          <cell r="G62">
            <v>23298.48</v>
          </cell>
          <cell r="H62">
            <v>24231.59</v>
          </cell>
          <cell r="I62">
            <v>25851.27</v>
          </cell>
          <cell r="J62">
            <v>27820.22</v>
          </cell>
          <cell r="K62">
            <v>21954.85</v>
          </cell>
        </row>
        <row r="63">
          <cell r="B63">
            <v>2559.7199999999998</v>
          </cell>
          <cell r="C63">
            <v>3729.89</v>
          </cell>
          <cell r="D63">
            <v>5508.33</v>
          </cell>
          <cell r="E63">
            <v>4136.42</v>
          </cell>
          <cell r="F63">
            <v>3256.46</v>
          </cell>
          <cell r="G63">
            <v>4011.29</v>
          </cell>
          <cell r="H63">
            <v>3225.54</v>
          </cell>
          <cell r="I63">
            <v>3003.3</v>
          </cell>
          <cell r="J63">
            <v>2860.78</v>
          </cell>
          <cell r="K63">
            <v>1090.9100000000001</v>
          </cell>
        </row>
        <row r="64">
          <cell r="B64">
            <v>11747.59</v>
          </cell>
          <cell r="C64">
            <v>17581.38</v>
          </cell>
          <cell r="D64">
            <v>22052.86</v>
          </cell>
          <cell r="E64">
            <v>25043.49</v>
          </cell>
          <cell r="F64">
            <v>28663.35</v>
          </cell>
          <cell r="G64">
            <v>24870.87</v>
          </cell>
          <cell r="H64">
            <v>24841.01</v>
          </cell>
          <cell r="I64">
            <v>29415.02</v>
          </cell>
          <cell r="J64">
            <v>31114.02</v>
          </cell>
          <cell r="K64">
            <v>34719.82</v>
          </cell>
        </row>
        <row r="65">
          <cell r="B65">
            <v>22237.4</v>
          </cell>
          <cell r="C65">
            <v>18693.57</v>
          </cell>
          <cell r="D65">
            <v>20155.73</v>
          </cell>
          <cell r="E65">
            <v>23184.94</v>
          </cell>
          <cell r="F65">
            <v>23677.599999999999</v>
          </cell>
          <cell r="G65">
            <v>21580.12</v>
          </cell>
          <cell r="H65">
            <v>24897.88</v>
          </cell>
          <cell r="I65">
            <v>27561.37</v>
          </cell>
          <cell r="J65">
            <v>29958.95</v>
          </cell>
          <cell r="K65">
            <v>30237.119999999999</v>
          </cell>
        </row>
        <row r="67">
          <cell r="B67">
            <v>1917.18</v>
          </cell>
          <cell r="C67">
            <v>2474.29</v>
          </cell>
          <cell r="D67">
            <v>2682.29</v>
          </cell>
          <cell r="E67">
            <v>4035.28</v>
          </cell>
          <cell r="F67">
            <v>2562.48</v>
          </cell>
          <cell r="G67">
            <v>2501.6999999999998</v>
          </cell>
          <cell r="H67">
            <v>2461.9</v>
          </cell>
          <cell r="I67">
            <v>2956.17</v>
          </cell>
          <cell r="J67">
            <v>4025.82</v>
          </cell>
          <cell r="K67">
            <v>4719.67</v>
          </cell>
        </row>
        <row r="68">
          <cell r="B68">
            <v>9062.1</v>
          </cell>
          <cell r="C68">
            <v>8116.1</v>
          </cell>
          <cell r="D68">
            <v>7495.09</v>
          </cell>
          <cell r="E68">
            <v>7859.56</v>
          </cell>
          <cell r="F68">
            <v>8879.33</v>
          </cell>
          <cell r="G68">
            <v>10397.16</v>
          </cell>
          <cell r="H68">
            <v>10864.15</v>
          </cell>
          <cell r="I68">
            <v>11771.16</v>
          </cell>
          <cell r="J68">
            <v>14152.88</v>
          </cell>
          <cell r="K68">
            <v>15637.56</v>
          </cell>
        </row>
        <row r="69">
          <cell r="B69">
            <v>6063.3</v>
          </cell>
          <cell r="C69">
            <v>2967.4</v>
          </cell>
          <cell r="D69">
            <v>2899.6</v>
          </cell>
          <cell r="E69">
            <v>4152.03</v>
          </cell>
          <cell r="F69">
            <v>7277.34</v>
          </cell>
          <cell r="G69">
            <v>4659.0200000000004</v>
          </cell>
          <cell r="H69">
            <v>4654.42</v>
          </cell>
          <cell r="I69">
            <v>4880.1899999999996</v>
          </cell>
          <cell r="J69">
            <v>7217.68</v>
          </cell>
          <cell r="K69">
            <v>4012.36</v>
          </cell>
        </row>
        <row r="82">
          <cell r="B82">
            <v>9799.0400000000009</v>
          </cell>
          <cell r="C82">
            <v>10627.31</v>
          </cell>
          <cell r="D82">
            <v>13169.4</v>
          </cell>
          <cell r="E82">
            <v>12583.41</v>
          </cell>
          <cell r="F82">
            <v>14689.66</v>
          </cell>
          <cell r="G82">
            <v>12526.97</v>
          </cell>
          <cell r="H82">
            <v>15775.51</v>
          </cell>
          <cell r="I82">
            <v>18877.55</v>
          </cell>
          <cell r="J82">
            <v>17178.86</v>
          </cell>
          <cell r="K82">
            <v>17627.04</v>
          </cell>
        </row>
        <row r="83">
          <cell r="B83">
            <v>-3920.73</v>
          </cell>
          <cell r="C83">
            <v>-3250.93</v>
          </cell>
          <cell r="D83">
            <v>-7113.89</v>
          </cell>
          <cell r="E83">
            <v>-5545.68</v>
          </cell>
          <cell r="F83">
            <v>-6174.02</v>
          </cell>
          <cell r="G83">
            <v>5739.98</v>
          </cell>
          <cell r="H83">
            <v>-2238.4899999999998</v>
          </cell>
          <cell r="I83">
            <v>-5732.29</v>
          </cell>
          <cell r="J83">
            <v>1562.77</v>
          </cell>
          <cell r="K83">
            <v>-563.84</v>
          </cell>
        </row>
        <row r="84">
          <cell r="B84">
            <v>-5612.52</v>
          </cell>
          <cell r="C84">
            <v>-7301.03</v>
          </cell>
          <cell r="D84">
            <v>-6221.13</v>
          </cell>
          <cell r="E84">
            <v>-6868.64</v>
          </cell>
          <cell r="F84">
            <v>-8181.48</v>
          </cell>
          <cell r="G84">
            <v>-18633.830000000002</v>
          </cell>
          <cell r="H84">
            <v>-13580.5</v>
          </cell>
          <cell r="I84">
            <v>-13006.03</v>
          </cell>
          <cell r="J84">
            <v>-18550.96</v>
          </cell>
          <cell r="K84">
            <v>-17037.400000000001</v>
          </cell>
        </row>
        <row r="93">
          <cell r="B93">
            <v>1207.08</v>
          </cell>
          <cell r="C93">
            <v>1214.74</v>
          </cell>
          <cell r="D93">
            <v>1220.43</v>
          </cell>
          <cell r="E93">
            <v>1225.8599999999999</v>
          </cell>
          <cell r="F93">
            <v>1229.22</v>
          </cell>
          <cell r="G93">
            <v>1230.8800000000001</v>
          </cell>
          <cell r="H93">
            <v>1232.33</v>
          </cell>
          <cell r="I93">
            <v>1242.8</v>
          </cell>
          <cell r="J93">
            <v>1248.47</v>
          </cell>
          <cell r="K93">
            <v>1251.4100000000001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20">
  <tableColumns count="14">
    <tableColumn id="1" xr3:uid="{00000000-0010-0000-0000-000001000000}" name="Column1" headerRowDxfId="19" dataDxfId="18"/>
    <tableColumn id="2" xr3:uid="{00000000-0010-0000-0000-000002000000}" name="Column2" headerRowDxfId="17"/>
    <tableColumn id="3" xr3:uid="{00000000-0010-0000-0000-000003000000}" name="Column3" headerRowDxfId="16"/>
    <tableColumn id="4" xr3:uid="{00000000-0010-0000-0000-000004000000}" name="Column4" headerRowDxfId="15"/>
    <tableColumn id="5" xr3:uid="{00000000-0010-0000-0000-000005000000}" name="Column5" headerRowDxfId="14"/>
    <tableColumn id="6" xr3:uid="{00000000-0010-0000-0000-000006000000}" name="Column6" headerRowDxfId="13"/>
    <tableColumn id="7" xr3:uid="{00000000-0010-0000-0000-000007000000}" name="Column7" headerRowDxfId="12"/>
    <tableColumn id="8" xr3:uid="{00000000-0010-0000-0000-000008000000}" name="Column8" headerRowDxfId="11"/>
    <tableColumn id="9" xr3:uid="{00000000-0010-0000-0000-000009000000}" name="Column9" headerRowDxfId="10"/>
    <tableColumn id="10" xr3:uid="{00000000-0010-0000-0000-00000A000000}" name="Column10" headerRowDxfId="9"/>
    <tableColumn id="11" xr3:uid="{00000000-0010-0000-0000-00000B000000}" name="Column11" headerRowDxfId="8"/>
    <tableColumn id="12" xr3:uid="{00000000-0010-0000-0000-00000C000000}" name="Column12" headerRowDxfId="7"/>
    <tableColumn id="13" xr3:uid="{00000000-0010-0000-0000-00000D000000}" name="Column13" headerRowDxfId="6" dataDxfId="5"/>
    <tableColumn id="14" xr3:uid="{00000000-0010-0000-0000-00000E000000}" name="Column14" headerRowDxfId="4" dataDxfId="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creener.in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screener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053D-278B-4C98-91FD-C17528FE1C59}">
  <sheetPr>
    <tabColor rgb="FFC00000"/>
  </sheetPr>
  <dimension ref="A1"/>
  <sheetViews>
    <sheetView workbookViewId="0">
      <selection activeCell="J31" sqref="J3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A1019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R16" sqref="R16"/>
    </sheetView>
  </sheetViews>
  <sheetFormatPr defaultColWidth="14.42578125" defaultRowHeight="15" customHeight="1" outlineLevelRow="1" x14ac:dyDescent="0.25"/>
  <cols>
    <col min="1" max="1" width="2.28515625" style="1" customWidth="1"/>
    <col min="2" max="2" width="14.28515625" style="1" customWidth="1"/>
    <col min="3" max="3" width="12.42578125" style="1" customWidth="1"/>
    <col min="4" max="4" width="11.140625" style="1" customWidth="1"/>
    <col min="5" max="14" width="11.5703125" style="1" customWidth="1"/>
    <col min="15" max="27" width="9.140625" style="1" customWidth="1"/>
    <col min="28" max="16384" width="14.42578125" style="1"/>
  </cols>
  <sheetData>
    <row r="1" spans="2:27" ht="18.75" x14ac:dyDescent="0.3">
      <c r="B1" s="145" t="s">
        <v>349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2:27" ht="15" customHeight="1" x14ac:dyDescent="0.25">
      <c r="B2" s="146" t="str">
        <f>'Data Sheet'!B1</f>
        <v>ITC LTD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</row>
    <row r="3" spans="2:27" ht="4.5" customHeight="1" x14ac:dyDescent="0.25"/>
    <row r="4" spans="2:27" x14ac:dyDescent="0.25">
      <c r="B4" s="144"/>
      <c r="C4" s="144"/>
      <c r="D4" s="144"/>
      <c r="E4" s="175" t="s">
        <v>0</v>
      </c>
      <c r="F4" s="176"/>
      <c r="G4" s="176"/>
      <c r="H4" s="176"/>
      <c r="I4" s="176"/>
      <c r="J4" s="177" t="s">
        <v>1</v>
      </c>
      <c r="K4" s="178"/>
      <c r="L4" s="178"/>
      <c r="M4" s="178"/>
      <c r="N4" s="17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x14ac:dyDescent="0.25">
      <c r="B5" s="144"/>
      <c r="C5" s="144"/>
      <c r="D5" s="144"/>
      <c r="E5" s="156">
        <v>2021</v>
      </c>
      <c r="F5" s="156">
        <f t="shared" ref="F5:I5" si="0">+E5+1</f>
        <v>2022</v>
      </c>
      <c r="G5" s="156">
        <f t="shared" si="0"/>
        <v>2023</v>
      </c>
      <c r="H5" s="156">
        <f t="shared" si="0"/>
        <v>2024</v>
      </c>
      <c r="I5" s="156">
        <f t="shared" si="0"/>
        <v>2025</v>
      </c>
      <c r="J5" s="172" t="s">
        <v>344</v>
      </c>
      <c r="K5" s="172" t="s">
        <v>345</v>
      </c>
      <c r="L5" s="172" t="s">
        <v>346</v>
      </c>
      <c r="M5" s="172" t="s">
        <v>347</v>
      </c>
      <c r="N5" s="172" t="s">
        <v>348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4.5" customHeight="1" x14ac:dyDescent="0.25">
      <c r="B6" s="3"/>
      <c r="C6" s="3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x14ac:dyDescent="0.25">
      <c r="B7" s="147" t="s">
        <v>2</v>
      </c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4.5" customHeight="1" outlineLevel="1" x14ac:dyDescent="0.25">
      <c r="B8" s="2"/>
      <c r="C8" s="2"/>
      <c r="D8" s="6"/>
      <c r="E8" s="2"/>
      <c r="F8" s="2"/>
      <c r="G8" s="2"/>
      <c r="H8" s="2"/>
      <c r="I8" s="2"/>
      <c r="J8" s="7"/>
      <c r="K8" s="7"/>
      <c r="L8" s="7"/>
      <c r="M8" s="7"/>
      <c r="N8" s="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outlineLevel="1" x14ac:dyDescent="0.25">
      <c r="B9" s="8" t="s">
        <v>3</v>
      </c>
      <c r="C9" s="2"/>
      <c r="D9" s="6"/>
      <c r="E9" s="2"/>
      <c r="F9" s="2"/>
      <c r="G9" s="2"/>
      <c r="H9" s="2"/>
      <c r="I9" s="2"/>
      <c r="J9" s="7"/>
      <c r="K9" s="7"/>
      <c r="L9" s="7"/>
      <c r="M9" s="7"/>
      <c r="N9" s="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outlineLevel="1" x14ac:dyDescent="0.25">
      <c r="B10" s="9" t="s">
        <v>4</v>
      </c>
      <c r="C10" s="10"/>
      <c r="D10" s="11"/>
      <c r="E10" s="12"/>
      <c r="F10" s="12">
        <f>F28/E28-1</f>
        <v>0.23117497962237188</v>
      </c>
      <c r="G10" s="12">
        <f>G28/F28-1</f>
        <v>0.1694215175842706</v>
      </c>
      <c r="H10" s="12">
        <f>H28/G28-1</f>
        <v>-4.2119724423754779E-2</v>
      </c>
      <c r="I10" s="12">
        <f>I28/H28-1</f>
        <v>0.10880596078957838</v>
      </c>
      <c r="J10" s="149">
        <f>'Revenue CAGR'!D31</f>
        <v>0.1029405174297507</v>
      </c>
      <c r="K10" s="149">
        <f>J10</f>
        <v>0.1029405174297507</v>
      </c>
      <c r="L10" s="149">
        <f t="shared" ref="L10:N10" si="1">K10</f>
        <v>0.1029405174297507</v>
      </c>
      <c r="M10" s="149">
        <f t="shared" si="1"/>
        <v>0.1029405174297507</v>
      </c>
      <c r="N10" s="149">
        <f t="shared" si="1"/>
        <v>0.1029405174297507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outlineLevel="1" x14ac:dyDescent="0.25">
      <c r="B11" s="2" t="s">
        <v>5</v>
      </c>
      <c r="C11" s="2"/>
      <c r="D11" s="6"/>
      <c r="E11" s="13">
        <f>E29/E28</f>
        <v>0.45512262612051574</v>
      </c>
      <c r="F11" s="13">
        <f>F29/F28</f>
        <v>0.48087610195410829</v>
      </c>
      <c r="G11" s="13">
        <f>G29/G28</f>
        <v>0.4591984690145931</v>
      </c>
      <c r="H11" s="13">
        <f>H29/H28</f>
        <v>0.44334756228071798</v>
      </c>
      <c r="I11" s="13">
        <f>I29/I28</f>
        <v>0.46863867162555461</v>
      </c>
      <c r="J11" s="150">
        <f>'Cost Assumptions'!D16</f>
        <v>0.43731074115867596</v>
      </c>
      <c r="K11" s="150">
        <f>J11</f>
        <v>0.43731074115867596</v>
      </c>
      <c r="L11" s="150">
        <f t="shared" ref="L11:N11" si="2">K11</f>
        <v>0.43731074115867596</v>
      </c>
      <c r="M11" s="150">
        <f t="shared" si="2"/>
        <v>0.43731074115867596</v>
      </c>
      <c r="N11" s="150">
        <f t="shared" si="2"/>
        <v>0.43731074115867596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outlineLevel="1" x14ac:dyDescent="0.25">
      <c r="B12" s="2" t="s">
        <v>6</v>
      </c>
      <c r="C12" s="2"/>
      <c r="D12" s="6"/>
      <c r="E12" s="13">
        <f>E34/E28</f>
        <v>0.17662505874745851</v>
      </c>
      <c r="F12" s="13">
        <f>F34/F28</f>
        <v>0.16075527986526075</v>
      </c>
      <c r="G12" s="13">
        <f>G34/G28</f>
        <v>0.15990489435628208</v>
      </c>
      <c r="H12" s="13">
        <f>H34/H28</f>
        <v>0.15988031550401768</v>
      </c>
      <c r="I12" s="13">
        <f>I34/I28</f>
        <v>0.15882288278772555</v>
      </c>
      <c r="J12" s="150">
        <f>'Cost Assumptions'!D28</f>
        <v>0.16319768625214892</v>
      </c>
      <c r="K12" s="150">
        <f>J12</f>
        <v>0.16319768625214892</v>
      </c>
      <c r="L12" s="150">
        <f t="shared" ref="L12:N12" si="3">K12</f>
        <v>0.16319768625214892</v>
      </c>
      <c r="M12" s="150">
        <f t="shared" si="3"/>
        <v>0.16319768625214892</v>
      </c>
      <c r="N12" s="150">
        <f t="shared" si="3"/>
        <v>0.16319768625214892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outlineLevel="1" x14ac:dyDescent="0.25">
      <c r="B13" s="2" t="s">
        <v>112</v>
      </c>
      <c r="C13" s="2"/>
      <c r="D13" s="6"/>
      <c r="E13" s="2">
        <f>E35</f>
        <v>1074.3900000000001</v>
      </c>
      <c r="F13" s="2">
        <f>F35</f>
        <v>1109.95</v>
      </c>
      <c r="G13" s="2">
        <f>G35</f>
        <v>1308.56</v>
      </c>
      <c r="H13" s="2">
        <f>H35</f>
        <v>1765.97</v>
      </c>
      <c r="I13" s="2">
        <f>I35</f>
        <v>2221.39</v>
      </c>
      <c r="J13" s="151">
        <f>I13*(1+'Cost Assumptions'!$D$40)</f>
        <v>2488.7684569263661</v>
      </c>
      <c r="K13" s="151">
        <f>J13*(1+'Cost Assumptions'!$D$40)</f>
        <v>2788.3300240802582</v>
      </c>
      <c r="L13" s="151">
        <f>K13*(1+'Cost Assumptions'!$D$40)</f>
        <v>3123.948433832727</v>
      </c>
      <c r="M13" s="151">
        <f>L13*(1+'Cost Assumptions'!$D$40)</f>
        <v>3499.9636818331828</v>
      </c>
      <c r="N13" s="151">
        <f>M13*(1+'Cost Assumptions'!$D$40)</f>
        <v>3921.2381489672202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outlineLevel="1" x14ac:dyDescent="0.25">
      <c r="B14" s="2" t="s">
        <v>113</v>
      </c>
      <c r="C14" s="2"/>
      <c r="D14" s="6"/>
      <c r="E14" s="2">
        <f>E31</f>
        <v>2576.9499999999998</v>
      </c>
      <c r="F14" s="2">
        <f t="shared" ref="F14:H14" si="4">F31</f>
        <v>1909.72</v>
      </c>
      <c r="G14" s="2">
        <f t="shared" si="4"/>
        <v>2097.64</v>
      </c>
      <c r="H14" s="2">
        <f t="shared" si="4"/>
        <v>3330.45</v>
      </c>
      <c r="I14" s="2">
        <f>I31</f>
        <v>3454</v>
      </c>
      <c r="J14" s="151">
        <f>I14*(1+'Other Key Assumptions'!$F$18)</f>
        <v>3744.1875731200116</v>
      </c>
      <c r="K14" s="151">
        <f>J14*(1+'Other Key Assumptions'!$F$18)</f>
        <v>4058.7552352942453</v>
      </c>
      <c r="L14" s="151">
        <f>K14*(1+'Other Key Assumptions'!$F$18)</f>
        <v>4399.7512780325715</v>
      </c>
      <c r="M14" s="151">
        <f>L14*(1+'Other Key Assumptions'!$F$18)</f>
        <v>4769.3960799155893</v>
      </c>
      <c r="N14" s="151">
        <f>M14*(1+'Other Key Assumptions'!$F$18)</f>
        <v>5170.0965644780681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outlineLevel="1" x14ac:dyDescent="0.25">
      <c r="B15" s="2" t="s">
        <v>7</v>
      </c>
      <c r="C15" s="2"/>
      <c r="D15" s="6"/>
      <c r="E15" s="13">
        <f>E36/E50</f>
        <v>5.9538695321827852E-2</v>
      </c>
      <c r="F15" s="13">
        <f>F36/F50</f>
        <v>5.7799019117205488E-2</v>
      </c>
      <c r="G15" s="13">
        <f>G36/G50</f>
        <v>5.5947609327642728E-2</v>
      </c>
      <c r="H15" s="13">
        <f>H36/H50</f>
        <v>4.2353942302326877E-2</v>
      </c>
      <c r="I15" s="13">
        <f>I36/I50</f>
        <v>5.6673895831181792E-2</v>
      </c>
      <c r="J15" s="152">
        <f>'Cost Assumptions'!D49</f>
        <v>4.8174656696457166E-2</v>
      </c>
      <c r="K15" s="152">
        <f>J15</f>
        <v>4.8174656696457166E-2</v>
      </c>
      <c r="L15" s="152">
        <f t="shared" ref="L15:N15" si="5">K15</f>
        <v>4.8174656696457166E-2</v>
      </c>
      <c r="M15" s="152">
        <f t="shared" si="5"/>
        <v>4.8174656696457166E-2</v>
      </c>
      <c r="N15" s="152">
        <f t="shared" si="5"/>
        <v>4.8174656696457166E-2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outlineLevel="1" x14ac:dyDescent="0.25">
      <c r="B16" s="2" t="s">
        <v>8</v>
      </c>
      <c r="C16" s="2"/>
      <c r="D16" s="6"/>
      <c r="E16" s="13">
        <f>E37/E58</f>
        <v>6.3738317757009348E-3</v>
      </c>
      <c r="F16" s="13">
        <f>F37/F58</f>
        <v>5.8112951661338759E-3</v>
      </c>
      <c r="G16" s="13">
        <f>G37/G58</f>
        <v>6.4722037283621832E-3</v>
      </c>
      <c r="H16" s="13">
        <f>H37/H58</f>
        <v>3.1413654618473895E-3</v>
      </c>
      <c r="I16" s="13">
        <f>I37/I58</f>
        <v>3.4227117356627423E-3</v>
      </c>
      <c r="J16" s="150">
        <f>'Cost Assumptions'!D87</f>
        <v>0.15461797398503579</v>
      </c>
      <c r="K16" s="150">
        <f>J16</f>
        <v>0.15461797398503579</v>
      </c>
      <c r="L16" s="150">
        <f t="shared" ref="L16:N16" si="6">K16</f>
        <v>0.15461797398503579</v>
      </c>
      <c r="M16" s="150">
        <f t="shared" si="6"/>
        <v>0.15461797398503579</v>
      </c>
      <c r="N16" s="150">
        <f t="shared" si="6"/>
        <v>0.15461797398503579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outlineLevel="1" x14ac:dyDescent="0.25">
      <c r="B17" s="2" t="s">
        <v>9</v>
      </c>
      <c r="C17" s="3"/>
      <c r="D17" s="4"/>
      <c r="E17" s="13">
        <f>E41/E39</f>
        <v>0.25394396418363741</v>
      </c>
      <c r="F17" s="13">
        <f>F41/F39</f>
        <v>0.25251790340334618</v>
      </c>
      <c r="G17" s="13">
        <f>G41/G39</f>
        <v>0.24844183627164376</v>
      </c>
      <c r="H17" s="13">
        <f>H41/H39</f>
        <v>0.23031421151137094</v>
      </c>
      <c r="I17" s="13">
        <f>I41/I39</f>
        <v>0.2496359874458691</v>
      </c>
      <c r="J17" s="153">
        <v>0.28000000000000003</v>
      </c>
      <c r="K17" s="153">
        <v>0.28000000000000003</v>
      </c>
      <c r="L17" s="153">
        <v>0.28000000000000003</v>
      </c>
      <c r="M17" s="153">
        <v>0.28000000000000003</v>
      </c>
      <c r="N17" s="153">
        <v>0.28000000000000003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outlineLevel="1" x14ac:dyDescent="0.25">
      <c r="B18" s="2" t="s">
        <v>10</v>
      </c>
      <c r="C18" s="2"/>
      <c r="D18" s="14"/>
      <c r="E18" s="2">
        <f>'Balance Sheet'!G20</f>
        <v>18.537713584442557</v>
      </c>
      <c r="F18" s="2">
        <f>'Balance Sheet'!H20</f>
        <v>14.817385044061677</v>
      </c>
      <c r="G18" s="2">
        <f>'Balance Sheet'!I20</f>
        <v>15.214563002342249</v>
      </c>
      <c r="H18" s="2">
        <f>'Balance Sheet'!J20</f>
        <v>21.630830799179297</v>
      </c>
      <c r="I18" s="2">
        <f>'Balance Sheet'!K20</f>
        <v>22.870461532906003</v>
      </c>
      <c r="J18" s="151">
        <f>'Other Key Assumptions'!F4</f>
        <v>18.614190792586356</v>
      </c>
      <c r="K18" s="151">
        <f>J18</f>
        <v>18.614190792586356</v>
      </c>
      <c r="L18" s="151">
        <f t="shared" ref="L18:N18" si="7">K18</f>
        <v>18.614190792586356</v>
      </c>
      <c r="M18" s="151">
        <f t="shared" si="7"/>
        <v>18.614190792586356</v>
      </c>
      <c r="N18" s="151">
        <f t="shared" si="7"/>
        <v>18.614190792586356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outlineLevel="1" x14ac:dyDescent="0.25">
      <c r="B19" s="2" t="s">
        <v>11</v>
      </c>
      <c r="C19" s="2"/>
      <c r="D19" s="14"/>
      <c r="E19" s="2">
        <f>'Other Key Assumptions'!J4</f>
        <v>130.86911505343264</v>
      </c>
      <c r="F19" s="2">
        <f>'Other Key Assumptions'!K4</f>
        <v>113.94538625897347</v>
      </c>
      <c r="G19" s="2">
        <f>'Other Key Assumptions'!L4</f>
        <v>107.85154963966752</v>
      </c>
      <c r="H19" s="2">
        <f>'Other Key Assumptions'!M4</f>
        <v>132.65122599989513</v>
      </c>
      <c r="I19" s="2">
        <f>'Other Key Assumptions'!N4</f>
        <v>131.10342106830586</v>
      </c>
      <c r="J19" s="151">
        <f>'Other Key Assumptions'!J4</f>
        <v>130.86911505343264</v>
      </c>
      <c r="K19" s="151">
        <f>J19</f>
        <v>130.86911505343264</v>
      </c>
      <c r="L19" s="151">
        <f t="shared" ref="L19:N19" si="8">K19</f>
        <v>130.86911505343264</v>
      </c>
      <c r="M19" s="151">
        <f t="shared" si="8"/>
        <v>130.86911505343264</v>
      </c>
      <c r="N19" s="151">
        <f t="shared" si="8"/>
        <v>130.86911505343264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outlineLevel="1" x14ac:dyDescent="0.25">
      <c r="B20" s="2" t="s">
        <v>12</v>
      </c>
      <c r="C20" s="2"/>
      <c r="D20" s="14"/>
      <c r="E20" s="2">
        <f>'Other Key Assumptions'!J5</f>
        <v>70.319490699066577</v>
      </c>
      <c r="F20" s="2">
        <f>'Other Key Assumptions'!K5</f>
        <v>55.283478685476659</v>
      </c>
      <c r="G20" s="2">
        <f>'Other Key Assumptions'!L5</f>
        <v>52.21825522455844</v>
      </c>
      <c r="H20" s="2">
        <f>'Other Key Assumptions'!M5</f>
        <v>58.147997872330535</v>
      </c>
      <c r="I20" s="2">
        <f>'Other Key Assumptions'!N5</f>
        <v>49.704910249258987</v>
      </c>
      <c r="J20" s="151">
        <f>'Other Key Assumptions'!F6</f>
        <v>53.838660507906155</v>
      </c>
      <c r="K20" s="151">
        <f>J20</f>
        <v>53.838660507906155</v>
      </c>
      <c r="L20" s="151">
        <f t="shared" ref="L20:N20" si="9">K20</f>
        <v>53.838660507906155</v>
      </c>
      <c r="M20" s="151">
        <f t="shared" si="9"/>
        <v>53.838660507906155</v>
      </c>
      <c r="N20" s="151">
        <f t="shared" si="9"/>
        <v>53.838660507906155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outlineLevel="1" x14ac:dyDescent="0.25">
      <c r="B21" s="2" t="s">
        <v>13</v>
      </c>
      <c r="C21" s="2"/>
      <c r="D21" s="6"/>
      <c r="E21" s="2">
        <f>'Cost Assumptions'!J67</f>
        <v>1834</v>
      </c>
      <c r="F21" s="2">
        <f>'Cost Assumptions'!K67</f>
        <v>2009</v>
      </c>
      <c r="G21" s="2">
        <f>'Cost Assumptions'!L67</f>
        <v>2694</v>
      </c>
      <c r="H21" s="2">
        <f>'Cost Assumptions'!M67</f>
        <v>3456</v>
      </c>
      <c r="I21" s="2">
        <f>'Cost Assumptions'!N67</f>
        <v>2104</v>
      </c>
      <c r="J21" s="151">
        <f>'Cost Assumptions'!J71</f>
        <v>3109.6572303663888</v>
      </c>
      <c r="K21" s="151">
        <f>'Cost Assumptions'!K71</f>
        <v>3429.7669546894704</v>
      </c>
      <c r="L21" s="151">
        <f>'Cost Assumptions'!L71</f>
        <v>3782.8289396686641</v>
      </c>
      <c r="M21" s="151">
        <f>'Cost Assumptions'!M71</f>
        <v>4172.2353080663916</v>
      </c>
      <c r="N21" s="151">
        <f>'Cost Assumptions'!N71</f>
        <v>4601.7273695174208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outlineLevel="1" x14ac:dyDescent="0.25">
      <c r="B22" s="2" t="s">
        <v>14</v>
      </c>
      <c r="C22" s="2"/>
      <c r="D22" s="6"/>
      <c r="E22" s="2">
        <f t="shared" ref="E22:I23" si="10">E92</f>
        <v>-2</v>
      </c>
      <c r="F22" s="2">
        <f t="shared" si="10"/>
        <v>-1</v>
      </c>
      <c r="G22" s="2">
        <f t="shared" si="10"/>
        <v>-1</v>
      </c>
      <c r="H22" s="2">
        <f t="shared" si="10"/>
        <v>6</v>
      </c>
      <c r="I22" s="2">
        <f t="shared" si="10"/>
        <v>88</v>
      </c>
      <c r="J22" s="151">
        <f>-$I$22*'Cost Assumptions'!$D$99</f>
        <v>-13.2</v>
      </c>
      <c r="K22" s="151">
        <f>-$I$22*'Cost Assumptions'!$D$99</f>
        <v>-13.2</v>
      </c>
      <c r="L22" s="151">
        <f>-$I$22*'Cost Assumptions'!$D$99</f>
        <v>-13.2</v>
      </c>
      <c r="M22" s="151">
        <f>-$I$22*'Cost Assumptions'!$D$99</f>
        <v>-13.2</v>
      </c>
      <c r="N22" s="151">
        <f>-$I$22*'Cost Assumptions'!$D$99</f>
        <v>-13.2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outlineLevel="1" x14ac:dyDescent="0.25">
      <c r="B23" s="2" t="s">
        <v>15</v>
      </c>
      <c r="C23" s="2"/>
      <c r="D23" s="6"/>
      <c r="E23" s="2">
        <f t="shared" si="10"/>
        <v>291</v>
      </c>
      <c r="F23" s="2">
        <f t="shared" si="10"/>
        <v>292</v>
      </c>
      <c r="G23" s="2">
        <f t="shared" si="10"/>
        <v>2477</v>
      </c>
      <c r="H23" s="2">
        <f t="shared" si="10"/>
        <v>1443</v>
      </c>
      <c r="I23" s="2">
        <f t="shared" si="10"/>
        <v>797</v>
      </c>
      <c r="J23" s="154">
        <v>0</v>
      </c>
      <c r="K23" s="154">
        <v>0</v>
      </c>
      <c r="L23" s="154">
        <v>0</v>
      </c>
      <c r="M23" s="154">
        <v>0</v>
      </c>
      <c r="N23" s="154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outlineLevel="1" x14ac:dyDescent="0.25">
      <c r="B24" s="2" t="s">
        <v>16</v>
      </c>
      <c r="C24" s="2"/>
      <c r="D24" s="6"/>
      <c r="E24" s="7">
        <v>365</v>
      </c>
      <c r="F24" s="7">
        <v>365</v>
      </c>
      <c r="G24" s="7">
        <v>365</v>
      </c>
      <c r="H24" s="7">
        <v>365</v>
      </c>
      <c r="I24" s="7">
        <v>365</v>
      </c>
      <c r="J24" s="154">
        <v>365</v>
      </c>
      <c r="K24" s="154">
        <v>365</v>
      </c>
      <c r="L24" s="154">
        <v>365</v>
      </c>
      <c r="M24" s="154">
        <v>365</v>
      </c>
      <c r="N24" s="154">
        <v>365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x14ac:dyDescent="0.25">
      <c r="B25" s="2"/>
      <c r="C25" s="2"/>
      <c r="D25" s="6"/>
      <c r="E25" s="2"/>
      <c r="F25" s="2"/>
      <c r="G25" s="2"/>
      <c r="H25" s="2"/>
      <c r="I25" s="2"/>
      <c r="J25" s="7"/>
      <c r="K25" s="7"/>
      <c r="L25" s="7"/>
      <c r="M25" s="7"/>
      <c r="N25" s="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x14ac:dyDescent="0.25">
      <c r="B26" s="147" t="s">
        <v>17</v>
      </c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4.5" customHeight="1" outlineLevel="1" x14ac:dyDescent="0.25">
      <c r="B27" s="8"/>
      <c r="C27" s="8"/>
      <c r="D27" s="15"/>
      <c r="E27" s="16"/>
      <c r="F27" s="16"/>
      <c r="G27" s="16"/>
      <c r="H27" s="16"/>
      <c r="I27" s="16"/>
      <c r="J27" s="8"/>
      <c r="K27" s="8"/>
      <c r="L27" s="8"/>
      <c r="M27" s="8"/>
      <c r="N27" s="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outlineLevel="1" x14ac:dyDescent="0.25">
      <c r="B28" s="8" t="s">
        <v>18</v>
      </c>
      <c r="C28" s="8"/>
      <c r="D28" s="15"/>
      <c r="E28" s="115">
        <f>'Data Sheet'!G17</f>
        <v>49257.45</v>
      </c>
      <c r="F28" s="115">
        <f>'Data Sheet'!H17</f>
        <v>60644.54</v>
      </c>
      <c r="G28" s="115">
        <f>'Data Sheet'!I17</f>
        <v>70919.03</v>
      </c>
      <c r="H28" s="115">
        <f>'Data Sheet'!J17</f>
        <v>67931.94</v>
      </c>
      <c r="I28" s="115">
        <f>'Data Sheet'!K17</f>
        <v>75323.34</v>
      </c>
      <c r="J28" s="157">
        <f>I28*(1+J10)</f>
        <v>83077.163594137033</v>
      </c>
      <c r="K28" s="157">
        <f>J28*(1+K10)</f>
        <v>91629.169801113545</v>
      </c>
      <c r="L28" s="157">
        <f>K28*(1+L10)</f>
        <v>101061.52395209865</v>
      </c>
      <c r="M28" s="157">
        <f>L28*(1+M10)</f>
        <v>111464.84951996683</v>
      </c>
      <c r="N28" s="157">
        <f>M28*(1+N10)</f>
        <v>122939.0988047815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outlineLevel="1" x14ac:dyDescent="0.25">
      <c r="B29" s="2" t="s">
        <v>19</v>
      </c>
      <c r="C29" s="2"/>
      <c r="D29" s="6"/>
      <c r="E29" s="114">
        <f>'Data Sheet'!G18+SUM('Data Sheet'!G20:G21)-'Data Sheet'!G19</f>
        <v>22418.179999999997</v>
      </c>
      <c r="F29" s="114">
        <f>'Data Sheet'!H18+SUM('Data Sheet'!H20:H21)-'Data Sheet'!H19</f>
        <v>29162.51</v>
      </c>
      <c r="G29" s="114">
        <f>'Data Sheet'!I18+SUM('Data Sheet'!I20:I21)-'Data Sheet'!I19</f>
        <v>32565.91</v>
      </c>
      <c r="H29" s="114">
        <f>'Data Sheet'!J18+SUM('Data Sheet'!J20:J21)-'Data Sheet'!J19</f>
        <v>30117.46</v>
      </c>
      <c r="I29" s="114">
        <f>'Data Sheet'!K18+SUM('Data Sheet'!K20:K21)-'Data Sheet'!K19</f>
        <v>35299.43</v>
      </c>
      <c r="J29" s="158">
        <f>J28*J11</f>
        <v>36330.535984712638</v>
      </c>
      <c r="K29" s="158">
        <f>K28*K11</f>
        <v>40070.420157479137</v>
      </c>
      <c r="L29" s="158">
        <f>L28*L11</f>
        <v>44195.289942117546</v>
      </c>
      <c r="M29" s="158">
        <f>M28*M11</f>
        <v>48744.775956716978</v>
      </c>
      <c r="N29" s="158">
        <f>N28*N11</f>
        <v>53762.588415698694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outlineLevel="1" x14ac:dyDescent="0.25">
      <c r="B30" s="10" t="s">
        <v>20</v>
      </c>
      <c r="C30" s="10"/>
      <c r="D30" s="11"/>
      <c r="E30" s="10">
        <f t="shared" ref="E30:N30" si="11">E28-E29</f>
        <v>26839.27</v>
      </c>
      <c r="F30" s="10">
        <f t="shared" si="11"/>
        <v>31482.030000000002</v>
      </c>
      <c r="G30" s="10">
        <f t="shared" si="11"/>
        <v>38353.119999999995</v>
      </c>
      <c r="H30" s="10">
        <f t="shared" si="11"/>
        <v>37814.480000000003</v>
      </c>
      <c r="I30" s="10">
        <f t="shared" si="11"/>
        <v>40023.909999999996</v>
      </c>
      <c r="J30" s="159">
        <f t="shared" si="11"/>
        <v>46746.627609424395</v>
      </c>
      <c r="K30" s="159">
        <f t="shared" si="11"/>
        <v>51558.749643634408</v>
      </c>
      <c r="L30" s="159">
        <f t="shared" si="11"/>
        <v>56866.234009981104</v>
      </c>
      <c r="M30" s="159">
        <f t="shared" si="11"/>
        <v>62720.073563249847</v>
      </c>
      <c r="N30" s="159">
        <f t="shared" si="11"/>
        <v>69176.510389082803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outlineLevel="1" x14ac:dyDescent="0.25">
      <c r="B31" s="131" t="s">
        <v>113</v>
      </c>
      <c r="C31" s="8"/>
      <c r="D31" s="15"/>
      <c r="E31" s="2">
        <f>'Data Sheet'!G25</f>
        <v>2576.9499999999998</v>
      </c>
      <c r="F31" s="2">
        <f>'Data Sheet'!H25</f>
        <v>1909.72</v>
      </c>
      <c r="G31" s="2">
        <f>'Data Sheet'!I25</f>
        <v>2097.64</v>
      </c>
      <c r="H31" s="2">
        <f>'Data Sheet'!J25</f>
        <v>3330.45</v>
      </c>
      <c r="I31" s="2">
        <f>'Data Sheet'!N27</f>
        <v>3454</v>
      </c>
      <c r="J31" s="160">
        <f>J14</f>
        <v>3744.1875731200116</v>
      </c>
      <c r="K31" s="160">
        <f>K14</f>
        <v>4058.7552352942453</v>
      </c>
      <c r="L31" s="160">
        <f>L14</f>
        <v>4399.7512780325715</v>
      </c>
      <c r="M31" s="160">
        <f>M14</f>
        <v>4769.3960799155893</v>
      </c>
      <c r="N31" s="160">
        <f>N14</f>
        <v>5170.0965644780681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outlineLevel="1" x14ac:dyDescent="0.25">
      <c r="B32" s="8"/>
      <c r="C32" s="8"/>
      <c r="D32" s="15"/>
      <c r="E32" s="8"/>
      <c r="F32" s="8"/>
      <c r="G32" s="8"/>
      <c r="H32" s="8"/>
      <c r="I32" s="8"/>
      <c r="J32" s="157"/>
      <c r="K32" s="157"/>
      <c r="L32" s="157"/>
      <c r="M32" s="157"/>
      <c r="N32" s="15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outlineLevel="1" x14ac:dyDescent="0.25">
      <c r="B33" s="8" t="s">
        <v>21</v>
      </c>
      <c r="C33" s="8"/>
      <c r="D33" s="15"/>
      <c r="E33" s="17"/>
      <c r="F33" s="17"/>
      <c r="G33" s="17"/>
      <c r="H33" s="17"/>
      <c r="I33" s="17"/>
      <c r="J33" s="161"/>
      <c r="K33" s="161"/>
      <c r="L33" s="161"/>
      <c r="M33" s="157"/>
      <c r="N33" s="157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outlineLevel="1" x14ac:dyDescent="0.25">
      <c r="B34" s="2" t="s">
        <v>22</v>
      </c>
      <c r="C34" s="2"/>
      <c r="D34" s="6"/>
      <c r="E34" s="114">
        <f>SUM('Data Sheet'!G22:G23)</f>
        <v>8700.1</v>
      </c>
      <c r="F34" s="114">
        <f>SUM('Data Sheet'!H22:H23)</f>
        <v>9748.93</v>
      </c>
      <c r="G34" s="114">
        <f>SUM('Data Sheet'!I22:I23)</f>
        <v>11340.3</v>
      </c>
      <c r="H34" s="114">
        <f>SUM('Data Sheet'!J22:J23)</f>
        <v>10860.98</v>
      </c>
      <c r="I34" s="114">
        <f>SUM('Data Sheet'!K22:K23)</f>
        <v>11963.07</v>
      </c>
      <c r="J34" s="160">
        <f>J12*J28</f>
        <v>13558.000878954424</v>
      </c>
      <c r="K34" s="160">
        <f>K12*K28</f>
        <v>14953.668504747007</v>
      </c>
      <c r="L34" s="160">
        <f>L12*L28</f>
        <v>16493.006878098629</v>
      </c>
      <c r="M34" s="160">
        <f>M12*M28</f>
        <v>18190.805540102538</v>
      </c>
      <c r="N34" s="160">
        <f>N12*N28</f>
        <v>20063.376474864668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outlineLevel="1" x14ac:dyDescent="0.25">
      <c r="B35" s="2" t="s">
        <v>112</v>
      </c>
      <c r="C35" s="2"/>
      <c r="D35" s="6"/>
      <c r="E35" s="114">
        <f>'Data Sheet'!G24</f>
        <v>1074.3900000000001</v>
      </c>
      <c r="F35" s="114">
        <f>'Data Sheet'!H24</f>
        <v>1109.95</v>
      </c>
      <c r="G35" s="114">
        <f>'Data Sheet'!I24</f>
        <v>1308.56</v>
      </c>
      <c r="H35" s="114">
        <f>'Data Sheet'!J24</f>
        <v>1765.97</v>
      </c>
      <c r="I35" s="114">
        <f>'Data Sheet'!K24</f>
        <v>2221.39</v>
      </c>
      <c r="J35" s="160">
        <f>J13</f>
        <v>2488.7684569263661</v>
      </c>
      <c r="K35" s="160">
        <f>K13</f>
        <v>2788.3300240802582</v>
      </c>
      <c r="L35" s="160">
        <f>L13</f>
        <v>3123.948433832727</v>
      </c>
      <c r="M35" s="160">
        <f>M13</f>
        <v>3499.9636818331828</v>
      </c>
      <c r="N35" s="160">
        <f>N13</f>
        <v>3921.2381489672202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outlineLevel="1" x14ac:dyDescent="0.25">
      <c r="B36" s="2" t="s">
        <v>23</v>
      </c>
      <c r="C36" s="2"/>
      <c r="D36" s="6"/>
      <c r="E36" s="114">
        <f>'Data Sheet'!G26</f>
        <v>1645.59</v>
      </c>
      <c r="F36" s="114">
        <f>'Data Sheet'!H26</f>
        <v>1732.41</v>
      </c>
      <c r="G36" s="114">
        <f>'Data Sheet'!I26</f>
        <v>1809.01</v>
      </c>
      <c r="H36" s="114">
        <f>'Data Sheet'!J26</f>
        <v>1518.05</v>
      </c>
      <c r="I36" s="114">
        <f>'Data Sheet'!K26</f>
        <v>1646.32</v>
      </c>
      <c r="J36" s="160">
        <f>J77</f>
        <v>1511.9432940487636</v>
      </c>
      <c r="K36" s="160">
        <f>K77</f>
        <v>1588.9126144300108</v>
      </c>
      <c r="L36" s="160">
        <f>L77</f>
        <v>1677.5951403001934</v>
      </c>
      <c r="M36" s="160">
        <f>M77</f>
        <v>1779.0140558505475</v>
      </c>
      <c r="N36" s="160">
        <f>N77</f>
        <v>1894.3066680747113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outlineLevel="1" x14ac:dyDescent="0.25">
      <c r="B37" s="18" t="s">
        <v>24</v>
      </c>
      <c r="C37" s="18"/>
      <c r="D37" s="19"/>
      <c r="E37" s="130">
        <f>'Data Sheet'!G27</f>
        <v>57.97</v>
      </c>
      <c r="F37" s="130">
        <f>'Data Sheet'!H27</f>
        <v>59.99</v>
      </c>
      <c r="G37" s="130">
        <f>'Data Sheet'!I27</f>
        <v>77.77</v>
      </c>
      <c r="H37" s="130">
        <f>'Data Sheet'!J27</f>
        <v>39.11</v>
      </c>
      <c r="I37" s="130">
        <f>'Data Sheet'!K27</f>
        <v>45.06</v>
      </c>
      <c r="J37" s="162">
        <f>J125</f>
        <v>43.6</v>
      </c>
      <c r="K37" s="162">
        <f>K125</f>
        <v>43.6</v>
      </c>
      <c r="L37" s="162">
        <f>L125</f>
        <v>43.6</v>
      </c>
      <c r="M37" s="162">
        <f>M125</f>
        <v>43.6</v>
      </c>
      <c r="N37" s="162">
        <f>N125</f>
        <v>43.6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outlineLevel="1" x14ac:dyDescent="0.25">
      <c r="B38" s="8" t="s">
        <v>25</v>
      </c>
      <c r="C38" s="2"/>
      <c r="D38" s="6"/>
      <c r="E38" s="8">
        <f t="shared" ref="E38:N38" si="12">SUM(E34:E37)</f>
        <v>11478.05</v>
      </c>
      <c r="F38" s="8">
        <f t="shared" si="12"/>
        <v>12651.28</v>
      </c>
      <c r="G38" s="8">
        <f t="shared" si="12"/>
        <v>14535.64</v>
      </c>
      <c r="H38" s="8">
        <f t="shared" si="12"/>
        <v>14184.109999999999</v>
      </c>
      <c r="I38" s="8">
        <f t="shared" si="12"/>
        <v>15875.839999999998</v>
      </c>
      <c r="J38" s="157">
        <f t="shared" si="12"/>
        <v>17602.312629929551</v>
      </c>
      <c r="K38" s="157">
        <f t="shared" si="12"/>
        <v>19374.511143257274</v>
      </c>
      <c r="L38" s="157">
        <f t="shared" si="12"/>
        <v>21338.150452231548</v>
      </c>
      <c r="M38" s="157">
        <f t="shared" si="12"/>
        <v>23513.383277786266</v>
      </c>
      <c r="N38" s="157">
        <f t="shared" si="12"/>
        <v>25922.521291906596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outlineLevel="1" x14ac:dyDescent="0.25">
      <c r="B39" s="10" t="s">
        <v>26</v>
      </c>
      <c r="C39" s="10"/>
      <c r="D39" s="11"/>
      <c r="E39" s="10">
        <f>SUM(E30:E31)-E38</f>
        <v>17938.170000000002</v>
      </c>
      <c r="F39" s="10">
        <f t="shared" ref="F39:N39" si="13">SUM(F30:F31)-F38</f>
        <v>20740.47</v>
      </c>
      <c r="G39" s="10">
        <f t="shared" si="13"/>
        <v>25915.119999999995</v>
      </c>
      <c r="H39" s="10">
        <f t="shared" si="13"/>
        <v>26960.82</v>
      </c>
      <c r="I39" s="10">
        <f t="shared" si="13"/>
        <v>27602.07</v>
      </c>
      <c r="J39" s="159">
        <f t="shared" si="13"/>
        <v>32888.502552614853</v>
      </c>
      <c r="K39" s="159">
        <f t="shared" si="13"/>
        <v>36242.993735671378</v>
      </c>
      <c r="L39" s="159">
        <f t="shared" si="13"/>
        <v>39927.834835782123</v>
      </c>
      <c r="M39" s="159">
        <f t="shared" si="13"/>
        <v>43976.08636537916</v>
      </c>
      <c r="N39" s="159">
        <f t="shared" si="13"/>
        <v>48424.085661654273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outlineLevel="1" x14ac:dyDescent="0.25">
      <c r="B40" s="8"/>
      <c r="C40" s="8"/>
      <c r="D40" s="15"/>
      <c r="E40" s="16"/>
      <c r="F40" s="16"/>
      <c r="G40" s="16"/>
      <c r="H40" s="16"/>
      <c r="I40" s="16"/>
      <c r="J40" s="157"/>
      <c r="K40" s="157"/>
      <c r="L40" s="157"/>
      <c r="M40" s="157"/>
      <c r="N40" s="15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outlineLevel="1" x14ac:dyDescent="0.25">
      <c r="B41" s="2" t="s">
        <v>27</v>
      </c>
      <c r="C41" s="2"/>
      <c r="D41" s="6"/>
      <c r="E41" s="114">
        <f>'Data Sheet'!G29</f>
        <v>4555.29</v>
      </c>
      <c r="F41" s="114">
        <f>'Data Sheet'!H29</f>
        <v>5237.34</v>
      </c>
      <c r="G41" s="114">
        <f>'Data Sheet'!I29</f>
        <v>6438.4</v>
      </c>
      <c r="H41" s="114">
        <f>'Data Sheet'!J29</f>
        <v>6209.46</v>
      </c>
      <c r="I41" s="114">
        <f>'Data Sheet'!K29</f>
        <v>6890.47</v>
      </c>
      <c r="J41" s="158">
        <f>J39*J17</f>
        <v>9208.78071473216</v>
      </c>
      <c r="K41" s="158">
        <f>K39*K17</f>
        <v>10148.038245987987</v>
      </c>
      <c r="L41" s="158">
        <f>L39*L17</f>
        <v>11179.793754018996</v>
      </c>
      <c r="M41" s="158">
        <f>M39*M17</f>
        <v>12313.304182306167</v>
      </c>
      <c r="N41" s="158">
        <f>N39*N17</f>
        <v>13558.743985263198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5.75" outlineLevel="1" thickBot="1" x14ac:dyDescent="0.3">
      <c r="B42" s="20" t="s">
        <v>28</v>
      </c>
      <c r="C42" s="20"/>
      <c r="D42" s="21"/>
      <c r="E42" s="20">
        <f t="shared" ref="E42:N42" si="14">E39-E41</f>
        <v>13382.880000000001</v>
      </c>
      <c r="F42" s="20">
        <f t="shared" si="14"/>
        <v>15503.130000000001</v>
      </c>
      <c r="G42" s="20">
        <f t="shared" si="14"/>
        <v>19476.719999999994</v>
      </c>
      <c r="H42" s="20">
        <f t="shared" si="14"/>
        <v>20751.36</v>
      </c>
      <c r="I42" s="20">
        <f t="shared" si="14"/>
        <v>20711.599999999999</v>
      </c>
      <c r="J42" s="163">
        <f t="shared" si="14"/>
        <v>23679.721837882695</v>
      </c>
      <c r="K42" s="163">
        <f t="shared" si="14"/>
        <v>26094.955489683391</v>
      </c>
      <c r="L42" s="163">
        <f t="shared" si="14"/>
        <v>28748.041081763127</v>
      </c>
      <c r="M42" s="163">
        <f t="shared" si="14"/>
        <v>31662.782183072995</v>
      </c>
      <c r="N42" s="163">
        <f t="shared" si="14"/>
        <v>34865.341676391079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5.75" thickTop="1" x14ac:dyDescent="0.25">
      <c r="B43" s="2"/>
      <c r="C43" s="2"/>
      <c r="D43" s="6"/>
      <c r="E43" s="7"/>
      <c r="F43" s="7"/>
      <c r="G43" s="7"/>
      <c r="H43" s="7"/>
      <c r="I43" s="7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x14ac:dyDescent="0.25">
      <c r="B44" s="147" t="s">
        <v>29</v>
      </c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4.5" customHeight="1" outlineLevel="1" x14ac:dyDescent="0.25">
      <c r="B45" s="2"/>
      <c r="C45" s="2"/>
      <c r="D45" s="6"/>
      <c r="E45" s="7"/>
      <c r="F45" s="7"/>
      <c r="G45" s="7"/>
      <c r="H45" s="7"/>
      <c r="I45" s="7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outlineLevel="1" x14ac:dyDescent="0.25">
      <c r="B46" s="8" t="s">
        <v>30</v>
      </c>
      <c r="C46" s="2"/>
      <c r="D46" s="6"/>
      <c r="E46" s="7"/>
      <c r="F46" s="7"/>
      <c r="G46" s="7"/>
      <c r="H46" s="7"/>
      <c r="I46" s="7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outlineLevel="1" x14ac:dyDescent="0.25">
      <c r="B47" s="2" t="s">
        <v>31</v>
      </c>
      <c r="C47" s="2"/>
      <c r="E47" s="114">
        <f>'Data Sheet'!G69</f>
        <v>4659.0200000000004</v>
      </c>
      <c r="F47" s="114">
        <f>'Data Sheet'!H69</f>
        <v>4654.42</v>
      </c>
      <c r="G47" s="114">
        <f>'Data Sheet'!I69</f>
        <v>4880.1899999999996</v>
      </c>
      <c r="H47" s="114">
        <f>'Data Sheet'!J69</f>
        <v>7217.68</v>
      </c>
      <c r="I47" s="114">
        <f>'Data Sheet'!K69</f>
        <v>4012.36</v>
      </c>
      <c r="J47" s="160">
        <f ca="1">J101</f>
        <v>19622.89725235759</v>
      </c>
      <c r="K47" s="160">
        <f ca="1">K101</f>
        <v>26725.14528289056</v>
      </c>
      <c r="L47" s="160">
        <f ca="1">L101</f>
        <v>36455.816708272672</v>
      </c>
      <c r="M47" s="160">
        <f ca="1">M101</f>
        <v>49077.635662970293</v>
      </c>
      <c r="N47" s="160">
        <f ca="1">N101</f>
        <v>64879.425385512426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outlineLevel="1" x14ac:dyDescent="0.25">
      <c r="B48" s="2" t="s">
        <v>32</v>
      </c>
      <c r="C48" s="2"/>
      <c r="E48" s="114">
        <f>'Data Sheet'!G67</f>
        <v>2501.6999999999998</v>
      </c>
      <c r="F48" s="114">
        <f>'Data Sheet'!H67</f>
        <v>2461.9</v>
      </c>
      <c r="G48" s="114">
        <f>'Data Sheet'!I67</f>
        <v>2956.17</v>
      </c>
      <c r="H48" s="114">
        <f>'Data Sheet'!J67</f>
        <v>4025.82</v>
      </c>
      <c r="I48" s="114">
        <f>'Data Sheet'!K67</f>
        <v>4719.67</v>
      </c>
      <c r="J48" s="164">
        <f>J28*J18/J24</f>
        <v>4236.7511606799344</v>
      </c>
      <c r="K48" s="164">
        <f>K28*K18/K24</f>
        <v>4672.8845173814234</v>
      </c>
      <c r="L48" s="164">
        <f>L28*L18/L24</f>
        <v>5153.9136674901374</v>
      </c>
      <c r="M48" s="164">
        <f>M28*M18/M24</f>
        <v>5684.460207209836</v>
      </c>
      <c r="N48" s="164">
        <f>N28*N18/N24</f>
        <v>6269.6214822488446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outlineLevel="1" x14ac:dyDescent="0.25">
      <c r="B49" s="2" t="s">
        <v>33</v>
      </c>
      <c r="C49" s="2"/>
      <c r="E49" s="114">
        <f>'Data Sheet'!G68</f>
        <v>10397.16</v>
      </c>
      <c r="F49" s="114">
        <f>'Data Sheet'!H68</f>
        <v>10864.15</v>
      </c>
      <c r="G49" s="114">
        <f>'Data Sheet'!I68</f>
        <v>11771.16</v>
      </c>
      <c r="H49" s="114">
        <f>'Data Sheet'!J68</f>
        <v>14152.88</v>
      </c>
      <c r="I49" s="114">
        <f>'Data Sheet'!K68</f>
        <v>15637.56</v>
      </c>
      <c r="J49" s="160">
        <f>J29*J19/J24</f>
        <v>13026.150941743104</v>
      </c>
      <c r="K49" s="160">
        <f>K29*K19/K24</f>
        <v>14367.069659804176</v>
      </c>
      <c r="L49" s="160">
        <f>L29*L19/L24</f>
        <v>15846.023244533686</v>
      </c>
      <c r="M49" s="160">
        <f>M29*M19/M24</f>
        <v>17477.221076529837</v>
      </c>
      <c r="N49" s="160">
        <f>N29*N19/N24</f>
        <v>19276.335257381965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outlineLevel="1" x14ac:dyDescent="0.25">
      <c r="B50" s="2" t="s">
        <v>34</v>
      </c>
      <c r="C50" s="2"/>
      <c r="D50" s="6"/>
      <c r="E50" s="114">
        <f>'Cost Assumptions'!J64</f>
        <v>27639</v>
      </c>
      <c r="F50" s="114">
        <f>'Cost Assumptions'!K64</f>
        <v>29973</v>
      </c>
      <c r="G50" s="114">
        <f>'Cost Assumptions'!L64</f>
        <v>32334</v>
      </c>
      <c r="H50" s="114">
        <f>'Cost Assumptions'!M64</f>
        <v>35842</v>
      </c>
      <c r="I50" s="114">
        <f>'Cost Assumptions'!N64</f>
        <v>29049</v>
      </c>
      <c r="J50" s="160">
        <f>J115</f>
        <v>32982.333936317635</v>
      </c>
      <c r="K50" s="160">
        <f>K115</f>
        <v>34823.188276577093</v>
      </c>
      <c r="L50" s="160">
        <f>L115</f>
        <v>36928.422075945564</v>
      </c>
      <c r="M50" s="160">
        <f>M115</f>
        <v>39321.643328161408</v>
      </c>
      <c r="N50" s="160">
        <f>N115</f>
        <v>42029.064029604117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outlineLevel="1" x14ac:dyDescent="0.25">
      <c r="B51" s="2" t="s">
        <v>130</v>
      </c>
      <c r="C51" s="2"/>
      <c r="D51" s="6"/>
      <c r="E51" s="114">
        <f>SUM('Expanded BS'!C40:C41)+SUM('Expanded BS'!C27:C28)+SUM('Expanded BS'!C33:C34)-'Expanded BS'!C30</f>
        <v>28564</v>
      </c>
      <c r="F51" s="114">
        <f>SUM('Expanded BS'!D40:D41)+SUM('Expanded BS'!D27:D28)+SUM('Expanded BS'!D33:D34)-'Expanded BS'!D30</f>
        <v>29243</v>
      </c>
      <c r="G51" s="114">
        <f>SUM('Expanded BS'!E40:E41)+SUM('Expanded BS'!E27:E28)+SUM('Expanded BS'!E33:E34)-'Expanded BS'!E30</f>
        <v>33891</v>
      </c>
      <c r="H51" s="114">
        <f>SUM('Expanded BS'!F40:F41)+SUM('Expanded BS'!F27:F28)+SUM('Expanded BS'!F33:F34)-'Expanded BS'!F30</f>
        <v>30515</v>
      </c>
      <c r="I51" s="114">
        <f>SUM('Expanded BS'!G40:G41)+SUM('Expanded BS'!G27:G28)+SUM('Expanded BS'!G33:G34)-'Expanded BS'!G30</f>
        <v>34585</v>
      </c>
      <c r="J51" s="160">
        <f>I51*(1+'Other Key Assumptions'!$F$29)</f>
        <v>36278.971708657184</v>
      </c>
      <c r="K51" s="160">
        <f>J51*(1+'Other Key Assumptions'!$F$29)</f>
        <v>38055.914073660497</v>
      </c>
      <c r="L51" s="160">
        <f>K51*(1+'Other Key Assumptions'!$F$29)</f>
        <v>39919.890993940084</v>
      </c>
      <c r="M51" s="160">
        <f>L51*(1+'Other Key Assumptions'!$F$29)</f>
        <v>41875.165418008699</v>
      </c>
      <c r="N51" s="160">
        <f>M51*(1+'Other Key Assumptions'!$F$29)</f>
        <v>43926.209093401099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5.75" outlineLevel="1" thickBot="1" x14ac:dyDescent="0.3">
      <c r="B52" s="20" t="s">
        <v>35</v>
      </c>
      <c r="C52" s="20"/>
      <c r="D52" s="21"/>
      <c r="E52" s="20">
        <f>SUM(E47:E51)+E70</f>
        <v>73761</v>
      </c>
      <c r="F52" s="20">
        <f t="shared" ref="F52:I52" si="15">SUM(F47:F51)+F70</f>
        <v>77195</v>
      </c>
      <c r="G52" s="20">
        <f t="shared" si="15"/>
        <v>85830</v>
      </c>
      <c r="H52" s="20">
        <f t="shared" si="15"/>
        <v>91755</v>
      </c>
      <c r="I52" s="20">
        <f t="shared" si="15"/>
        <v>88002</v>
      </c>
      <c r="J52" s="163">
        <f t="shared" ref="J52" ca="1" si="16">SUM(J47:J51)</f>
        <v>106147.10499975545</v>
      </c>
      <c r="K52" s="163">
        <f t="shared" ref="K52" ca="1" si="17">SUM(K47:K51)</f>
        <v>118644.20181031377</v>
      </c>
      <c r="L52" s="163">
        <f t="shared" ref="L52" ca="1" si="18">SUM(L47:L51)</f>
        <v>134304.06669018214</v>
      </c>
      <c r="M52" s="163">
        <f t="shared" ref="M52" ca="1" si="19">SUM(M47:M51)</f>
        <v>153436.12569288007</v>
      </c>
      <c r="N52" s="163">
        <f t="shared" ref="N52" ca="1" si="20">SUM(N47:N51)</f>
        <v>176380.65524814843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5.75" outlineLevel="1" thickTop="1" x14ac:dyDescent="0.25">
      <c r="B53" s="8"/>
      <c r="C53" s="8"/>
      <c r="D53" s="15"/>
      <c r="E53" s="16"/>
      <c r="F53" s="16"/>
      <c r="G53" s="16"/>
      <c r="H53" s="16"/>
      <c r="I53" s="16"/>
      <c r="J53" s="157"/>
      <c r="K53" s="157"/>
      <c r="L53" s="157"/>
      <c r="M53" s="157"/>
      <c r="N53" s="15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outlineLevel="1" x14ac:dyDescent="0.25">
      <c r="B54" s="8" t="s">
        <v>36</v>
      </c>
      <c r="C54" s="2"/>
      <c r="E54" s="7"/>
      <c r="F54" s="7"/>
      <c r="G54" s="7"/>
      <c r="H54" s="7"/>
      <c r="I54" s="7"/>
      <c r="J54" s="160"/>
      <c r="K54" s="160"/>
      <c r="L54" s="160"/>
      <c r="M54" s="160"/>
      <c r="N54" s="160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outlineLevel="1" x14ac:dyDescent="0.25">
      <c r="B55" s="2" t="s">
        <v>38</v>
      </c>
      <c r="C55" s="2"/>
      <c r="D55" s="6"/>
      <c r="E55" s="114">
        <f>SUM('Expanded BS'!C8:C9)</f>
        <v>10</v>
      </c>
      <c r="F55" s="114">
        <f>SUM('Expanded BS'!D8:D9)</f>
        <v>6</v>
      </c>
      <c r="G55" s="114">
        <f>SUM('Expanded BS'!E8:E9)</f>
        <v>38</v>
      </c>
      <c r="H55" s="114">
        <f>SUM('Expanded BS'!F8:F9)</f>
        <v>12</v>
      </c>
      <c r="I55" s="114">
        <f>SUM('Expanded BS'!G8:G9)</f>
        <v>91</v>
      </c>
      <c r="J55" s="160">
        <f>I55+J120</f>
        <v>76.3</v>
      </c>
      <c r="K55" s="160">
        <f>J55+K120</f>
        <v>61.599999999999994</v>
      </c>
      <c r="L55" s="160">
        <f>K55+L120</f>
        <v>46.899999999999991</v>
      </c>
      <c r="M55" s="160">
        <f>L55+M120</f>
        <v>32.199999999999989</v>
      </c>
      <c r="N55" s="160">
        <f>M55+N120</f>
        <v>17.499999999999989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outlineLevel="1" x14ac:dyDescent="0.25">
      <c r="B56" s="2" t="s">
        <v>245</v>
      </c>
      <c r="C56" s="2"/>
      <c r="D56" s="6"/>
      <c r="E56" s="114">
        <f>'Expanded BS'!C10</f>
        <v>261</v>
      </c>
      <c r="F56" s="114">
        <f>'Expanded BS'!D10</f>
        <v>244</v>
      </c>
      <c r="G56" s="114">
        <f>'Expanded BS'!E10</f>
        <v>267</v>
      </c>
      <c r="H56" s="114">
        <f>'Expanded BS'!F10</f>
        <v>292</v>
      </c>
      <c r="I56" s="114">
        <f>'Expanded BS'!G10</f>
        <v>193</v>
      </c>
      <c r="J56" s="160">
        <f>AVERAGE(E56:I56)+J121</f>
        <v>207.8</v>
      </c>
      <c r="K56" s="160">
        <f>AVERAGE(F56:J56)+K121</f>
        <v>197.16</v>
      </c>
      <c r="L56" s="160">
        <f>AVERAGE(G56:K56)+L121</f>
        <v>187.792</v>
      </c>
      <c r="M56" s="160">
        <f>AVERAGE(H56:L56)+M121</f>
        <v>171.9504</v>
      </c>
      <c r="N56" s="160">
        <f>AVERAGE(I56:M56)+N121</f>
        <v>147.94048000000004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outlineLevel="1" x14ac:dyDescent="0.25">
      <c r="B57" s="2" t="s">
        <v>125</v>
      </c>
      <c r="C57" s="2"/>
      <c r="D57" s="6"/>
      <c r="E57" s="114">
        <f>SUM('Expanded BS'!C15:C16)+'Expanded BS'!C13</f>
        <v>8824</v>
      </c>
      <c r="F57" s="114">
        <f>SUM('Expanded BS'!D15:D16)+'Expanded BS'!D13</f>
        <v>10073</v>
      </c>
      <c r="G57" s="114">
        <f>SUM('Expanded BS'!E15:E16)+'Expanded BS'!E13</f>
        <v>11711</v>
      </c>
      <c r="H57" s="114">
        <f>SUM('Expanded BS'!F15:F16)+'Expanded BS'!F13</f>
        <v>12146</v>
      </c>
      <c r="I57" s="114">
        <f>SUM('Expanded BS'!G15:G16)+'Expanded BS'!G13</f>
        <v>12881</v>
      </c>
      <c r="J57" s="160">
        <f>I57*(1+'Other Key Assumptions'!$F$24)</f>
        <v>14158.609386567725</v>
      </c>
      <c r="K57" s="160">
        <f>J57*(1+'Other Key Assumptions'!$F$24)</f>
        <v>15562.939194270919</v>
      </c>
      <c r="L57" s="160">
        <f>K57*(1+'Other Key Assumptions'!$F$24)</f>
        <v>17106.558260894883</v>
      </c>
      <c r="M57" s="160">
        <f>L57*(1+'Other Key Assumptions'!$F$24)</f>
        <v>18803.282071622853</v>
      </c>
      <c r="N57" s="160">
        <f>M57*(1+'Other Key Assumptions'!$F$24)</f>
        <v>20668.296408474493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outlineLevel="1" x14ac:dyDescent="0.25">
      <c r="B58" s="8" t="s">
        <v>313</v>
      </c>
      <c r="C58" s="2"/>
      <c r="D58" s="6"/>
      <c r="E58" s="115">
        <f>SUM(E55:E57)</f>
        <v>9095</v>
      </c>
      <c r="F58" s="115">
        <f t="shared" ref="F58:I58" si="21">SUM(F55:F57)</f>
        <v>10323</v>
      </c>
      <c r="G58" s="115">
        <f t="shared" si="21"/>
        <v>12016</v>
      </c>
      <c r="H58" s="115">
        <f t="shared" si="21"/>
        <v>12450</v>
      </c>
      <c r="I58" s="115">
        <f t="shared" si="21"/>
        <v>13165</v>
      </c>
      <c r="J58" s="165">
        <f t="shared" ref="J58" si="22">SUM(J55:J57)</f>
        <v>14442.709386567725</v>
      </c>
      <c r="K58" s="165">
        <f t="shared" ref="K58" si="23">SUM(K55:K57)</f>
        <v>15821.699194270919</v>
      </c>
      <c r="L58" s="165">
        <f t="shared" ref="L58" si="24">SUM(L55:L57)</f>
        <v>17341.250260894882</v>
      </c>
      <c r="M58" s="165">
        <f t="shared" ref="M58" si="25">SUM(M55:M57)</f>
        <v>19007.432471622851</v>
      </c>
      <c r="N58" s="165">
        <f t="shared" ref="N58" si="26">SUM(N55:N57)</f>
        <v>20833.736888474494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outlineLevel="1" x14ac:dyDescent="0.25">
      <c r="J59" s="166"/>
      <c r="K59" s="166"/>
      <c r="L59" s="166"/>
      <c r="M59" s="166"/>
      <c r="N59" s="16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outlineLevel="1" x14ac:dyDescent="0.25">
      <c r="B60" s="2" t="s">
        <v>37</v>
      </c>
      <c r="C60" s="2"/>
      <c r="E60" s="114">
        <f>'Expanded BS'!C14</f>
        <v>4319</v>
      </c>
      <c r="F60" s="114">
        <f>'Expanded BS'!D14</f>
        <v>4417</v>
      </c>
      <c r="G60" s="114">
        <f>'Expanded BS'!E14</f>
        <v>4659</v>
      </c>
      <c r="H60" s="114">
        <f>'Expanded BS'!F14</f>
        <v>4798</v>
      </c>
      <c r="I60" s="114">
        <f>'Expanded BS'!G14</f>
        <v>4807</v>
      </c>
      <c r="J60" s="160">
        <f>J29*(J20/J24)</f>
        <v>5358.8695697293479</v>
      </c>
      <c r="K60" s="160">
        <f>K29*K20/K24</f>
        <v>5910.5143760758328</v>
      </c>
      <c r="L60" s="160">
        <f>L29*L20/L24</f>
        <v>6518.9457842250567</v>
      </c>
      <c r="M60" s="160">
        <f>M29*M20/M24</f>
        <v>7190.0094363496764</v>
      </c>
      <c r="N60" s="160">
        <f>N29*N20/N24</f>
        <v>7930.1527280523023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outlineLevel="1" x14ac:dyDescent="0.25">
      <c r="B61" s="22" t="s">
        <v>39</v>
      </c>
      <c r="C61" s="22"/>
      <c r="D61" s="23"/>
      <c r="E61" s="22">
        <f>SUM(E58:E60)</f>
        <v>13414</v>
      </c>
      <c r="F61" s="22">
        <f t="shared" ref="F61:N61" si="27">SUM(F58:F60)</f>
        <v>14740</v>
      </c>
      <c r="G61" s="22">
        <f t="shared" si="27"/>
        <v>16675</v>
      </c>
      <c r="H61" s="22">
        <f t="shared" si="27"/>
        <v>17248</v>
      </c>
      <c r="I61" s="22">
        <f t="shared" si="27"/>
        <v>17972</v>
      </c>
      <c r="J61" s="167">
        <f t="shared" si="27"/>
        <v>19801.578956297075</v>
      </c>
      <c r="K61" s="167">
        <f t="shared" si="27"/>
        <v>21732.21357034675</v>
      </c>
      <c r="L61" s="167">
        <f t="shared" si="27"/>
        <v>23860.196045119937</v>
      </c>
      <c r="M61" s="167">
        <f t="shared" si="27"/>
        <v>26197.441907972527</v>
      </c>
      <c r="N61" s="167">
        <f t="shared" si="27"/>
        <v>28763.889616526794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outlineLevel="1" x14ac:dyDescent="0.25">
      <c r="B62" s="8"/>
      <c r="C62" s="8"/>
      <c r="D62" s="15"/>
      <c r="E62" s="8"/>
      <c r="F62" s="8"/>
      <c r="G62" s="8"/>
      <c r="H62" s="8"/>
      <c r="I62" s="8"/>
      <c r="J62" s="157"/>
      <c r="K62" s="157"/>
      <c r="L62" s="157"/>
      <c r="M62" s="157"/>
      <c r="N62" s="15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outlineLevel="1" x14ac:dyDescent="0.25">
      <c r="B63" s="8" t="s">
        <v>40</v>
      </c>
      <c r="C63" s="2"/>
      <c r="D63" s="6"/>
      <c r="E63" s="7"/>
      <c r="F63" s="7"/>
      <c r="G63" s="7"/>
      <c r="H63" s="7"/>
      <c r="I63" s="7"/>
      <c r="J63" s="160"/>
      <c r="K63" s="160"/>
      <c r="L63" s="160"/>
      <c r="M63" s="160"/>
      <c r="N63" s="160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outlineLevel="1" x14ac:dyDescent="0.25">
      <c r="B64" s="2" t="s">
        <v>41</v>
      </c>
      <c r="C64" s="2"/>
      <c r="D64" s="6"/>
      <c r="E64" s="114">
        <f>SUM('Expanded BS'!C5)</f>
        <v>1231</v>
      </c>
      <c r="F64" s="114">
        <f>SUM('Expanded BS'!D5)</f>
        <v>1232</v>
      </c>
      <c r="G64" s="114">
        <f>SUM('Expanded BS'!E5)</f>
        <v>1243</v>
      </c>
      <c r="H64" s="114">
        <f>SUM('Expanded BS'!F5)</f>
        <v>1248</v>
      </c>
      <c r="I64" s="114">
        <f>SUM('Expanded BS'!G5)</f>
        <v>1251</v>
      </c>
      <c r="J64" s="160">
        <f>I64+J93</f>
        <v>2371</v>
      </c>
      <c r="K64" s="160">
        <f>J64+K93</f>
        <v>3491</v>
      </c>
      <c r="L64" s="160">
        <f>K64+L93</f>
        <v>4611</v>
      </c>
      <c r="M64" s="160">
        <f>L64+M93</f>
        <v>5731</v>
      </c>
      <c r="N64" s="160">
        <f>M64+N93</f>
        <v>6851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outlineLevel="1" x14ac:dyDescent="0.25">
      <c r="B65" s="2" t="s">
        <v>123</v>
      </c>
      <c r="C65" s="2"/>
      <c r="D65" s="6"/>
      <c r="E65" s="114">
        <f>SUM('Expanded BS'!C6)</f>
        <v>59116</v>
      </c>
      <c r="F65" s="114">
        <f>SUM('Expanded BS'!D6)</f>
        <v>61223</v>
      </c>
      <c r="G65" s="114">
        <f>SUM('Expanded BS'!E6)</f>
        <v>67912</v>
      </c>
      <c r="H65" s="114">
        <f>SUM('Expanded BS'!F6)</f>
        <v>73259</v>
      </c>
      <c r="I65" s="114">
        <f>SUM('Expanded BS'!G6)</f>
        <v>68779</v>
      </c>
      <c r="J65" s="160">
        <f>I65+J42+J94</f>
        <v>75736.971837882695</v>
      </c>
      <c r="K65" s="160">
        <f t="shared" ref="K65:N65" si="28">J65+K42+K94</f>
        <v>85110.177327566082</v>
      </c>
      <c r="L65" s="160">
        <f t="shared" si="28"/>
        <v>97136.468409329216</v>
      </c>
      <c r="M65" s="160">
        <f t="shared" si="28"/>
        <v>112077.50059240221</v>
      </c>
      <c r="N65" s="160">
        <f t="shared" si="28"/>
        <v>130221.09226879329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outlineLevel="1" x14ac:dyDescent="0.25">
      <c r="B66" s="22" t="s">
        <v>40</v>
      </c>
      <c r="C66" s="22"/>
      <c r="D66" s="23"/>
      <c r="E66" s="22">
        <f t="shared" ref="E66:N66" si="29">SUM(E64:E65)</f>
        <v>60347</v>
      </c>
      <c r="F66" s="22">
        <f t="shared" si="29"/>
        <v>62455</v>
      </c>
      <c r="G66" s="22">
        <f t="shared" si="29"/>
        <v>69155</v>
      </c>
      <c r="H66" s="22">
        <f t="shared" si="29"/>
        <v>74507</v>
      </c>
      <c r="I66" s="22">
        <f t="shared" si="29"/>
        <v>70030</v>
      </c>
      <c r="J66" s="167">
        <f t="shared" si="29"/>
        <v>78107.971837882695</v>
      </c>
      <c r="K66" s="167">
        <f t="shared" si="29"/>
        <v>88601.177327566082</v>
      </c>
      <c r="L66" s="167">
        <f t="shared" si="29"/>
        <v>101747.46840932922</v>
      </c>
      <c r="M66" s="167">
        <f t="shared" si="29"/>
        <v>117808.50059240221</v>
      </c>
      <c r="N66" s="167">
        <f t="shared" si="29"/>
        <v>137072.09226879329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5.75" outlineLevel="1" thickBot="1" x14ac:dyDescent="0.3">
      <c r="B67" s="20" t="s">
        <v>43</v>
      </c>
      <c r="C67" s="20"/>
      <c r="D67" s="21"/>
      <c r="E67" s="20">
        <f t="shared" ref="E67:N67" si="30">E61+E66</f>
        <v>73761</v>
      </c>
      <c r="F67" s="20">
        <f t="shared" si="30"/>
        <v>77195</v>
      </c>
      <c r="G67" s="20">
        <f t="shared" si="30"/>
        <v>85830</v>
      </c>
      <c r="H67" s="20">
        <f t="shared" si="30"/>
        <v>91755</v>
      </c>
      <c r="I67" s="20">
        <f t="shared" si="30"/>
        <v>88002</v>
      </c>
      <c r="J67" s="163">
        <f t="shared" si="30"/>
        <v>97909.55079417977</v>
      </c>
      <c r="K67" s="163">
        <f t="shared" si="30"/>
        <v>110333.39089791283</v>
      </c>
      <c r="L67" s="163">
        <f t="shared" si="30"/>
        <v>125607.66445444916</v>
      </c>
      <c r="M67" s="163">
        <f t="shared" si="30"/>
        <v>144005.94250037475</v>
      </c>
      <c r="N67" s="163">
        <f t="shared" si="30"/>
        <v>165835.9818853201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4.5" customHeight="1" outlineLevel="1" thickTop="1" x14ac:dyDescent="0.25">
      <c r="B68" s="2"/>
      <c r="C68" s="2"/>
      <c r="D68" s="6"/>
      <c r="E68" s="7"/>
      <c r="F68" s="7"/>
      <c r="G68" s="7"/>
      <c r="H68" s="7"/>
      <c r="I68" s="7"/>
      <c r="J68" s="160"/>
      <c r="K68" s="160"/>
      <c r="L68" s="160"/>
      <c r="M68" s="160"/>
      <c r="N68" s="160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outlineLevel="1" x14ac:dyDescent="0.25">
      <c r="B69" s="3" t="s">
        <v>44</v>
      </c>
      <c r="C69" s="24"/>
      <c r="D69" s="25"/>
      <c r="E69" s="155" t="str">
        <f>IF(E67=E52,"OK","Different")</f>
        <v>OK</v>
      </c>
      <c r="F69" s="155" t="str">
        <f t="shared" ref="F69:I69" si="31">IF(F67=F52,"OK","Different")</f>
        <v>OK</v>
      </c>
      <c r="G69" s="155" t="str">
        <f t="shared" si="31"/>
        <v>OK</v>
      </c>
      <c r="H69" s="155" t="str">
        <f t="shared" si="31"/>
        <v>OK</v>
      </c>
      <c r="I69" s="155" t="str">
        <f t="shared" si="31"/>
        <v>OK</v>
      </c>
      <c r="J69" s="155" t="str">
        <f ca="1">IF(J67=J52,"OK","Different")</f>
        <v>Different</v>
      </c>
      <c r="K69" s="155" t="str">
        <f t="shared" ref="K69:N69" ca="1" si="32">IF(K67=K52,"OK","Different")</f>
        <v>Different</v>
      </c>
      <c r="L69" s="155" t="str">
        <f t="shared" ca="1" si="32"/>
        <v>Different</v>
      </c>
      <c r="M69" s="155" t="str">
        <f t="shared" ca="1" si="32"/>
        <v>Different</v>
      </c>
      <c r="N69" s="155" t="str">
        <f t="shared" ca="1" si="32"/>
        <v>Different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.5" customHeight="1" outlineLevel="1" x14ac:dyDescent="0.25">
      <c r="B70" s="24"/>
      <c r="C70" s="24"/>
      <c r="D70" s="25"/>
      <c r="E70" s="143">
        <v>0.11999999999534339</v>
      </c>
      <c r="F70" s="143">
        <v>-1.4700000000011642</v>
      </c>
      <c r="G70" s="143">
        <v>-2.5200000000040745</v>
      </c>
      <c r="H70" s="143">
        <v>1.6199999999953434</v>
      </c>
      <c r="I70" s="143">
        <v>-1.5899999999965075</v>
      </c>
      <c r="J70" s="24"/>
      <c r="K70" s="24"/>
      <c r="L70" s="24"/>
      <c r="M70" s="24"/>
      <c r="N70" s="2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x14ac:dyDescent="0.25">
      <c r="B71" s="173" t="s">
        <v>350</v>
      </c>
      <c r="C71" s="173"/>
      <c r="D71" s="174"/>
      <c r="E71" s="173">
        <f>E52-E67</f>
        <v>0</v>
      </c>
      <c r="F71" s="173">
        <f t="shared" ref="F71:N71" si="33">F52-F67</f>
        <v>0</v>
      </c>
      <c r="G71" s="173">
        <f t="shared" si="33"/>
        <v>0</v>
      </c>
      <c r="H71" s="173">
        <f t="shared" si="33"/>
        <v>0</v>
      </c>
      <c r="I71" s="173">
        <f t="shared" si="33"/>
        <v>0</v>
      </c>
      <c r="J71" s="173">
        <f t="shared" ca="1" si="33"/>
        <v>8237.5542055756814</v>
      </c>
      <c r="K71" s="173">
        <f t="shared" ca="1" si="33"/>
        <v>8310.8109124009352</v>
      </c>
      <c r="L71" s="173">
        <f t="shared" ca="1" si="33"/>
        <v>8696.4022357329814</v>
      </c>
      <c r="M71" s="173">
        <f t="shared" ca="1" si="33"/>
        <v>9430.1831925053266</v>
      </c>
      <c r="N71" s="173">
        <f t="shared" ca="1" si="33"/>
        <v>10544.673362828325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5" customHeight="1" x14ac:dyDescent="0.25">
      <c r="B72" s="2"/>
      <c r="C72" s="2"/>
      <c r="D72" s="6"/>
      <c r="E72" s="7"/>
      <c r="F72" s="7"/>
      <c r="G72" s="7"/>
      <c r="H72" s="7"/>
      <c r="I72" s="7"/>
      <c r="J72" s="114"/>
      <c r="K72" s="114"/>
      <c r="L72" s="114"/>
      <c r="M72" s="114"/>
      <c r="N72" s="11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x14ac:dyDescent="0.25">
      <c r="B73" s="147" t="s">
        <v>45</v>
      </c>
      <c r="C73" s="148"/>
      <c r="D73" s="148"/>
      <c r="E73" s="148"/>
      <c r="F73" s="148"/>
      <c r="G73" s="148"/>
      <c r="H73" s="148"/>
      <c r="I73" s="148"/>
      <c r="J73" s="168"/>
      <c r="K73" s="168"/>
      <c r="L73" s="168"/>
      <c r="M73" s="168"/>
      <c r="N73" s="16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4.5" customHeight="1" outlineLevel="1" x14ac:dyDescent="0.25">
      <c r="B74" s="8"/>
      <c r="C74" s="2"/>
      <c r="D74" s="6"/>
      <c r="E74" s="16"/>
      <c r="F74" s="7"/>
      <c r="G74" s="7"/>
      <c r="H74" s="7"/>
      <c r="I74" s="7"/>
      <c r="J74" s="3"/>
      <c r="K74" s="3"/>
      <c r="L74" s="3"/>
      <c r="M74" s="3"/>
      <c r="N74" s="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outlineLevel="1" x14ac:dyDescent="0.25">
      <c r="B75" s="8" t="s">
        <v>46</v>
      </c>
      <c r="C75" s="2"/>
      <c r="D75" s="6"/>
      <c r="E75" s="7"/>
      <c r="F75" s="7"/>
      <c r="G75" s="7"/>
      <c r="H75" s="7"/>
      <c r="I75" s="7"/>
      <c r="J75" s="3"/>
      <c r="K75" s="3"/>
      <c r="L75" s="3"/>
      <c r="M75" s="3"/>
      <c r="N75" s="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outlineLevel="1" x14ac:dyDescent="0.25">
      <c r="B76" s="2" t="s">
        <v>28</v>
      </c>
      <c r="C76" s="2"/>
      <c r="D76" s="6"/>
      <c r="E76" s="114">
        <f>'Cash Flow Statement'!C5</f>
        <v>17326</v>
      </c>
      <c r="F76" s="114">
        <f>'Cash Flow Statement'!D5</f>
        <v>20857</v>
      </c>
      <c r="G76" s="114">
        <f>'Cash Flow Statement'!E5</f>
        <v>26052</v>
      </c>
      <c r="H76" s="114">
        <f>'Cash Flow Statement'!F5</f>
        <v>26635</v>
      </c>
      <c r="I76" s="114">
        <f>'Cash Flow Statement'!G5</f>
        <v>26719</v>
      </c>
      <c r="J76" s="160">
        <f>J42</f>
        <v>23679.721837882695</v>
      </c>
      <c r="K76" s="160">
        <f>K42</f>
        <v>26094.955489683391</v>
      </c>
      <c r="L76" s="160">
        <f>L42</f>
        <v>28748.041081763127</v>
      </c>
      <c r="M76" s="160">
        <f>M42</f>
        <v>31662.782183072995</v>
      </c>
      <c r="N76" s="160">
        <f>N42</f>
        <v>34865.341676391079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outlineLevel="1" x14ac:dyDescent="0.25">
      <c r="B77" s="2" t="s">
        <v>47</v>
      </c>
      <c r="C77" s="2"/>
      <c r="D77" s="6"/>
      <c r="E77" s="114">
        <f>E36</f>
        <v>1645.59</v>
      </c>
      <c r="F77" s="114">
        <f>F36</f>
        <v>1732.41</v>
      </c>
      <c r="G77" s="114">
        <f>G36</f>
        <v>1809.01</v>
      </c>
      <c r="H77" s="114">
        <f>H36</f>
        <v>1518.05</v>
      </c>
      <c r="I77" s="114">
        <f>I36</f>
        <v>1646.32</v>
      </c>
      <c r="J77" s="160">
        <f>J114</f>
        <v>1511.9432940487636</v>
      </c>
      <c r="K77" s="160">
        <f>K114</f>
        <v>1588.9126144300108</v>
      </c>
      <c r="L77" s="160">
        <f>L114</f>
        <v>1677.5951403001934</v>
      </c>
      <c r="M77" s="160">
        <f>M114</f>
        <v>1779.0140558505475</v>
      </c>
      <c r="N77" s="160">
        <f>N114</f>
        <v>1894.3066680747113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outlineLevel="1" x14ac:dyDescent="0.25">
      <c r="B78" s="2" t="s">
        <v>48</v>
      </c>
      <c r="C78" s="2"/>
      <c r="D78" s="6"/>
      <c r="E78" s="114">
        <f>-E109</f>
        <v>414</v>
      </c>
      <c r="F78" s="114">
        <f t="shared" ref="F78:I78" si="34">-F109</f>
        <v>99</v>
      </c>
      <c r="G78" s="114">
        <f t="shared" si="34"/>
        <v>924</v>
      </c>
      <c r="H78" s="114">
        <f t="shared" si="34"/>
        <v>3338</v>
      </c>
      <c r="I78" s="114">
        <f t="shared" si="34"/>
        <v>2742</v>
      </c>
      <c r="J78" s="151">
        <f t="shared" ref="J78:N78" si="35">J109</f>
        <v>-11015.960649207482</v>
      </c>
      <c r="K78" s="151">
        <f t="shared" si="35"/>
        <v>2328.6968811090455</v>
      </c>
      <c r="L78" s="151">
        <f t="shared" si="35"/>
        <v>2568.414142987448</v>
      </c>
      <c r="M78" s="151">
        <f t="shared" si="35"/>
        <v>2832.8080238404691</v>
      </c>
      <c r="N78" s="151">
        <f t="shared" si="35"/>
        <v>3124.4187475937624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outlineLevel="1" x14ac:dyDescent="0.25">
      <c r="B79" s="2" t="s">
        <v>328</v>
      </c>
      <c r="C79" s="2"/>
      <c r="D79" s="6"/>
      <c r="E79" s="114">
        <f>'Cash Flow Statement'!C10</f>
        <v>-4387</v>
      </c>
      <c r="F79" s="114">
        <f>'Cash Flow Statement'!D10</f>
        <v>-4982</v>
      </c>
      <c r="G79" s="114">
        <f>'Cash Flow Statement'!E10</f>
        <v>-6250</v>
      </c>
      <c r="H79" s="114">
        <f>'Cash Flow Statement'!F10</f>
        <v>-6120</v>
      </c>
      <c r="I79" s="114">
        <f>'Cash Flow Statement'!G10</f>
        <v>-6350</v>
      </c>
      <c r="J79" s="160">
        <f>AVERAGE($E$79:$I$79)</f>
        <v>-5617.8</v>
      </c>
      <c r="K79" s="160">
        <f t="shared" ref="K79:N79" si="36">AVERAGE($E$79:$I$79)</f>
        <v>-5617.8</v>
      </c>
      <c r="L79" s="160">
        <f t="shared" si="36"/>
        <v>-5617.8</v>
      </c>
      <c r="M79" s="160">
        <f t="shared" si="36"/>
        <v>-5617.8</v>
      </c>
      <c r="N79" s="160">
        <f t="shared" si="36"/>
        <v>-5617.8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outlineLevel="1" x14ac:dyDescent="0.25">
      <c r="B80" s="10" t="s">
        <v>49</v>
      </c>
      <c r="C80" s="9"/>
      <c r="D80" s="26"/>
      <c r="E80" s="10">
        <f>E76+E77+E78+E79</f>
        <v>14998.59</v>
      </c>
      <c r="F80" s="10">
        <f t="shared" ref="F80:N80" si="37">F76+F77+F78+F79</f>
        <v>17706.41</v>
      </c>
      <c r="G80" s="10">
        <f t="shared" si="37"/>
        <v>22535.01</v>
      </c>
      <c r="H80" s="10">
        <f t="shared" si="37"/>
        <v>25371.05</v>
      </c>
      <c r="I80" s="10">
        <f t="shared" si="37"/>
        <v>24757.32</v>
      </c>
      <c r="J80" s="159">
        <f t="shared" si="37"/>
        <v>8557.9044827239777</v>
      </c>
      <c r="K80" s="159">
        <f t="shared" si="37"/>
        <v>24394.764985222446</v>
      </c>
      <c r="L80" s="159">
        <f t="shared" si="37"/>
        <v>27376.250365050768</v>
      </c>
      <c r="M80" s="159">
        <f t="shared" si="37"/>
        <v>30656.804262764013</v>
      </c>
      <c r="N80" s="159">
        <f t="shared" si="37"/>
        <v>34266.267092059556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outlineLevel="1" x14ac:dyDescent="0.25">
      <c r="B81" s="8"/>
      <c r="C81" s="2"/>
      <c r="D81" s="6"/>
      <c r="E81" s="16"/>
      <c r="F81" s="16"/>
      <c r="G81" s="16"/>
      <c r="H81" s="16"/>
      <c r="I81" s="16"/>
      <c r="J81" s="157"/>
      <c r="K81" s="157"/>
      <c r="L81" s="157"/>
      <c r="M81" s="157"/>
      <c r="N81" s="157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outlineLevel="1" x14ac:dyDescent="0.25">
      <c r="B82" s="8" t="s">
        <v>50</v>
      </c>
      <c r="C82" s="2"/>
      <c r="D82" s="6"/>
      <c r="E82" s="7"/>
      <c r="F82" s="7"/>
      <c r="G82" s="7"/>
      <c r="H82" s="7"/>
      <c r="I82" s="7"/>
      <c r="J82" s="160"/>
      <c r="K82" s="160"/>
      <c r="L82" s="160"/>
      <c r="M82" s="160"/>
      <c r="N82" s="160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outlineLevel="1" x14ac:dyDescent="0.25">
      <c r="B83" s="2" t="s">
        <v>51</v>
      </c>
      <c r="C83" s="2"/>
      <c r="D83" s="6"/>
      <c r="E83" s="114">
        <f t="shared" ref="E83:N83" si="38">-E21</f>
        <v>-1834</v>
      </c>
      <c r="F83" s="114">
        <f t="shared" si="38"/>
        <v>-2009</v>
      </c>
      <c r="G83" s="114">
        <f t="shared" si="38"/>
        <v>-2694</v>
      </c>
      <c r="H83" s="114">
        <f t="shared" si="38"/>
        <v>-3456</v>
      </c>
      <c r="I83" s="114">
        <f t="shared" si="38"/>
        <v>-2104</v>
      </c>
      <c r="J83" s="151">
        <f t="shared" si="38"/>
        <v>-3109.6572303663888</v>
      </c>
      <c r="K83" s="151">
        <f t="shared" si="38"/>
        <v>-3429.7669546894704</v>
      </c>
      <c r="L83" s="151">
        <f t="shared" si="38"/>
        <v>-3782.8289396686641</v>
      </c>
      <c r="M83" s="151">
        <f t="shared" si="38"/>
        <v>-4172.2353080663916</v>
      </c>
      <c r="N83" s="151">
        <f t="shared" si="38"/>
        <v>-4601.7273695174208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outlineLevel="1" x14ac:dyDescent="0.25">
      <c r="B84" s="2" t="s">
        <v>329</v>
      </c>
      <c r="C84" s="2"/>
      <c r="D84" s="6"/>
      <c r="E84" s="114">
        <f>'Cash Flow Statement'!C14</f>
        <v>-57553</v>
      </c>
      <c r="F84" s="114">
        <f>'Cash Flow Statement'!D14</f>
        <v>-69776</v>
      </c>
      <c r="G84" s="114">
        <f>'Cash Flow Statement'!E14</f>
        <v>-80932</v>
      </c>
      <c r="H84" s="114">
        <f>'Cash Flow Statement'!F14</f>
        <v>-75107</v>
      </c>
      <c r="I84" s="114">
        <f>'Cash Flow Statement'!G14</f>
        <v>-66373</v>
      </c>
      <c r="J84" s="151">
        <f>$I$84</f>
        <v>-66373</v>
      </c>
      <c r="K84" s="151">
        <f t="shared" ref="K84:N84" si="39">$I$84</f>
        <v>-66373</v>
      </c>
      <c r="L84" s="151">
        <f t="shared" si="39"/>
        <v>-66373</v>
      </c>
      <c r="M84" s="151">
        <f t="shared" si="39"/>
        <v>-66373</v>
      </c>
      <c r="N84" s="151">
        <f t="shared" si="39"/>
        <v>-66373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outlineLevel="1" x14ac:dyDescent="0.25">
      <c r="B85" s="2" t="s">
        <v>330</v>
      </c>
      <c r="C85" s="2"/>
      <c r="D85" s="6"/>
      <c r="E85" s="114">
        <f>'Cash Flow Statement'!C15</f>
        <v>62797</v>
      </c>
      <c r="F85" s="114">
        <f>'Cash Flow Statement'!D15</f>
        <v>70992</v>
      </c>
      <c r="G85" s="114">
        <f>'Cash Flow Statement'!E15</f>
        <v>77230</v>
      </c>
      <c r="H85" s="114">
        <f>'Cash Flow Statement'!F15</f>
        <v>77830</v>
      </c>
      <c r="I85" s="114">
        <f>'Cash Flow Statement'!G15</f>
        <v>67311</v>
      </c>
      <c r="J85" s="151">
        <f>$I$85</f>
        <v>67311</v>
      </c>
      <c r="K85" s="151">
        <f t="shared" ref="K85:N85" si="40">$I$85</f>
        <v>67311</v>
      </c>
      <c r="L85" s="151">
        <f t="shared" si="40"/>
        <v>67311</v>
      </c>
      <c r="M85" s="151">
        <f t="shared" si="40"/>
        <v>67311</v>
      </c>
      <c r="N85" s="151">
        <f t="shared" si="40"/>
        <v>67311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outlineLevel="1" x14ac:dyDescent="0.25">
      <c r="B86" s="2" t="s">
        <v>331</v>
      </c>
      <c r="C86" s="2"/>
      <c r="D86" s="6"/>
      <c r="E86" s="114">
        <f>'Cash Flow Statement'!C16</f>
        <v>1275</v>
      </c>
      <c r="F86" s="114">
        <f>'Cash Flow Statement'!D16</f>
        <v>1035</v>
      </c>
      <c r="G86" s="114">
        <f>'Cash Flow Statement'!E16</f>
        <v>1324</v>
      </c>
      <c r="H86" s="114">
        <f>'Cash Flow Statement'!F16</f>
        <v>1138</v>
      </c>
      <c r="I86" s="114">
        <f>'Cash Flow Statement'!G16</f>
        <v>1072</v>
      </c>
      <c r="J86" s="151">
        <f>AVERAGE($G$86:$I$86)</f>
        <v>1178</v>
      </c>
      <c r="K86" s="151">
        <f t="shared" ref="K86:N86" si="41">AVERAGE($G$86:$I$86)</f>
        <v>1178</v>
      </c>
      <c r="L86" s="151">
        <f t="shared" si="41"/>
        <v>1178</v>
      </c>
      <c r="M86" s="151">
        <f t="shared" si="41"/>
        <v>1178</v>
      </c>
      <c r="N86" s="151">
        <f t="shared" si="41"/>
        <v>1178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outlineLevel="1" x14ac:dyDescent="0.25">
      <c r="B87" s="2" t="s">
        <v>332</v>
      </c>
      <c r="C87" s="2"/>
      <c r="D87" s="6"/>
      <c r="E87" s="114">
        <f>SUM('Cash Flow Statement'!C17:C21)</f>
        <v>1056</v>
      </c>
      <c r="F87" s="114">
        <f>SUM('Cash Flow Statement'!D17:D21)</f>
        <v>-2480</v>
      </c>
      <c r="G87" s="114">
        <f>SUM('Cash Flow Statement'!E17:E21)</f>
        <v>-660</v>
      </c>
      <c r="H87" s="114">
        <f>SUM('Cash Flow Statement'!F17:F21)</f>
        <v>1158</v>
      </c>
      <c r="I87" s="114">
        <f>SUM('Cash Flow Statement'!G17:G21)</f>
        <v>-470</v>
      </c>
      <c r="J87" s="151">
        <f>AVERAGE($E$87:$I$87)</f>
        <v>-279.2</v>
      </c>
      <c r="K87" s="151">
        <f t="shared" ref="K87:N87" si="42">AVERAGE($E$87:$I$87)</f>
        <v>-279.2</v>
      </c>
      <c r="L87" s="151">
        <f t="shared" si="42"/>
        <v>-279.2</v>
      </c>
      <c r="M87" s="151">
        <f t="shared" si="42"/>
        <v>-279.2</v>
      </c>
      <c r="N87" s="151">
        <f t="shared" si="42"/>
        <v>-279.2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outlineLevel="1" x14ac:dyDescent="0.25">
      <c r="B88" s="10" t="s">
        <v>52</v>
      </c>
      <c r="C88" s="9"/>
      <c r="D88" s="26"/>
      <c r="E88" s="10">
        <f t="shared" ref="E88:N88" si="43">SUM(E83:E87)</f>
        <v>5741</v>
      </c>
      <c r="F88" s="10">
        <f t="shared" si="43"/>
        <v>-2238</v>
      </c>
      <c r="G88" s="10">
        <f t="shared" si="43"/>
        <v>-5732</v>
      </c>
      <c r="H88" s="10">
        <f t="shared" si="43"/>
        <v>1563</v>
      </c>
      <c r="I88" s="10">
        <f t="shared" si="43"/>
        <v>-564</v>
      </c>
      <c r="J88" s="159">
        <f t="shared" si="43"/>
        <v>-1272.8572303663852</v>
      </c>
      <c r="K88" s="159">
        <f t="shared" si="43"/>
        <v>-1592.9669546894759</v>
      </c>
      <c r="L88" s="159">
        <f t="shared" si="43"/>
        <v>-1946.0289396686596</v>
      </c>
      <c r="M88" s="159">
        <f t="shared" si="43"/>
        <v>-2335.4353080663886</v>
      </c>
      <c r="N88" s="159">
        <f t="shared" si="43"/>
        <v>-2764.9273695174224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outlineLevel="1" x14ac:dyDescent="0.25">
      <c r="B89" s="8"/>
      <c r="C89" s="2"/>
      <c r="D89" s="6"/>
      <c r="E89" s="16"/>
      <c r="F89" s="16"/>
      <c r="G89" s="16"/>
      <c r="H89" s="16"/>
      <c r="I89" s="16"/>
      <c r="J89" s="157"/>
      <c r="K89" s="157"/>
      <c r="L89" s="157"/>
      <c r="M89" s="157"/>
      <c r="N89" s="157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outlineLevel="1" x14ac:dyDescent="0.25">
      <c r="B90" s="8" t="s">
        <v>53</v>
      </c>
      <c r="C90" s="2"/>
      <c r="D90" s="6"/>
      <c r="E90" s="7"/>
      <c r="F90" s="7"/>
      <c r="G90" s="7"/>
      <c r="H90" s="7"/>
      <c r="I90" s="7"/>
      <c r="J90" s="160"/>
      <c r="K90" s="160"/>
      <c r="L90" s="160"/>
      <c r="M90" s="160"/>
      <c r="N90" s="160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outlineLevel="1" x14ac:dyDescent="0.25">
      <c r="B91" s="2" t="s">
        <v>317</v>
      </c>
      <c r="C91" s="2"/>
      <c r="D91" s="6"/>
      <c r="E91" s="114">
        <f>'Cash Flow Statement'!C26</f>
        <v>-41</v>
      </c>
      <c r="F91" s="114">
        <f>'Cash Flow Statement'!D26</f>
        <v>-40</v>
      </c>
      <c r="G91" s="114">
        <f>'Cash Flow Statement'!E26</f>
        <v>-41</v>
      </c>
      <c r="H91" s="114">
        <f>'Cash Flow Statement'!F26</f>
        <v>-46</v>
      </c>
      <c r="I91" s="114">
        <f>'Cash Flow Statement'!G26</f>
        <v>-50</v>
      </c>
      <c r="J91" s="160">
        <f>'Cost Assumptions'!D95</f>
        <v>-43.6</v>
      </c>
      <c r="K91" s="160">
        <f>J91</f>
        <v>-43.6</v>
      </c>
      <c r="L91" s="160">
        <f t="shared" ref="L91:N91" si="44">K91</f>
        <v>-43.6</v>
      </c>
      <c r="M91" s="160">
        <f t="shared" si="44"/>
        <v>-43.6</v>
      </c>
      <c r="N91" s="160">
        <f t="shared" si="44"/>
        <v>-43.6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outlineLevel="1" x14ac:dyDescent="0.25">
      <c r="B92" s="2" t="s">
        <v>314</v>
      </c>
      <c r="C92" s="2"/>
      <c r="D92" s="6"/>
      <c r="E92" s="114">
        <f>SUM('Cash Flow Statement'!C24:C25)</f>
        <v>-2</v>
      </c>
      <c r="F92" s="114">
        <f>SUM('Cash Flow Statement'!D24:D25)</f>
        <v>-1</v>
      </c>
      <c r="G92" s="114">
        <f>SUM('Cash Flow Statement'!E24:E25)</f>
        <v>-1</v>
      </c>
      <c r="H92" s="114">
        <f>SUM('Cash Flow Statement'!F24:F25)</f>
        <v>6</v>
      </c>
      <c r="I92" s="114">
        <f>SUM('Cash Flow Statement'!G24:G25)</f>
        <v>88</v>
      </c>
      <c r="J92" s="160">
        <f>-$I$92*('Cost Assumptions'!$D$99)</f>
        <v>-13.2</v>
      </c>
      <c r="K92" s="160">
        <f>-$I$92*('Cost Assumptions'!$D$99)</f>
        <v>-13.2</v>
      </c>
      <c r="L92" s="160">
        <f>-$I$92*('Cost Assumptions'!$D$99)</f>
        <v>-13.2</v>
      </c>
      <c r="M92" s="160">
        <f>-$I$92*('Cost Assumptions'!$D$99)</f>
        <v>-13.2</v>
      </c>
      <c r="N92" s="160">
        <f>-$I$92*('Cost Assumptions'!$D$99)</f>
        <v>-13.2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outlineLevel="1" x14ac:dyDescent="0.25">
      <c r="B93" s="2" t="s">
        <v>315</v>
      </c>
      <c r="C93" s="2"/>
      <c r="D93" s="6"/>
      <c r="E93" s="114">
        <f>'Cash Flow Statement'!C23</f>
        <v>291</v>
      </c>
      <c r="F93" s="114">
        <f>'Cash Flow Statement'!D23</f>
        <v>292</v>
      </c>
      <c r="G93" s="114">
        <f>'Cash Flow Statement'!E23</f>
        <v>2477</v>
      </c>
      <c r="H93" s="114">
        <f>'Cash Flow Statement'!F23</f>
        <v>1443</v>
      </c>
      <c r="I93" s="114">
        <f>'Cash Flow Statement'!G23</f>
        <v>797</v>
      </c>
      <c r="J93" s="160">
        <f>AVERAGE(H93:I93)</f>
        <v>1120</v>
      </c>
      <c r="K93" s="160">
        <f>J93</f>
        <v>1120</v>
      </c>
      <c r="L93" s="160">
        <f t="shared" ref="L93:N93" si="45">K93</f>
        <v>1120</v>
      </c>
      <c r="M93" s="160">
        <f t="shared" si="45"/>
        <v>1120</v>
      </c>
      <c r="N93" s="160">
        <f t="shared" si="45"/>
        <v>1120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outlineLevel="1" x14ac:dyDescent="0.25">
      <c r="B94" s="2" t="s">
        <v>333</v>
      </c>
      <c r="C94" s="2"/>
      <c r="D94" s="6"/>
      <c r="E94" s="114">
        <f>'Cash Flow Statement'!C27</f>
        <v>-18881</v>
      </c>
      <c r="F94" s="114">
        <f>'Cash Flow Statement'!D27</f>
        <v>-13788</v>
      </c>
      <c r="G94" s="114">
        <f>'Cash Flow Statement'!E27</f>
        <v>-15418</v>
      </c>
      <c r="H94" s="114">
        <f>'Cash Flow Statement'!F27</f>
        <v>-19899</v>
      </c>
      <c r="I94" s="114">
        <f>'Cash Flow Statement'!G27</f>
        <v>-17782</v>
      </c>
      <c r="J94" s="160">
        <f>AVERAGE(F94:I94)</f>
        <v>-16721.75</v>
      </c>
      <c r="K94" s="160">
        <f>J94</f>
        <v>-16721.75</v>
      </c>
      <c r="L94" s="160">
        <f t="shared" ref="L94:N94" si="46">K94</f>
        <v>-16721.75</v>
      </c>
      <c r="M94" s="160">
        <f t="shared" si="46"/>
        <v>-16721.75</v>
      </c>
      <c r="N94" s="160">
        <f t="shared" si="46"/>
        <v>-16721.75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outlineLevel="1" x14ac:dyDescent="0.25">
      <c r="B95" s="2" t="s">
        <v>334</v>
      </c>
      <c r="C95" s="2"/>
      <c r="D95" s="6"/>
      <c r="E95" s="114">
        <f>SUM('Cash Flow Statement'!C28:C29)</f>
        <v>0</v>
      </c>
      <c r="F95" s="114">
        <f>SUM('Cash Flow Statement'!D28:D29)</f>
        <v>-44</v>
      </c>
      <c r="G95" s="114">
        <f>SUM('Cash Flow Statement'!E28:E29)</f>
        <v>-24</v>
      </c>
      <c r="H95" s="114">
        <f>SUM('Cash Flow Statement'!F28:F29)</f>
        <v>-55</v>
      </c>
      <c r="I95" s="114">
        <f ca="1">AVERAGE($F$95:$I$95)</f>
        <v>-41</v>
      </c>
      <c r="J95" s="151">
        <f t="shared" ref="J95:N95" ca="1" si="47">AVERAGE($F$95:$I$95)</f>
        <v>-41</v>
      </c>
      <c r="K95" s="151">
        <f t="shared" ca="1" si="47"/>
        <v>-41</v>
      </c>
      <c r="L95" s="151">
        <f t="shared" ca="1" si="47"/>
        <v>-41</v>
      </c>
      <c r="M95" s="151">
        <f t="shared" ca="1" si="47"/>
        <v>-41</v>
      </c>
      <c r="N95" s="151">
        <f t="shared" ca="1" si="47"/>
        <v>-41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outlineLevel="1" x14ac:dyDescent="0.25">
      <c r="B96" s="2"/>
      <c r="C96" s="2"/>
      <c r="D96" s="6"/>
      <c r="E96" s="114"/>
      <c r="F96" s="114"/>
      <c r="G96" s="114"/>
      <c r="H96" s="114"/>
      <c r="I96" s="114"/>
      <c r="J96" s="160"/>
      <c r="K96" s="160"/>
      <c r="L96" s="160"/>
      <c r="M96" s="160"/>
      <c r="N96" s="160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outlineLevel="1" x14ac:dyDescent="0.25">
      <c r="B97" s="10" t="s">
        <v>54</v>
      </c>
      <c r="C97" s="9"/>
      <c r="D97" s="26"/>
      <c r="E97" s="10">
        <f>SUM(E91:E96)</f>
        <v>-18633</v>
      </c>
      <c r="F97" s="10">
        <f t="shared" ref="F97:I97" si="48">SUM(F91:F96)</f>
        <v>-13581</v>
      </c>
      <c r="G97" s="10">
        <f t="shared" si="48"/>
        <v>-13007</v>
      </c>
      <c r="H97" s="10">
        <f t="shared" si="48"/>
        <v>-18551</v>
      </c>
      <c r="I97" s="10">
        <f t="shared" ca="1" si="48"/>
        <v>-16988</v>
      </c>
      <c r="J97" s="159">
        <f t="shared" ref="J97" ca="1" si="49">SUM(J91:J96)</f>
        <v>-15699.55</v>
      </c>
      <c r="K97" s="159">
        <f ca="1">SUM(K91:K96)</f>
        <v>-15699.55</v>
      </c>
      <c r="L97" s="159">
        <f t="shared" ref="L97" ca="1" si="50">SUM(L91:L96)</f>
        <v>-15699.55</v>
      </c>
      <c r="M97" s="159">
        <f t="shared" ref="M97" ca="1" si="51">SUM(M91:M96)</f>
        <v>-15699.55</v>
      </c>
      <c r="N97" s="159">
        <f t="shared" ref="N97" ca="1" si="52">SUM(N91:N96)</f>
        <v>-15699.55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outlineLevel="1" x14ac:dyDescent="0.25">
      <c r="B98" s="8"/>
      <c r="C98" s="2"/>
      <c r="D98" s="6"/>
      <c r="E98" s="16"/>
      <c r="F98" s="16"/>
      <c r="G98" s="16"/>
      <c r="H98" s="16"/>
      <c r="I98" s="16"/>
      <c r="J98" s="157"/>
      <c r="K98" s="157"/>
      <c r="L98" s="157"/>
      <c r="M98" s="157"/>
      <c r="N98" s="157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outlineLevel="1" x14ac:dyDescent="0.25">
      <c r="B99" s="2" t="s">
        <v>55</v>
      </c>
      <c r="C99" s="2"/>
      <c r="D99" s="6"/>
      <c r="E99" s="2">
        <f>E80+E88+E97</f>
        <v>2106.59</v>
      </c>
      <c r="F99" s="2">
        <f t="shared" ref="F99:N99" si="53">F80+F88+F97</f>
        <v>1887.4099999999999</v>
      </c>
      <c r="G99" s="2">
        <f t="shared" si="53"/>
        <v>3796.0099999999984</v>
      </c>
      <c r="H99" s="2">
        <f t="shared" si="53"/>
        <v>8383.0499999999993</v>
      </c>
      <c r="I99" s="2">
        <f t="shared" ca="1" si="53"/>
        <v>7205.32</v>
      </c>
      <c r="J99" s="160">
        <f t="shared" ca="1" si="53"/>
        <v>-8414.5027476424075</v>
      </c>
      <c r="K99" s="160">
        <f t="shared" ca="1" si="53"/>
        <v>7102.24803053297</v>
      </c>
      <c r="L99" s="160">
        <f t="shared" ca="1" si="53"/>
        <v>9730.6714253821083</v>
      </c>
      <c r="M99" s="160">
        <f t="shared" ca="1" si="53"/>
        <v>12621.818954697625</v>
      </c>
      <c r="N99" s="160">
        <f t="shared" ca="1" si="53"/>
        <v>15801.789722542133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outlineLevel="1" x14ac:dyDescent="0.25">
      <c r="B100" s="2" t="s">
        <v>56</v>
      </c>
      <c r="C100" s="2"/>
      <c r="D100" s="6"/>
      <c r="E100" s="114">
        <f>E47</f>
        <v>4659.0200000000004</v>
      </c>
      <c r="F100" s="2">
        <f t="shared" ref="F100:N100" si="54">E101</f>
        <v>6765.6100000000006</v>
      </c>
      <c r="G100" s="2">
        <f t="shared" si="54"/>
        <v>8653.02</v>
      </c>
      <c r="H100" s="2">
        <f t="shared" si="54"/>
        <v>12449.029999999999</v>
      </c>
      <c r="I100" s="2">
        <f t="shared" si="54"/>
        <v>20832.079999999998</v>
      </c>
      <c r="J100" s="160">
        <f t="shared" ca="1" si="54"/>
        <v>28037.399999999998</v>
      </c>
      <c r="K100" s="160">
        <f t="shared" ca="1" si="54"/>
        <v>19622.89725235759</v>
      </c>
      <c r="L100" s="160">
        <f t="shared" ca="1" si="54"/>
        <v>26725.14528289056</v>
      </c>
      <c r="M100" s="160">
        <f t="shared" ca="1" si="54"/>
        <v>36455.816708272672</v>
      </c>
      <c r="N100" s="160">
        <f t="shared" ca="1" si="54"/>
        <v>49077.635662970293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outlineLevel="1" x14ac:dyDescent="0.25">
      <c r="B101" s="10" t="s">
        <v>57</v>
      </c>
      <c r="C101" s="9"/>
      <c r="D101" s="26"/>
      <c r="E101" s="10">
        <f t="shared" ref="E101:N101" si="55">SUM(E99:E100)</f>
        <v>6765.6100000000006</v>
      </c>
      <c r="F101" s="10">
        <f t="shared" si="55"/>
        <v>8653.02</v>
      </c>
      <c r="G101" s="10">
        <f t="shared" si="55"/>
        <v>12449.029999999999</v>
      </c>
      <c r="H101" s="10">
        <f t="shared" si="55"/>
        <v>20832.079999999998</v>
      </c>
      <c r="I101" s="10">
        <f t="shared" ca="1" si="55"/>
        <v>28037.399999999998</v>
      </c>
      <c r="J101" s="159">
        <f t="shared" ca="1" si="55"/>
        <v>19622.89725235759</v>
      </c>
      <c r="K101" s="159">
        <f t="shared" ca="1" si="55"/>
        <v>26725.14528289056</v>
      </c>
      <c r="L101" s="159">
        <f t="shared" ca="1" si="55"/>
        <v>36455.816708272672</v>
      </c>
      <c r="M101" s="159">
        <f t="shared" ca="1" si="55"/>
        <v>49077.635662970293</v>
      </c>
      <c r="N101" s="159">
        <f t="shared" ca="1" si="55"/>
        <v>64879.425385512426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x14ac:dyDescent="0.25">
      <c r="B102" s="2"/>
      <c r="C102" s="2"/>
      <c r="D102" s="6"/>
      <c r="E102" s="7"/>
      <c r="F102" s="7"/>
      <c r="G102" s="7"/>
      <c r="H102" s="7"/>
      <c r="I102" s="7"/>
      <c r="J102" s="3"/>
      <c r="K102" s="3"/>
      <c r="L102" s="3"/>
      <c r="M102" s="3"/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x14ac:dyDescent="0.25">
      <c r="B103" s="147" t="s">
        <v>58</v>
      </c>
      <c r="C103" s="148"/>
      <c r="D103" s="148"/>
      <c r="E103" s="148"/>
      <c r="F103" s="148"/>
      <c r="G103" s="148"/>
      <c r="H103" s="148"/>
      <c r="I103" s="148"/>
      <c r="J103" s="168"/>
      <c r="K103" s="168"/>
      <c r="L103" s="168"/>
      <c r="M103" s="168"/>
      <c r="N103" s="16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4.5" customHeight="1" outlineLevel="1" x14ac:dyDescent="0.25">
      <c r="B104" s="2"/>
      <c r="C104" s="2"/>
      <c r="D104" s="6"/>
      <c r="E104" s="7"/>
      <c r="F104" s="7"/>
      <c r="G104" s="7"/>
      <c r="H104" s="7"/>
      <c r="I104" s="7"/>
      <c r="J104" s="3"/>
      <c r="K104" s="3"/>
      <c r="L104" s="3"/>
      <c r="M104" s="3"/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outlineLevel="1" x14ac:dyDescent="0.25">
      <c r="B105" s="8" t="s">
        <v>59</v>
      </c>
      <c r="C105" s="2"/>
      <c r="D105" s="6"/>
      <c r="E105" s="7"/>
      <c r="F105" s="7"/>
      <c r="G105" s="7"/>
      <c r="H105" s="7"/>
      <c r="I105" s="7"/>
      <c r="J105" s="3"/>
      <c r="K105" s="3"/>
      <c r="L105" s="3"/>
      <c r="M105" s="3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outlineLevel="1" x14ac:dyDescent="0.25">
      <c r="B106" s="2" t="s">
        <v>337</v>
      </c>
      <c r="C106" s="2"/>
      <c r="D106" s="6"/>
      <c r="E106" s="2">
        <f>'Cash Flow Statement'!C6</f>
        <v>-66</v>
      </c>
      <c r="F106" s="2">
        <f>'Cash Flow Statement'!D6</f>
        <v>-732</v>
      </c>
      <c r="G106" s="2">
        <f>'Cash Flow Statement'!E6</f>
        <v>-884</v>
      </c>
      <c r="H106" s="2">
        <f>'Cash Flow Statement'!F6</f>
        <v>-934</v>
      </c>
      <c r="I106" s="2">
        <f>'Cash Flow Statement'!G6</f>
        <v>-1023</v>
      </c>
      <c r="J106" s="169">
        <f>-J48-I48</f>
        <v>-8956.4211606799345</v>
      </c>
      <c r="K106" s="160">
        <f t="shared" ref="K106:N107" si="56">K48-J48</f>
        <v>436.13335670148899</v>
      </c>
      <c r="L106" s="160">
        <f t="shared" si="56"/>
        <v>481.02915010871402</v>
      </c>
      <c r="M106" s="160">
        <f t="shared" si="56"/>
        <v>530.54653971969856</v>
      </c>
      <c r="N106" s="160">
        <f t="shared" si="56"/>
        <v>585.16127503900861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outlineLevel="1" x14ac:dyDescent="0.25">
      <c r="B107" s="2" t="s">
        <v>107</v>
      </c>
      <c r="C107" s="2"/>
      <c r="D107" s="6"/>
      <c r="E107" s="2">
        <f>'Cash Flow Statement'!C7</f>
        <v>-1460</v>
      </c>
      <c r="F107" s="2">
        <f>'Cash Flow Statement'!D7</f>
        <v>-466</v>
      </c>
      <c r="G107" s="2">
        <f>'Cash Flow Statement'!E7</f>
        <v>-1098</v>
      </c>
      <c r="H107" s="2">
        <f>'Cash Flow Statement'!F7</f>
        <v>-2545</v>
      </c>
      <c r="I107" s="2">
        <f>'Cash Flow Statement'!G7</f>
        <v>-2975</v>
      </c>
      <c r="J107" s="160">
        <f>J49-I49</f>
        <v>-2611.4090582568952</v>
      </c>
      <c r="K107" s="160">
        <f t="shared" si="56"/>
        <v>1340.9187180610716</v>
      </c>
      <c r="L107" s="160">
        <f t="shared" si="56"/>
        <v>1478.9535847295101</v>
      </c>
      <c r="M107" s="160">
        <f t="shared" si="56"/>
        <v>1631.1978319961509</v>
      </c>
      <c r="N107" s="160">
        <f t="shared" si="56"/>
        <v>1799.1141808521279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outlineLevel="1" x14ac:dyDescent="0.25">
      <c r="B108" s="2" t="s">
        <v>338</v>
      </c>
      <c r="C108" s="2"/>
      <c r="D108" s="6"/>
      <c r="E108" s="2">
        <f>'Cash Flow Statement'!C8</f>
        <v>1112</v>
      </c>
      <c r="F108" s="2">
        <f>'Cash Flow Statement'!D8</f>
        <v>1099</v>
      </c>
      <c r="G108" s="2">
        <f>'Cash Flow Statement'!E8</f>
        <v>1058</v>
      </c>
      <c r="H108" s="2">
        <f>'Cash Flow Statement'!F8</f>
        <v>141</v>
      </c>
      <c r="I108" s="2">
        <f>'Cash Flow Statement'!G8</f>
        <v>1256</v>
      </c>
      <c r="J108" s="160">
        <f>J60-I60</f>
        <v>551.86956972934786</v>
      </c>
      <c r="K108" s="160">
        <f>K60-J60</f>
        <v>551.64480634648498</v>
      </c>
      <c r="L108" s="160">
        <f>L60-K60</f>
        <v>608.4314081492239</v>
      </c>
      <c r="M108" s="160">
        <f>M60-L60</f>
        <v>671.06365212461969</v>
      </c>
      <c r="N108" s="160">
        <f>N60-M60</f>
        <v>740.1432917026259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outlineLevel="1" x14ac:dyDescent="0.25">
      <c r="B109" s="9" t="s">
        <v>60</v>
      </c>
      <c r="C109" s="9"/>
      <c r="D109" s="26"/>
      <c r="E109" s="9">
        <f>SUM(E106:E108)</f>
        <v>-414</v>
      </c>
      <c r="F109" s="9">
        <f t="shared" ref="F109:N109" si="57">SUM(F106:F108)</f>
        <v>-99</v>
      </c>
      <c r="G109" s="9">
        <f t="shared" si="57"/>
        <v>-924</v>
      </c>
      <c r="H109" s="9">
        <f t="shared" si="57"/>
        <v>-3338</v>
      </c>
      <c r="I109" s="9">
        <f t="shared" si="57"/>
        <v>-2742</v>
      </c>
      <c r="J109" s="170">
        <f t="shared" si="57"/>
        <v>-11015.960649207482</v>
      </c>
      <c r="K109" s="170">
        <f t="shared" si="57"/>
        <v>2328.6968811090455</v>
      </c>
      <c r="L109" s="170">
        <f t="shared" si="57"/>
        <v>2568.414142987448</v>
      </c>
      <c r="M109" s="170">
        <f t="shared" si="57"/>
        <v>2832.8080238404691</v>
      </c>
      <c r="N109" s="170">
        <f t="shared" si="57"/>
        <v>3124.4187475937624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outlineLevel="1" x14ac:dyDescent="0.25">
      <c r="B110" s="2"/>
      <c r="C110" s="2"/>
      <c r="D110" s="6"/>
      <c r="E110" s="7"/>
      <c r="F110" s="7"/>
      <c r="G110" s="7"/>
      <c r="H110" s="7"/>
      <c r="I110" s="7"/>
      <c r="J110" s="154"/>
      <c r="K110" s="154"/>
      <c r="L110" s="154"/>
      <c r="M110" s="154"/>
      <c r="N110" s="15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outlineLevel="1" x14ac:dyDescent="0.25">
      <c r="B111" s="8" t="s">
        <v>61</v>
      </c>
      <c r="C111" s="2"/>
      <c r="D111" s="6"/>
      <c r="E111" s="7"/>
      <c r="F111" s="7"/>
      <c r="G111" s="7"/>
      <c r="H111" s="7"/>
      <c r="I111" s="7"/>
      <c r="J111" s="154"/>
      <c r="K111" s="154"/>
      <c r="L111" s="154"/>
      <c r="M111" s="154"/>
      <c r="N111" s="15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outlineLevel="1" x14ac:dyDescent="0.25">
      <c r="B112" s="2" t="s">
        <v>62</v>
      </c>
      <c r="C112" s="2"/>
      <c r="D112" s="6"/>
      <c r="E112" s="114">
        <f>'Cost Assumptions'!J64</f>
        <v>27639</v>
      </c>
      <c r="F112" s="2">
        <f t="shared" ref="F112:N112" si="58">E115</f>
        <v>27827.41</v>
      </c>
      <c r="G112" s="2">
        <f t="shared" si="58"/>
        <v>28104</v>
      </c>
      <c r="H112" s="2">
        <f t="shared" si="58"/>
        <v>28988.99</v>
      </c>
      <c r="I112" s="2">
        <f t="shared" si="58"/>
        <v>30926.940000000002</v>
      </c>
      <c r="J112" s="160">
        <f t="shared" si="58"/>
        <v>31384.620000000003</v>
      </c>
      <c r="K112" s="160">
        <f t="shared" si="58"/>
        <v>32982.333936317635</v>
      </c>
      <c r="L112" s="160">
        <f t="shared" si="58"/>
        <v>34823.188276577093</v>
      </c>
      <c r="M112" s="160">
        <f t="shared" si="58"/>
        <v>36928.422075945564</v>
      </c>
      <c r="N112" s="160">
        <f t="shared" si="58"/>
        <v>39321.643328161408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outlineLevel="1" x14ac:dyDescent="0.25">
      <c r="B113" s="2" t="s">
        <v>63</v>
      </c>
      <c r="C113" s="2"/>
      <c r="D113" s="6"/>
      <c r="E113" s="2">
        <f>-E83</f>
        <v>1834</v>
      </c>
      <c r="F113" s="2">
        <f>-F83</f>
        <v>2009</v>
      </c>
      <c r="G113" s="2">
        <f>-G83</f>
        <v>2694</v>
      </c>
      <c r="H113" s="2">
        <f>-H83</f>
        <v>3456</v>
      </c>
      <c r="I113" s="2">
        <f>-I83</f>
        <v>2104</v>
      </c>
      <c r="J113" s="160">
        <f>J21</f>
        <v>3109.6572303663888</v>
      </c>
      <c r="K113" s="160">
        <f>K21</f>
        <v>3429.7669546894704</v>
      </c>
      <c r="L113" s="160">
        <f>L21</f>
        <v>3782.8289396686641</v>
      </c>
      <c r="M113" s="160">
        <f>M21</f>
        <v>4172.2353080663916</v>
      </c>
      <c r="N113" s="160">
        <f>N21</f>
        <v>4601.7273695174208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outlineLevel="1" x14ac:dyDescent="0.25">
      <c r="B114" s="2" t="s">
        <v>64</v>
      </c>
      <c r="C114" s="2"/>
      <c r="E114" s="2">
        <f>E77</f>
        <v>1645.59</v>
      </c>
      <c r="F114" s="2">
        <f>F77</f>
        <v>1732.41</v>
      </c>
      <c r="G114" s="2">
        <f>G77</f>
        <v>1809.01</v>
      </c>
      <c r="H114" s="2">
        <f>H77</f>
        <v>1518.05</v>
      </c>
      <c r="I114" s="2">
        <f>I77</f>
        <v>1646.32</v>
      </c>
      <c r="J114" s="160">
        <f>J112*J15</f>
        <v>1511.9432940487636</v>
      </c>
      <c r="K114" s="160">
        <f>K112*K15</f>
        <v>1588.9126144300108</v>
      </c>
      <c r="L114" s="160">
        <f>L112*L15</f>
        <v>1677.5951403001934</v>
      </c>
      <c r="M114" s="160">
        <f>M112*M15</f>
        <v>1779.0140558505475</v>
      </c>
      <c r="N114" s="160">
        <f>N112*N15</f>
        <v>1894.3066680747113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outlineLevel="1" x14ac:dyDescent="0.25">
      <c r="B115" s="10" t="s">
        <v>65</v>
      </c>
      <c r="C115" s="10"/>
      <c r="D115" s="11"/>
      <c r="E115" s="10">
        <f>E112+E113-E114</f>
        <v>27827.41</v>
      </c>
      <c r="F115" s="10">
        <f t="shared" ref="F115:N115" si="59">F112+F113-F114</f>
        <v>28104</v>
      </c>
      <c r="G115" s="10">
        <f t="shared" si="59"/>
        <v>28988.99</v>
      </c>
      <c r="H115" s="10">
        <f t="shared" si="59"/>
        <v>30926.940000000002</v>
      </c>
      <c r="I115" s="10">
        <f t="shared" si="59"/>
        <v>31384.620000000003</v>
      </c>
      <c r="J115" s="159">
        <f t="shared" si="59"/>
        <v>32982.333936317635</v>
      </c>
      <c r="K115" s="159">
        <f t="shared" si="59"/>
        <v>34823.188276577093</v>
      </c>
      <c r="L115" s="159">
        <f t="shared" si="59"/>
        <v>36928.422075945564</v>
      </c>
      <c r="M115" s="159">
        <f t="shared" si="59"/>
        <v>39321.643328161408</v>
      </c>
      <c r="N115" s="159">
        <f t="shared" si="59"/>
        <v>42029.064029604117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outlineLevel="1" x14ac:dyDescent="0.25">
      <c r="B116" s="2"/>
      <c r="C116" s="2"/>
      <c r="D116" s="6"/>
      <c r="E116" s="7"/>
      <c r="F116" s="7"/>
      <c r="G116" s="7"/>
      <c r="H116" s="7"/>
      <c r="I116" s="7"/>
      <c r="J116" s="154"/>
      <c r="K116" s="154"/>
      <c r="L116" s="154"/>
      <c r="M116" s="154"/>
      <c r="N116" s="15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outlineLevel="1" x14ac:dyDescent="0.25">
      <c r="B117" s="8" t="s">
        <v>66</v>
      </c>
      <c r="C117" s="2"/>
      <c r="D117" s="6"/>
      <c r="E117" s="7"/>
      <c r="F117" s="7"/>
      <c r="G117" s="7"/>
      <c r="H117" s="7"/>
      <c r="I117" s="7"/>
      <c r="J117" s="154"/>
      <c r="K117" s="154"/>
      <c r="L117" s="154"/>
      <c r="M117" s="154"/>
      <c r="N117" s="15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outlineLevel="1" x14ac:dyDescent="0.25">
      <c r="B118" s="2" t="s">
        <v>67</v>
      </c>
      <c r="C118" s="2"/>
      <c r="D118" s="6"/>
      <c r="E118" s="114">
        <f>SUM('Expanded BS'!C8:C11)</f>
        <v>271</v>
      </c>
      <c r="F118" s="114">
        <f>SUM('Expanded BS'!D8:D11)</f>
        <v>250</v>
      </c>
      <c r="G118" s="114">
        <f>SUM('Expanded BS'!E8:E11)</f>
        <v>305</v>
      </c>
      <c r="H118" s="114">
        <f>SUM('Expanded BS'!F8:F11)</f>
        <v>304</v>
      </c>
      <c r="I118" s="114">
        <f>SUM('Expanded BS'!G8:G11)</f>
        <v>284</v>
      </c>
      <c r="J118" s="160">
        <f>I123</f>
        <v>322</v>
      </c>
      <c r="K118" s="160">
        <f>J123</f>
        <v>263.7</v>
      </c>
      <c r="L118" s="160">
        <f t="shared" ref="L118:N118" si="60">K123</f>
        <v>205.4</v>
      </c>
      <c r="M118" s="160">
        <f t="shared" si="60"/>
        <v>147.10000000000002</v>
      </c>
      <c r="N118" s="160">
        <f t="shared" si="60"/>
        <v>88.80000000000004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outlineLevel="1" x14ac:dyDescent="0.25">
      <c r="B119" s="2" t="s">
        <v>323</v>
      </c>
      <c r="C119" s="2"/>
      <c r="D119" s="6"/>
      <c r="E119" s="138">
        <f>'Cash Flow Statement'!C24</f>
        <v>0</v>
      </c>
      <c r="F119" s="138">
        <f>'Cash Flow Statement'!D24</f>
        <v>0</v>
      </c>
      <c r="G119" s="138">
        <f>'Cash Flow Statement'!E24</f>
        <v>0</v>
      </c>
      <c r="H119" s="138">
        <f>'Cash Flow Statement'!F24</f>
        <v>8</v>
      </c>
      <c r="I119" s="138">
        <f>'Cash Flow Statement'!G24</f>
        <v>90</v>
      </c>
      <c r="J119" s="160">
        <v>0</v>
      </c>
      <c r="K119" s="160">
        <v>0</v>
      </c>
      <c r="L119" s="160">
        <v>0</v>
      </c>
      <c r="M119" s="160">
        <v>0</v>
      </c>
      <c r="N119" s="160">
        <v>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outlineLevel="1" x14ac:dyDescent="0.25">
      <c r="B120" s="2" t="s">
        <v>324</v>
      </c>
      <c r="C120" s="2"/>
      <c r="D120" s="6"/>
      <c r="E120" s="138">
        <f>'Cash Flow Statement'!C25</f>
        <v>-2</v>
      </c>
      <c r="F120" s="138">
        <f>'Cash Flow Statement'!D25</f>
        <v>-1</v>
      </c>
      <c r="G120" s="138">
        <f>'Cash Flow Statement'!E25</f>
        <v>-1</v>
      </c>
      <c r="H120" s="138">
        <f>'Cash Flow Statement'!F25</f>
        <v>-2</v>
      </c>
      <c r="I120" s="138">
        <f>'Cash Flow Statement'!G25</f>
        <v>-2</v>
      </c>
      <c r="J120" s="160">
        <f>'Cost Assumptions'!$D94+J92</f>
        <v>-14.7</v>
      </c>
      <c r="K120" s="160">
        <f>'Cost Assumptions'!$D94+K92</f>
        <v>-14.7</v>
      </c>
      <c r="L120" s="160">
        <f>'Cost Assumptions'!$D94+L92</f>
        <v>-14.7</v>
      </c>
      <c r="M120" s="160">
        <f>'Cost Assumptions'!$D94+M92</f>
        <v>-14.7</v>
      </c>
      <c r="N120" s="160">
        <f>'Cost Assumptions'!$D94+N92</f>
        <v>-14.7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outlineLevel="1" x14ac:dyDescent="0.25">
      <c r="B121" s="2" t="s">
        <v>325</v>
      </c>
      <c r="C121" s="2"/>
      <c r="D121" s="6"/>
      <c r="E121" s="138">
        <f>'Cash Flow Statement'!C26</f>
        <v>-41</v>
      </c>
      <c r="F121" s="138">
        <f>'Cash Flow Statement'!D26</f>
        <v>-40</v>
      </c>
      <c r="G121" s="138">
        <f>'Cash Flow Statement'!E26</f>
        <v>-41</v>
      </c>
      <c r="H121" s="138">
        <f>'Cash Flow Statement'!F26</f>
        <v>-46</v>
      </c>
      <c r="I121" s="138">
        <f>'Cash Flow Statement'!G26</f>
        <v>-50</v>
      </c>
      <c r="J121" s="160">
        <f>'Cost Assumptions'!$D95</f>
        <v>-43.6</v>
      </c>
      <c r="K121" s="160">
        <f>'Cost Assumptions'!$D95</f>
        <v>-43.6</v>
      </c>
      <c r="L121" s="160">
        <f>'Cost Assumptions'!$D95</f>
        <v>-43.6</v>
      </c>
      <c r="M121" s="160">
        <f>'Cost Assumptions'!$D95</f>
        <v>-43.6</v>
      </c>
      <c r="N121" s="160">
        <f>'Cost Assumptions'!$D95</f>
        <v>-43.6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outlineLevel="1" x14ac:dyDescent="0.25">
      <c r="B122" s="2" t="s">
        <v>326</v>
      </c>
      <c r="C122" s="2"/>
      <c r="D122" s="6"/>
      <c r="E122" s="138">
        <f>E123-E118</f>
        <v>-21</v>
      </c>
      <c r="F122" s="138">
        <f t="shared" ref="F122:H122" si="61">F123-F118</f>
        <v>55</v>
      </c>
      <c r="G122" s="138">
        <f t="shared" si="61"/>
        <v>-1</v>
      </c>
      <c r="H122" s="138">
        <f t="shared" si="61"/>
        <v>-20</v>
      </c>
      <c r="I122" s="138"/>
      <c r="J122" s="160"/>
      <c r="K122" s="160"/>
      <c r="L122" s="160"/>
      <c r="M122" s="160"/>
      <c r="N122" s="160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outlineLevel="1" x14ac:dyDescent="0.25">
      <c r="B123" s="10" t="s">
        <v>68</v>
      </c>
      <c r="C123" s="9"/>
      <c r="D123" s="26"/>
      <c r="E123" s="10">
        <f>F118</f>
        <v>250</v>
      </c>
      <c r="F123" s="10">
        <f t="shared" ref="F123:H123" si="62">G118</f>
        <v>305</v>
      </c>
      <c r="G123" s="10">
        <f t="shared" si="62"/>
        <v>304</v>
      </c>
      <c r="H123" s="10">
        <f t="shared" si="62"/>
        <v>284</v>
      </c>
      <c r="I123" s="10">
        <f>SUM(I118:I121)</f>
        <v>322</v>
      </c>
      <c r="J123" s="159">
        <f t="shared" ref="J123:N123" si="63">SUM(J118:J121)</f>
        <v>263.7</v>
      </c>
      <c r="K123" s="159">
        <f t="shared" si="63"/>
        <v>205.4</v>
      </c>
      <c r="L123" s="159">
        <f t="shared" si="63"/>
        <v>147.10000000000002</v>
      </c>
      <c r="M123" s="159">
        <f t="shared" si="63"/>
        <v>88.80000000000004</v>
      </c>
      <c r="N123" s="159">
        <f t="shared" si="63"/>
        <v>30.500000000000036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4.5" customHeight="1" outlineLevel="1" x14ac:dyDescent="0.25">
      <c r="B124" s="2"/>
      <c r="C124" s="2"/>
      <c r="D124" s="6"/>
      <c r="E124" s="2"/>
      <c r="F124" s="2"/>
      <c r="G124" s="2"/>
      <c r="H124" s="2"/>
      <c r="I124" s="2"/>
      <c r="J124" s="160"/>
      <c r="K124" s="160"/>
      <c r="L124" s="160"/>
      <c r="M124" s="160"/>
      <c r="N124" s="16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outlineLevel="1" x14ac:dyDescent="0.25">
      <c r="B125" s="8" t="s">
        <v>69</v>
      </c>
      <c r="C125" s="2"/>
      <c r="E125" s="8">
        <f>E37</f>
        <v>57.97</v>
      </c>
      <c r="F125" s="8">
        <f>F37</f>
        <v>59.99</v>
      </c>
      <c r="G125" s="8">
        <f>G37</f>
        <v>77.77</v>
      </c>
      <c r="H125" s="8">
        <f>H37</f>
        <v>39.11</v>
      </c>
      <c r="I125" s="8">
        <f>I37</f>
        <v>45.06</v>
      </c>
      <c r="J125" s="157">
        <f>'Cost Assumptions'!D92</f>
        <v>43.6</v>
      </c>
      <c r="K125" s="157">
        <f>J125</f>
        <v>43.6</v>
      </c>
      <c r="L125" s="157">
        <f t="shared" ref="L125:N125" si="64">K125</f>
        <v>43.6</v>
      </c>
      <c r="M125" s="157">
        <f t="shared" si="64"/>
        <v>43.6</v>
      </c>
      <c r="N125" s="157">
        <f t="shared" si="64"/>
        <v>43.6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x14ac:dyDescent="0.25">
      <c r="B126" s="2"/>
      <c r="C126" s="2"/>
      <c r="D126" s="6"/>
      <c r="E126" s="7"/>
      <c r="F126" s="7"/>
      <c r="G126" s="7"/>
      <c r="H126" s="7"/>
      <c r="I126" s="7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x14ac:dyDescent="0.25">
      <c r="B127" s="147" t="s">
        <v>70</v>
      </c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4.5" customHeight="1" outlineLevel="1" x14ac:dyDescent="0.25">
      <c r="B128" s="2"/>
      <c r="C128" s="2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outlineLevel="1" x14ac:dyDescent="0.25">
      <c r="B129" s="8" t="s">
        <v>18</v>
      </c>
      <c r="C129" s="2"/>
      <c r="D129" s="6"/>
      <c r="E129" s="2">
        <f t="shared" ref="E129:N129" si="65">E28</f>
        <v>49257.45</v>
      </c>
      <c r="F129" s="2">
        <f t="shared" si="65"/>
        <v>60644.54</v>
      </c>
      <c r="G129" s="2">
        <f t="shared" si="65"/>
        <v>70919.03</v>
      </c>
      <c r="H129" s="2">
        <f t="shared" si="65"/>
        <v>67931.94</v>
      </c>
      <c r="I129" s="2">
        <f t="shared" si="65"/>
        <v>75323.34</v>
      </c>
      <c r="J129" s="160">
        <f t="shared" si="65"/>
        <v>83077.163594137033</v>
      </c>
      <c r="K129" s="160">
        <f t="shared" si="65"/>
        <v>91629.169801113545</v>
      </c>
      <c r="L129" s="160">
        <f t="shared" si="65"/>
        <v>101061.52395209865</v>
      </c>
      <c r="M129" s="160">
        <f t="shared" si="65"/>
        <v>111464.84951996683</v>
      </c>
      <c r="N129" s="160">
        <f t="shared" si="65"/>
        <v>122939.0988047815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outlineLevel="1" x14ac:dyDescent="0.25">
      <c r="B130" s="8" t="s">
        <v>71</v>
      </c>
      <c r="C130" s="2"/>
      <c r="D130" s="6"/>
      <c r="E130" s="27">
        <f t="shared" ref="E130:N130" si="66">E30/E28</f>
        <v>0.54487737387948421</v>
      </c>
      <c r="F130" s="27">
        <f t="shared" si="66"/>
        <v>0.51912389804589176</v>
      </c>
      <c r="G130" s="27">
        <f t="shared" si="66"/>
        <v>0.54080153098540684</v>
      </c>
      <c r="H130" s="27">
        <f t="shared" si="66"/>
        <v>0.55665243771928197</v>
      </c>
      <c r="I130" s="27">
        <f t="shared" si="66"/>
        <v>0.53136132837444539</v>
      </c>
      <c r="J130" s="171">
        <f t="shared" si="66"/>
        <v>0.56268925884132404</v>
      </c>
      <c r="K130" s="171">
        <f t="shared" si="66"/>
        <v>0.56268925884132404</v>
      </c>
      <c r="L130" s="171">
        <f t="shared" si="66"/>
        <v>0.56268925884132404</v>
      </c>
      <c r="M130" s="171">
        <f t="shared" si="66"/>
        <v>0.56268925884132404</v>
      </c>
      <c r="N130" s="171">
        <f t="shared" si="66"/>
        <v>0.56268925884132392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outlineLevel="1" x14ac:dyDescent="0.25">
      <c r="B131" s="8"/>
      <c r="C131" s="2"/>
      <c r="D131" s="6"/>
      <c r="E131" s="2"/>
      <c r="F131" s="2"/>
      <c r="G131" s="2"/>
      <c r="H131" s="2"/>
      <c r="I131" s="2"/>
      <c r="J131" s="160"/>
      <c r="K131" s="160"/>
      <c r="L131" s="160"/>
      <c r="M131" s="160"/>
      <c r="N131" s="160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outlineLevel="1" x14ac:dyDescent="0.25">
      <c r="B132" s="8" t="s">
        <v>46</v>
      </c>
      <c r="C132" s="2"/>
      <c r="D132" s="6"/>
      <c r="E132" s="2">
        <f t="shared" ref="E132:N132" si="67">E80</f>
        <v>14998.59</v>
      </c>
      <c r="F132" s="2">
        <f t="shared" si="67"/>
        <v>17706.41</v>
      </c>
      <c r="G132" s="2">
        <f t="shared" si="67"/>
        <v>22535.01</v>
      </c>
      <c r="H132" s="2">
        <f t="shared" si="67"/>
        <v>25371.05</v>
      </c>
      <c r="I132" s="2">
        <f t="shared" si="67"/>
        <v>24757.32</v>
      </c>
      <c r="J132" s="160">
        <f t="shared" si="67"/>
        <v>8557.9044827239777</v>
      </c>
      <c r="K132" s="160">
        <f t="shared" si="67"/>
        <v>24394.764985222446</v>
      </c>
      <c r="L132" s="160">
        <f t="shared" si="67"/>
        <v>27376.250365050768</v>
      </c>
      <c r="M132" s="160">
        <f t="shared" si="67"/>
        <v>30656.804262764013</v>
      </c>
      <c r="N132" s="160">
        <f t="shared" si="67"/>
        <v>34266.267092059556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outlineLevel="1" x14ac:dyDescent="0.25">
      <c r="B133" s="8" t="s">
        <v>50</v>
      </c>
      <c r="C133" s="2"/>
      <c r="D133" s="6"/>
      <c r="E133" s="2">
        <f t="shared" ref="E133:N133" si="68">-E88</f>
        <v>-5741</v>
      </c>
      <c r="F133" s="2">
        <f t="shared" si="68"/>
        <v>2238</v>
      </c>
      <c r="G133" s="2">
        <f t="shared" si="68"/>
        <v>5732</v>
      </c>
      <c r="H133" s="2">
        <f t="shared" si="68"/>
        <v>-1563</v>
      </c>
      <c r="I133" s="2">
        <f t="shared" si="68"/>
        <v>564</v>
      </c>
      <c r="J133" s="160">
        <f t="shared" si="68"/>
        <v>1272.8572303663852</v>
      </c>
      <c r="K133" s="160">
        <f t="shared" si="68"/>
        <v>1592.9669546894759</v>
      </c>
      <c r="L133" s="160">
        <f t="shared" si="68"/>
        <v>1946.0289396686596</v>
      </c>
      <c r="M133" s="160">
        <f t="shared" si="68"/>
        <v>2335.4353080663886</v>
      </c>
      <c r="N133" s="160">
        <f t="shared" si="68"/>
        <v>2764.9273695174224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outlineLevel="1" x14ac:dyDescent="0.25">
      <c r="B134" s="8" t="s">
        <v>53</v>
      </c>
      <c r="C134" s="2"/>
      <c r="D134" s="6"/>
      <c r="E134" s="2">
        <f t="shared" ref="E134:N134" si="69">E97</f>
        <v>-18633</v>
      </c>
      <c r="F134" s="2">
        <f t="shared" si="69"/>
        <v>-13581</v>
      </c>
      <c r="G134" s="2">
        <f t="shared" si="69"/>
        <v>-13007</v>
      </c>
      <c r="H134" s="2">
        <f t="shared" si="69"/>
        <v>-18551</v>
      </c>
      <c r="I134" s="2">
        <f t="shared" ca="1" si="69"/>
        <v>-16988</v>
      </c>
      <c r="J134" s="160">
        <f t="shared" ca="1" si="69"/>
        <v>-15699.55</v>
      </c>
      <c r="K134" s="160">
        <f t="shared" ca="1" si="69"/>
        <v>-15699.55</v>
      </c>
      <c r="L134" s="160">
        <f t="shared" ca="1" si="69"/>
        <v>-15699.55</v>
      </c>
      <c r="M134" s="160">
        <f t="shared" ca="1" si="69"/>
        <v>-15699.55</v>
      </c>
      <c r="N134" s="160">
        <f t="shared" ca="1" si="69"/>
        <v>-15699.55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outlineLevel="1" x14ac:dyDescent="0.25">
      <c r="B135" s="2"/>
      <c r="C135" s="2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outlineLevel="1" x14ac:dyDescent="0.25">
      <c r="B136" s="2"/>
      <c r="C136" s="2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outlineLevel="1" x14ac:dyDescent="0.25">
      <c r="B137" s="2"/>
      <c r="C137" s="2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outlineLevel="1" x14ac:dyDescent="0.25">
      <c r="B138" s="2"/>
      <c r="C138" s="2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outlineLevel="1" x14ac:dyDescent="0.25">
      <c r="B139" s="2"/>
      <c r="C139" s="2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outlineLevel="1" x14ac:dyDescent="0.25">
      <c r="B140" s="2"/>
      <c r="C140" s="2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outlineLevel="1" x14ac:dyDescent="0.25">
      <c r="B141" s="2"/>
      <c r="C141" s="2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outlineLevel="1" x14ac:dyDescent="0.25">
      <c r="B142" s="2"/>
      <c r="C142" s="2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outlineLevel="1" x14ac:dyDescent="0.25">
      <c r="B143" s="2"/>
      <c r="C143" s="2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outlineLevel="1" x14ac:dyDescent="0.25">
      <c r="B144" s="2"/>
      <c r="C144" s="2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outlineLevel="1" x14ac:dyDescent="0.25">
      <c r="B145" s="2"/>
      <c r="C145" s="2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outlineLevel="1" x14ac:dyDescent="0.25">
      <c r="B146" s="2"/>
      <c r="C146" s="2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outlineLevel="1" x14ac:dyDescent="0.25">
      <c r="B147" s="2"/>
      <c r="C147" s="2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outlineLevel="1" x14ac:dyDescent="0.25">
      <c r="B148" s="2"/>
      <c r="C148" s="2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outlineLevel="1" x14ac:dyDescent="0.25">
      <c r="B149" s="2"/>
      <c r="C149" s="2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outlineLevel="1" x14ac:dyDescent="0.25">
      <c r="B150" s="2"/>
      <c r="C150" s="2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outlineLevel="1" x14ac:dyDescent="0.25">
      <c r="B151" s="2"/>
      <c r="C151" s="2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x14ac:dyDescent="0.25">
      <c r="B152" s="2"/>
      <c r="C152" s="2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x14ac:dyDescent="0.25">
      <c r="B153" s="2"/>
      <c r="C153" s="2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x14ac:dyDescent="0.25">
      <c r="B154" s="2"/>
      <c r="C154" s="2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x14ac:dyDescent="0.25">
      <c r="B155" s="2"/>
      <c r="C155" s="2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x14ac:dyDescent="0.25">
      <c r="B156" s="2"/>
      <c r="C156" s="2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x14ac:dyDescent="0.25">
      <c r="B157" s="2"/>
      <c r="C157" s="2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x14ac:dyDescent="0.25">
      <c r="B158" s="2"/>
      <c r="C158" s="2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x14ac:dyDescent="0.25">
      <c r="B159" s="2"/>
      <c r="C159" s="2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x14ac:dyDescent="0.25">
      <c r="B160" s="2"/>
      <c r="C160" s="2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x14ac:dyDescent="0.25">
      <c r="B161" s="2"/>
      <c r="C161" s="2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x14ac:dyDescent="0.25">
      <c r="B162" s="2"/>
      <c r="C162" s="2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x14ac:dyDescent="0.25">
      <c r="B163" s="2"/>
      <c r="C163" s="2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x14ac:dyDescent="0.25">
      <c r="B164" s="2"/>
      <c r="C164" s="2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x14ac:dyDescent="0.25">
      <c r="B165" s="2"/>
      <c r="C165" s="2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x14ac:dyDescent="0.25">
      <c r="B166" s="2"/>
      <c r="C166" s="2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x14ac:dyDescent="0.25">
      <c r="B167" s="2"/>
      <c r="C167" s="2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x14ac:dyDescent="0.25">
      <c r="B168" s="2"/>
      <c r="C168" s="2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x14ac:dyDescent="0.25">
      <c r="B169" s="2"/>
      <c r="C169" s="2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x14ac:dyDescent="0.25">
      <c r="B170" s="2"/>
      <c r="C170" s="2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x14ac:dyDescent="0.25">
      <c r="B171" s="2"/>
      <c r="C171" s="2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x14ac:dyDescent="0.25">
      <c r="B172" s="2"/>
      <c r="C172" s="2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x14ac:dyDescent="0.25">
      <c r="B173" s="2"/>
      <c r="C173" s="2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x14ac:dyDescent="0.25">
      <c r="B174" s="2"/>
      <c r="C174" s="2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x14ac:dyDescent="0.25">
      <c r="B175" s="2"/>
      <c r="C175" s="2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x14ac:dyDescent="0.25">
      <c r="B176" s="2"/>
      <c r="C176" s="2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x14ac:dyDescent="0.25">
      <c r="B177" s="2"/>
      <c r="C177" s="2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x14ac:dyDescent="0.25">
      <c r="B178" s="2"/>
      <c r="C178" s="2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x14ac:dyDescent="0.25">
      <c r="B179" s="2"/>
      <c r="C179" s="2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x14ac:dyDescent="0.25">
      <c r="B180" s="2"/>
      <c r="C180" s="2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x14ac:dyDescent="0.25">
      <c r="B181" s="2"/>
      <c r="C181" s="2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x14ac:dyDescent="0.25">
      <c r="B182" s="2"/>
      <c r="C182" s="2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x14ac:dyDescent="0.25">
      <c r="B183" s="2"/>
      <c r="C183" s="2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x14ac:dyDescent="0.25">
      <c r="B184" s="2"/>
      <c r="C184" s="2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x14ac:dyDescent="0.25">
      <c r="B185" s="2"/>
      <c r="C185" s="2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x14ac:dyDescent="0.25">
      <c r="B186" s="2"/>
      <c r="C186" s="2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x14ac:dyDescent="0.25">
      <c r="B187" s="2"/>
      <c r="C187" s="2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x14ac:dyDescent="0.25">
      <c r="B188" s="2"/>
      <c r="C188" s="2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x14ac:dyDescent="0.25">
      <c r="B189" s="2"/>
      <c r="C189" s="2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x14ac:dyDescent="0.25">
      <c r="B190" s="2"/>
      <c r="C190" s="2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x14ac:dyDescent="0.25">
      <c r="B191" s="2"/>
      <c r="C191" s="2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x14ac:dyDescent="0.25">
      <c r="B192" s="2"/>
      <c r="C192" s="2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x14ac:dyDescent="0.25">
      <c r="B193" s="2"/>
      <c r="C193" s="2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x14ac:dyDescent="0.25">
      <c r="B194" s="2"/>
      <c r="C194" s="2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x14ac:dyDescent="0.25">
      <c r="B195" s="2"/>
      <c r="C195" s="2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x14ac:dyDescent="0.25">
      <c r="B196" s="2"/>
      <c r="C196" s="2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x14ac:dyDescent="0.25">
      <c r="B197" s="2"/>
      <c r="C197" s="2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x14ac:dyDescent="0.25">
      <c r="B198" s="2"/>
      <c r="C198" s="2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x14ac:dyDescent="0.25">
      <c r="B199" s="2"/>
      <c r="C199" s="2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x14ac:dyDescent="0.25">
      <c r="B200" s="2"/>
      <c r="C200" s="2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x14ac:dyDescent="0.25">
      <c r="B201" s="2"/>
      <c r="C201" s="2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x14ac:dyDescent="0.25">
      <c r="B202" s="2"/>
      <c r="C202" s="2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x14ac:dyDescent="0.25">
      <c r="B203" s="2"/>
      <c r="C203" s="2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x14ac:dyDescent="0.25">
      <c r="B204" s="2"/>
      <c r="C204" s="2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x14ac:dyDescent="0.25">
      <c r="B205" s="2"/>
      <c r="C205" s="2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x14ac:dyDescent="0.25">
      <c r="B206" s="2"/>
      <c r="C206" s="2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x14ac:dyDescent="0.25">
      <c r="B207" s="2"/>
      <c r="C207" s="2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x14ac:dyDescent="0.25">
      <c r="B208" s="2"/>
      <c r="C208" s="2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x14ac:dyDescent="0.25">
      <c r="B209" s="2"/>
      <c r="C209" s="2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x14ac:dyDescent="0.25">
      <c r="B210" s="2"/>
      <c r="C210" s="2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x14ac:dyDescent="0.25">
      <c r="B211" s="2"/>
      <c r="C211" s="2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x14ac:dyDescent="0.25">
      <c r="B212" s="2"/>
      <c r="C212" s="2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x14ac:dyDescent="0.25">
      <c r="B213" s="2"/>
      <c r="C213" s="2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x14ac:dyDescent="0.25">
      <c r="B214" s="2"/>
      <c r="C214" s="2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x14ac:dyDescent="0.25">
      <c r="B215" s="2"/>
      <c r="C215" s="2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x14ac:dyDescent="0.25">
      <c r="B216" s="2"/>
      <c r="C216" s="2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x14ac:dyDescent="0.25">
      <c r="B217" s="2"/>
      <c r="C217" s="2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x14ac:dyDescent="0.25">
      <c r="B218" s="2"/>
      <c r="C218" s="2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x14ac:dyDescent="0.25">
      <c r="B219" s="2"/>
      <c r="C219" s="2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x14ac:dyDescent="0.25">
      <c r="B220" s="2"/>
      <c r="C220" s="2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x14ac:dyDescent="0.25">
      <c r="B221" s="2"/>
      <c r="C221" s="2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x14ac:dyDescent="0.25">
      <c r="B222" s="2"/>
      <c r="C222" s="2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x14ac:dyDescent="0.25">
      <c r="B223" s="2"/>
      <c r="C223" s="2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x14ac:dyDescent="0.25">
      <c r="B224" s="2"/>
      <c r="C224" s="2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x14ac:dyDescent="0.25">
      <c r="B225" s="2"/>
      <c r="C225" s="2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x14ac:dyDescent="0.25">
      <c r="B226" s="2"/>
      <c r="C226" s="2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x14ac:dyDescent="0.25">
      <c r="B227" s="2"/>
      <c r="C227" s="2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x14ac:dyDescent="0.25">
      <c r="B228" s="2"/>
      <c r="C228" s="2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x14ac:dyDescent="0.25">
      <c r="B229" s="2"/>
      <c r="C229" s="2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x14ac:dyDescent="0.25">
      <c r="B230" s="2"/>
      <c r="C230" s="2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x14ac:dyDescent="0.25">
      <c r="B231" s="2"/>
      <c r="C231" s="2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x14ac:dyDescent="0.25">
      <c r="B232" s="2"/>
      <c r="C232" s="2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x14ac:dyDescent="0.25">
      <c r="B233" s="2"/>
      <c r="C233" s="2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x14ac:dyDescent="0.25">
      <c r="B234" s="2"/>
      <c r="C234" s="2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x14ac:dyDescent="0.25">
      <c r="B235" s="2"/>
      <c r="C235" s="2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x14ac:dyDescent="0.25">
      <c r="B236" s="2"/>
      <c r="C236" s="2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x14ac:dyDescent="0.25">
      <c r="B237" s="2"/>
      <c r="C237" s="2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x14ac:dyDescent="0.25">
      <c r="B238" s="2"/>
      <c r="C238" s="2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x14ac:dyDescent="0.25">
      <c r="B239" s="2"/>
      <c r="C239" s="2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x14ac:dyDescent="0.25">
      <c r="B240" s="2"/>
      <c r="C240" s="2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x14ac:dyDescent="0.25">
      <c r="B241" s="2"/>
      <c r="C241" s="2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x14ac:dyDescent="0.25">
      <c r="B242" s="2"/>
      <c r="C242" s="2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x14ac:dyDescent="0.25">
      <c r="B243" s="2"/>
      <c r="C243" s="2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x14ac:dyDescent="0.25">
      <c r="B244" s="2"/>
      <c r="C244" s="2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x14ac:dyDescent="0.25">
      <c r="B245" s="2"/>
      <c r="C245" s="2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x14ac:dyDescent="0.25">
      <c r="B246" s="2"/>
      <c r="C246" s="2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x14ac:dyDescent="0.25">
      <c r="B247" s="2"/>
      <c r="C247" s="2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x14ac:dyDescent="0.25">
      <c r="B248" s="2"/>
      <c r="C248" s="2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x14ac:dyDescent="0.25">
      <c r="B249" s="2"/>
      <c r="C249" s="2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x14ac:dyDescent="0.25">
      <c r="B250" s="2"/>
      <c r="C250" s="2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x14ac:dyDescent="0.25">
      <c r="B251" s="2"/>
      <c r="C251" s="2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x14ac:dyDescent="0.25">
      <c r="B252" s="2"/>
      <c r="C252" s="2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x14ac:dyDescent="0.25">
      <c r="B253" s="2"/>
      <c r="C253" s="2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x14ac:dyDescent="0.25">
      <c r="B254" s="2"/>
      <c r="C254" s="2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x14ac:dyDescent="0.25">
      <c r="B255" s="2"/>
      <c r="C255" s="2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x14ac:dyDescent="0.25">
      <c r="B256" s="2"/>
      <c r="C256" s="2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x14ac:dyDescent="0.25">
      <c r="B257" s="2"/>
      <c r="C257" s="2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x14ac:dyDescent="0.25">
      <c r="B258" s="2"/>
      <c r="C258" s="2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x14ac:dyDescent="0.25">
      <c r="B259" s="2"/>
      <c r="C259" s="2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x14ac:dyDescent="0.25">
      <c r="B260" s="2"/>
      <c r="C260" s="2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x14ac:dyDescent="0.25">
      <c r="B261" s="2"/>
      <c r="C261" s="2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x14ac:dyDescent="0.25">
      <c r="B262" s="2"/>
      <c r="C262" s="2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x14ac:dyDescent="0.25">
      <c r="B263" s="2"/>
      <c r="C263" s="2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x14ac:dyDescent="0.25">
      <c r="B264" s="2"/>
      <c r="C264" s="2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x14ac:dyDescent="0.25">
      <c r="B265" s="2"/>
      <c r="C265" s="2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x14ac:dyDescent="0.25">
      <c r="B266" s="2"/>
      <c r="C266" s="2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x14ac:dyDescent="0.25">
      <c r="B267" s="2"/>
      <c r="C267" s="2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x14ac:dyDescent="0.25">
      <c r="B268" s="2"/>
      <c r="C268" s="2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x14ac:dyDescent="0.25">
      <c r="B269" s="2"/>
      <c r="C269" s="2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x14ac:dyDescent="0.25">
      <c r="B270" s="2"/>
      <c r="C270" s="2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x14ac:dyDescent="0.25">
      <c r="B271" s="2"/>
      <c r="C271" s="2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x14ac:dyDescent="0.25">
      <c r="B272" s="2"/>
      <c r="C272" s="2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x14ac:dyDescent="0.25">
      <c r="B273" s="2"/>
      <c r="C273" s="2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x14ac:dyDescent="0.25">
      <c r="B274" s="2"/>
      <c r="C274" s="2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x14ac:dyDescent="0.25">
      <c r="B275" s="2"/>
      <c r="C275" s="2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x14ac:dyDescent="0.25">
      <c r="B276" s="2"/>
      <c r="C276" s="2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x14ac:dyDescent="0.25">
      <c r="B277" s="2"/>
      <c r="C277" s="2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x14ac:dyDescent="0.25">
      <c r="B278" s="2"/>
      <c r="C278" s="2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x14ac:dyDescent="0.25">
      <c r="B279" s="2"/>
      <c r="C279" s="2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x14ac:dyDescent="0.25">
      <c r="B280" s="2"/>
      <c r="C280" s="2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x14ac:dyDescent="0.25">
      <c r="B281" s="2"/>
      <c r="C281" s="2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x14ac:dyDescent="0.25">
      <c r="B282" s="2"/>
      <c r="C282" s="2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x14ac:dyDescent="0.25">
      <c r="B283" s="2"/>
      <c r="C283" s="2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x14ac:dyDescent="0.25">
      <c r="B284" s="2"/>
      <c r="C284" s="2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x14ac:dyDescent="0.25">
      <c r="B285" s="2"/>
      <c r="C285" s="2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x14ac:dyDescent="0.25">
      <c r="B286" s="2"/>
      <c r="C286" s="2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x14ac:dyDescent="0.25">
      <c r="B287" s="2"/>
      <c r="C287" s="2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x14ac:dyDescent="0.25">
      <c r="B288" s="2"/>
      <c r="C288" s="2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x14ac:dyDescent="0.25">
      <c r="B289" s="2"/>
      <c r="C289" s="2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x14ac:dyDescent="0.25">
      <c r="B290" s="2"/>
      <c r="C290" s="2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x14ac:dyDescent="0.25">
      <c r="B291" s="2"/>
      <c r="C291" s="2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x14ac:dyDescent="0.25">
      <c r="B292" s="2"/>
      <c r="C292" s="2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x14ac:dyDescent="0.25">
      <c r="B293" s="2"/>
      <c r="C293" s="2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x14ac:dyDescent="0.25">
      <c r="B294" s="2"/>
      <c r="C294" s="2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x14ac:dyDescent="0.25">
      <c r="B295" s="2"/>
      <c r="C295" s="2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x14ac:dyDescent="0.25">
      <c r="B296" s="2"/>
      <c r="C296" s="2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x14ac:dyDescent="0.25">
      <c r="B297" s="2"/>
      <c r="C297" s="2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x14ac:dyDescent="0.25">
      <c r="B298" s="2"/>
      <c r="C298" s="2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x14ac:dyDescent="0.25">
      <c r="B299" s="2"/>
      <c r="C299" s="2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x14ac:dyDescent="0.25">
      <c r="B300" s="2"/>
      <c r="C300" s="2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x14ac:dyDescent="0.25">
      <c r="B301" s="2"/>
      <c r="C301" s="2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x14ac:dyDescent="0.25">
      <c r="B302" s="2"/>
      <c r="C302" s="2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x14ac:dyDescent="0.25">
      <c r="B303" s="2"/>
      <c r="C303" s="2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x14ac:dyDescent="0.25">
      <c r="B304" s="2"/>
      <c r="C304" s="2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x14ac:dyDescent="0.25">
      <c r="B305" s="2"/>
      <c r="C305" s="2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x14ac:dyDescent="0.25">
      <c r="B306" s="2"/>
      <c r="C306" s="2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x14ac:dyDescent="0.25">
      <c r="B307" s="2"/>
      <c r="C307" s="2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x14ac:dyDescent="0.25">
      <c r="B308" s="2"/>
      <c r="C308" s="2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x14ac:dyDescent="0.25">
      <c r="B309" s="2"/>
      <c r="C309" s="2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x14ac:dyDescent="0.25">
      <c r="B310" s="2"/>
      <c r="C310" s="2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x14ac:dyDescent="0.25">
      <c r="B311" s="2"/>
      <c r="C311" s="2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x14ac:dyDescent="0.25">
      <c r="B312" s="2"/>
      <c r="C312" s="2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x14ac:dyDescent="0.25">
      <c r="B313" s="2"/>
      <c r="C313" s="2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x14ac:dyDescent="0.25">
      <c r="B314" s="2"/>
      <c r="C314" s="2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x14ac:dyDescent="0.25">
      <c r="B315" s="2"/>
      <c r="C315" s="2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x14ac:dyDescent="0.25">
      <c r="B316" s="2"/>
      <c r="C316" s="2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x14ac:dyDescent="0.25">
      <c r="B317" s="2"/>
      <c r="C317" s="2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x14ac:dyDescent="0.25">
      <c r="B318" s="2"/>
      <c r="C318" s="2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x14ac:dyDescent="0.25">
      <c r="B319" s="2"/>
      <c r="C319" s="2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x14ac:dyDescent="0.25">
      <c r="B320" s="2"/>
      <c r="C320" s="2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x14ac:dyDescent="0.25">
      <c r="B321" s="2"/>
      <c r="C321" s="2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x14ac:dyDescent="0.25">
      <c r="B322" s="2"/>
      <c r="C322" s="2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x14ac:dyDescent="0.25">
      <c r="B323" s="2"/>
      <c r="C323" s="2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x14ac:dyDescent="0.25">
      <c r="B324" s="2"/>
      <c r="C324" s="2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x14ac:dyDescent="0.25">
      <c r="B325" s="2"/>
      <c r="C325" s="2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x14ac:dyDescent="0.25">
      <c r="B326" s="2"/>
      <c r="C326" s="2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x14ac:dyDescent="0.25">
      <c r="B327" s="2"/>
      <c r="C327" s="2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x14ac:dyDescent="0.25">
      <c r="B328" s="2"/>
      <c r="C328" s="2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x14ac:dyDescent="0.25">
      <c r="B329" s="2"/>
      <c r="C329" s="2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x14ac:dyDescent="0.25">
      <c r="B330" s="2"/>
      <c r="C330" s="2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x14ac:dyDescent="0.25">
      <c r="B331" s="2"/>
      <c r="C331" s="2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x14ac:dyDescent="0.25">
      <c r="B332" s="2"/>
      <c r="C332" s="2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x14ac:dyDescent="0.25">
      <c r="B333" s="2"/>
      <c r="C333" s="2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x14ac:dyDescent="0.25">
      <c r="B334" s="2"/>
      <c r="C334" s="2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x14ac:dyDescent="0.25">
      <c r="B335" s="2"/>
      <c r="C335" s="2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x14ac:dyDescent="0.25">
      <c r="B336" s="2"/>
      <c r="C336" s="2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x14ac:dyDescent="0.25">
      <c r="B337" s="2"/>
      <c r="C337" s="2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x14ac:dyDescent="0.25">
      <c r="B338" s="2"/>
      <c r="C338" s="2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x14ac:dyDescent="0.25">
      <c r="B339" s="2"/>
      <c r="C339" s="2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x14ac:dyDescent="0.25">
      <c r="B340" s="2"/>
      <c r="C340" s="2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x14ac:dyDescent="0.25">
      <c r="B341" s="2"/>
      <c r="C341" s="2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x14ac:dyDescent="0.25">
      <c r="B342" s="2"/>
      <c r="C342" s="2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x14ac:dyDescent="0.25">
      <c r="B343" s="2"/>
      <c r="C343" s="2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x14ac:dyDescent="0.25">
      <c r="B344" s="2"/>
      <c r="C344" s="2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x14ac:dyDescent="0.25">
      <c r="B345" s="2"/>
      <c r="C345" s="2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x14ac:dyDescent="0.25">
      <c r="B346" s="2"/>
      <c r="C346" s="2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x14ac:dyDescent="0.25">
      <c r="B347" s="2"/>
      <c r="C347" s="2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x14ac:dyDescent="0.25">
      <c r="B348" s="2"/>
      <c r="C348" s="2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x14ac:dyDescent="0.25">
      <c r="B349" s="2"/>
      <c r="C349" s="2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x14ac:dyDescent="0.25">
      <c r="B350" s="2"/>
      <c r="C350" s="2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x14ac:dyDescent="0.25">
      <c r="B351" s="2"/>
      <c r="C351" s="2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x14ac:dyDescent="0.25">
      <c r="B352" s="2"/>
      <c r="C352" s="2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x14ac:dyDescent="0.25">
      <c r="B353" s="2"/>
      <c r="C353" s="2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x14ac:dyDescent="0.25">
      <c r="B354" s="2"/>
      <c r="C354" s="2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x14ac:dyDescent="0.25">
      <c r="B355" s="2"/>
      <c r="C355" s="2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x14ac:dyDescent="0.25">
      <c r="B356" s="2"/>
      <c r="C356" s="2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x14ac:dyDescent="0.25">
      <c r="B357" s="2"/>
      <c r="C357" s="2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x14ac:dyDescent="0.25">
      <c r="B358" s="2"/>
      <c r="C358" s="2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x14ac:dyDescent="0.25">
      <c r="B359" s="2"/>
      <c r="C359" s="2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x14ac:dyDescent="0.25">
      <c r="B360" s="2"/>
      <c r="C360" s="2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x14ac:dyDescent="0.25">
      <c r="B361" s="2"/>
      <c r="C361" s="2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x14ac:dyDescent="0.25">
      <c r="B362" s="2"/>
      <c r="C362" s="2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x14ac:dyDescent="0.25">
      <c r="B363" s="2"/>
      <c r="C363" s="2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x14ac:dyDescent="0.25">
      <c r="B364" s="2"/>
      <c r="C364" s="2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x14ac:dyDescent="0.25">
      <c r="B365" s="2"/>
      <c r="C365" s="2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x14ac:dyDescent="0.25">
      <c r="B366" s="2"/>
      <c r="C366" s="2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x14ac:dyDescent="0.25">
      <c r="B367" s="2"/>
      <c r="C367" s="2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x14ac:dyDescent="0.25">
      <c r="B368" s="2"/>
      <c r="C368" s="2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x14ac:dyDescent="0.25">
      <c r="B369" s="2"/>
      <c r="C369" s="2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x14ac:dyDescent="0.25">
      <c r="B370" s="2"/>
      <c r="C370" s="2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x14ac:dyDescent="0.25">
      <c r="B371" s="2"/>
      <c r="C371" s="2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x14ac:dyDescent="0.25">
      <c r="B372" s="2"/>
      <c r="C372" s="2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x14ac:dyDescent="0.25">
      <c r="B373" s="2"/>
      <c r="C373" s="2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x14ac:dyDescent="0.25">
      <c r="B374" s="2"/>
      <c r="C374" s="2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x14ac:dyDescent="0.25">
      <c r="B375" s="2"/>
      <c r="C375" s="2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x14ac:dyDescent="0.25">
      <c r="B376" s="2"/>
      <c r="C376" s="2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x14ac:dyDescent="0.25">
      <c r="B377" s="2"/>
      <c r="C377" s="2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x14ac:dyDescent="0.25">
      <c r="B378" s="2"/>
      <c r="C378" s="2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x14ac:dyDescent="0.25">
      <c r="B379" s="2"/>
      <c r="C379" s="2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x14ac:dyDescent="0.25">
      <c r="B380" s="2"/>
      <c r="C380" s="2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x14ac:dyDescent="0.25">
      <c r="B381" s="2"/>
      <c r="C381" s="2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x14ac:dyDescent="0.25">
      <c r="B382" s="2"/>
      <c r="C382" s="2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x14ac:dyDescent="0.25">
      <c r="B383" s="2"/>
      <c r="C383" s="2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x14ac:dyDescent="0.25">
      <c r="B384" s="2"/>
      <c r="C384" s="2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x14ac:dyDescent="0.25">
      <c r="B385" s="2"/>
      <c r="C385" s="2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x14ac:dyDescent="0.25">
      <c r="B386" s="2"/>
      <c r="C386" s="2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x14ac:dyDescent="0.25">
      <c r="B387" s="2"/>
      <c r="C387" s="2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x14ac:dyDescent="0.25">
      <c r="B388" s="2"/>
      <c r="C388" s="2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x14ac:dyDescent="0.25">
      <c r="B389" s="2"/>
      <c r="C389" s="2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x14ac:dyDescent="0.25">
      <c r="B390" s="2"/>
      <c r="C390" s="2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x14ac:dyDescent="0.25">
      <c r="B391" s="2"/>
      <c r="C391" s="2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x14ac:dyDescent="0.25">
      <c r="B392" s="2"/>
      <c r="C392" s="2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x14ac:dyDescent="0.25">
      <c r="B393" s="2"/>
      <c r="C393" s="2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x14ac:dyDescent="0.25">
      <c r="B394" s="2"/>
      <c r="C394" s="2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x14ac:dyDescent="0.25">
      <c r="B395" s="2"/>
      <c r="C395" s="2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x14ac:dyDescent="0.25">
      <c r="B396" s="2"/>
      <c r="C396" s="2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x14ac:dyDescent="0.25">
      <c r="B397" s="2"/>
      <c r="C397" s="2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x14ac:dyDescent="0.25">
      <c r="B398" s="2"/>
      <c r="C398" s="2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x14ac:dyDescent="0.25">
      <c r="B399" s="2"/>
      <c r="C399" s="2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x14ac:dyDescent="0.25">
      <c r="B400" s="2"/>
      <c r="C400" s="2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x14ac:dyDescent="0.25">
      <c r="B401" s="2"/>
      <c r="C401" s="2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x14ac:dyDescent="0.25">
      <c r="B402" s="2"/>
      <c r="C402" s="2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x14ac:dyDescent="0.25">
      <c r="B403" s="2"/>
      <c r="C403" s="2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x14ac:dyDescent="0.25">
      <c r="B404" s="2"/>
      <c r="C404" s="2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x14ac:dyDescent="0.25">
      <c r="B405" s="2"/>
      <c r="C405" s="2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x14ac:dyDescent="0.25">
      <c r="B406" s="2"/>
      <c r="C406" s="2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x14ac:dyDescent="0.25">
      <c r="B407" s="2"/>
      <c r="C407" s="2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x14ac:dyDescent="0.25">
      <c r="B408" s="2"/>
      <c r="C408" s="2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x14ac:dyDescent="0.25">
      <c r="B409" s="2"/>
      <c r="C409" s="2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x14ac:dyDescent="0.25">
      <c r="B410" s="2"/>
      <c r="C410" s="2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x14ac:dyDescent="0.25">
      <c r="B411" s="2"/>
      <c r="C411" s="2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x14ac:dyDescent="0.25">
      <c r="B412" s="2"/>
      <c r="C412" s="2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x14ac:dyDescent="0.25">
      <c r="B413" s="2"/>
      <c r="C413" s="2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x14ac:dyDescent="0.25">
      <c r="B414" s="2"/>
      <c r="C414" s="2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x14ac:dyDescent="0.25">
      <c r="B415" s="2"/>
      <c r="C415" s="2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x14ac:dyDescent="0.25">
      <c r="B416" s="2"/>
      <c r="C416" s="2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x14ac:dyDescent="0.25">
      <c r="B417" s="2"/>
      <c r="C417" s="2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x14ac:dyDescent="0.25">
      <c r="B418" s="2"/>
      <c r="C418" s="2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x14ac:dyDescent="0.25">
      <c r="B419" s="2"/>
      <c r="C419" s="2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x14ac:dyDescent="0.25">
      <c r="B420" s="2"/>
      <c r="C420" s="2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x14ac:dyDescent="0.25">
      <c r="B421" s="2"/>
      <c r="C421" s="2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x14ac:dyDescent="0.25">
      <c r="B422" s="2"/>
      <c r="C422" s="2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x14ac:dyDescent="0.25">
      <c r="B423" s="2"/>
      <c r="C423" s="2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x14ac:dyDescent="0.25">
      <c r="B424" s="2"/>
      <c r="C424" s="2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x14ac:dyDescent="0.25">
      <c r="B425" s="2"/>
      <c r="C425" s="2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x14ac:dyDescent="0.25">
      <c r="B426" s="2"/>
      <c r="C426" s="2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x14ac:dyDescent="0.25">
      <c r="B427" s="2"/>
      <c r="C427" s="2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x14ac:dyDescent="0.25">
      <c r="B428" s="2"/>
      <c r="C428" s="2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x14ac:dyDescent="0.25">
      <c r="B429" s="2"/>
      <c r="C429" s="2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x14ac:dyDescent="0.25">
      <c r="B430" s="2"/>
      <c r="C430" s="2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x14ac:dyDescent="0.25">
      <c r="B431" s="2"/>
      <c r="C431" s="2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x14ac:dyDescent="0.25">
      <c r="B432" s="2"/>
      <c r="C432" s="2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x14ac:dyDescent="0.25">
      <c r="B433" s="2"/>
      <c r="C433" s="2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x14ac:dyDescent="0.25">
      <c r="B434" s="2"/>
      <c r="C434" s="2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x14ac:dyDescent="0.25">
      <c r="B435" s="2"/>
      <c r="C435" s="2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x14ac:dyDescent="0.25">
      <c r="B436" s="2"/>
      <c r="C436" s="2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x14ac:dyDescent="0.25">
      <c r="B437" s="2"/>
      <c r="C437" s="2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x14ac:dyDescent="0.25">
      <c r="B438" s="2"/>
      <c r="C438" s="2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x14ac:dyDescent="0.25">
      <c r="B439" s="2"/>
      <c r="C439" s="2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x14ac:dyDescent="0.25">
      <c r="B440" s="2"/>
      <c r="C440" s="2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x14ac:dyDescent="0.25">
      <c r="B441" s="2"/>
      <c r="C441" s="2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x14ac:dyDescent="0.25">
      <c r="B442" s="2"/>
      <c r="C442" s="2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x14ac:dyDescent="0.25">
      <c r="B443" s="2"/>
      <c r="C443" s="2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x14ac:dyDescent="0.25">
      <c r="B444" s="2"/>
      <c r="C444" s="2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x14ac:dyDescent="0.25">
      <c r="B445" s="2"/>
      <c r="C445" s="2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x14ac:dyDescent="0.25">
      <c r="B446" s="2"/>
      <c r="C446" s="2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x14ac:dyDescent="0.25">
      <c r="B447" s="2"/>
      <c r="C447" s="2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x14ac:dyDescent="0.25">
      <c r="B448" s="2"/>
      <c r="C448" s="2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x14ac:dyDescent="0.25">
      <c r="B449" s="2"/>
      <c r="C449" s="2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x14ac:dyDescent="0.25">
      <c r="B450" s="2"/>
      <c r="C450" s="2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x14ac:dyDescent="0.25">
      <c r="B451" s="2"/>
      <c r="C451" s="2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x14ac:dyDescent="0.25">
      <c r="B452" s="2"/>
      <c r="C452" s="2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x14ac:dyDescent="0.25">
      <c r="B453" s="2"/>
      <c r="C453" s="2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x14ac:dyDescent="0.25">
      <c r="B454" s="2"/>
      <c r="C454" s="2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x14ac:dyDescent="0.25">
      <c r="B455" s="2"/>
      <c r="C455" s="2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x14ac:dyDescent="0.25">
      <c r="B456" s="2"/>
      <c r="C456" s="2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x14ac:dyDescent="0.25">
      <c r="B457" s="2"/>
      <c r="C457" s="2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x14ac:dyDescent="0.25">
      <c r="B458" s="2"/>
      <c r="C458" s="2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x14ac:dyDescent="0.25">
      <c r="B459" s="2"/>
      <c r="C459" s="2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x14ac:dyDescent="0.25">
      <c r="B460" s="2"/>
      <c r="C460" s="2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x14ac:dyDescent="0.25">
      <c r="B461" s="2"/>
      <c r="C461" s="2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x14ac:dyDescent="0.25">
      <c r="B462" s="2"/>
      <c r="C462" s="2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x14ac:dyDescent="0.25">
      <c r="B463" s="2"/>
      <c r="C463" s="2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x14ac:dyDescent="0.25">
      <c r="B464" s="2"/>
      <c r="C464" s="2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x14ac:dyDescent="0.25">
      <c r="B465" s="2"/>
      <c r="C465" s="2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x14ac:dyDescent="0.25">
      <c r="B466" s="2"/>
      <c r="C466" s="2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x14ac:dyDescent="0.25">
      <c r="B467" s="2"/>
      <c r="C467" s="2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x14ac:dyDescent="0.25">
      <c r="B468" s="2"/>
      <c r="C468" s="2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x14ac:dyDescent="0.25">
      <c r="B469" s="2"/>
      <c r="C469" s="2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x14ac:dyDescent="0.25">
      <c r="B470" s="2"/>
      <c r="C470" s="2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x14ac:dyDescent="0.25">
      <c r="B471" s="2"/>
      <c r="C471" s="2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x14ac:dyDescent="0.25">
      <c r="B472" s="2"/>
      <c r="C472" s="2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x14ac:dyDescent="0.25">
      <c r="B473" s="2"/>
      <c r="C473" s="2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x14ac:dyDescent="0.25">
      <c r="B474" s="2"/>
      <c r="C474" s="2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x14ac:dyDescent="0.25">
      <c r="B475" s="2"/>
      <c r="C475" s="2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x14ac:dyDescent="0.25">
      <c r="B476" s="2"/>
      <c r="C476" s="2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x14ac:dyDescent="0.25">
      <c r="B477" s="2"/>
      <c r="C477" s="2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x14ac:dyDescent="0.25">
      <c r="B478" s="2"/>
      <c r="C478" s="2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x14ac:dyDescent="0.25">
      <c r="B479" s="2"/>
      <c r="C479" s="2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x14ac:dyDescent="0.25">
      <c r="B480" s="2"/>
      <c r="C480" s="2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x14ac:dyDescent="0.25">
      <c r="B481" s="2"/>
      <c r="C481" s="2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x14ac:dyDescent="0.25">
      <c r="B482" s="2"/>
      <c r="C482" s="2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x14ac:dyDescent="0.25">
      <c r="B483" s="2"/>
      <c r="C483" s="2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x14ac:dyDescent="0.25">
      <c r="B484" s="2"/>
      <c r="C484" s="2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x14ac:dyDescent="0.25">
      <c r="B485" s="2"/>
      <c r="C485" s="2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x14ac:dyDescent="0.25">
      <c r="B486" s="2"/>
      <c r="C486" s="2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x14ac:dyDescent="0.25">
      <c r="B487" s="2"/>
      <c r="C487" s="2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x14ac:dyDescent="0.25">
      <c r="B488" s="2"/>
      <c r="C488" s="2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x14ac:dyDescent="0.25">
      <c r="B489" s="2"/>
      <c r="C489" s="2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x14ac:dyDescent="0.25">
      <c r="B490" s="2"/>
      <c r="C490" s="2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x14ac:dyDescent="0.25">
      <c r="B491" s="2"/>
      <c r="C491" s="2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x14ac:dyDescent="0.25">
      <c r="B492" s="2"/>
      <c r="C492" s="2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x14ac:dyDescent="0.25">
      <c r="B493" s="2"/>
      <c r="C493" s="2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x14ac:dyDescent="0.25">
      <c r="B494" s="2"/>
      <c r="C494" s="2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x14ac:dyDescent="0.25">
      <c r="B495" s="2"/>
      <c r="C495" s="2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x14ac:dyDescent="0.25">
      <c r="B496" s="2"/>
      <c r="C496" s="2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x14ac:dyDescent="0.25">
      <c r="B497" s="2"/>
      <c r="C497" s="2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x14ac:dyDescent="0.25">
      <c r="B498" s="2"/>
      <c r="C498" s="2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x14ac:dyDescent="0.25">
      <c r="B499" s="2"/>
      <c r="C499" s="2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x14ac:dyDescent="0.25">
      <c r="B500" s="2"/>
      <c r="C500" s="2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x14ac:dyDescent="0.25">
      <c r="B501" s="2"/>
      <c r="C501" s="2"/>
      <c r="D501" s="6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x14ac:dyDescent="0.25">
      <c r="B502" s="2"/>
      <c r="C502" s="2"/>
      <c r="D502" s="6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x14ac:dyDescent="0.25">
      <c r="B503" s="2"/>
      <c r="C503" s="2"/>
      <c r="D503" s="6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x14ac:dyDescent="0.25">
      <c r="B504" s="2"/>
      <c r="C504" s="2"/>
      <c r="D504" s="6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x14ac:dyDescent="0.25">
      <c r="B505" s="2"/>
      <c r="C505" s="2"/>
      <c r="D505" s="6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x14ac:dyDescent="0.25">
      <c r="B506" s="2"/>
      <c r="C506" s="2"/>
      <c r="D506" s="6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x14ac:dyDescent="0.25">
      <c r="B507" s="2"/>
      <c r="C507" s="2"/>
      <c r="D507" s="6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x14ac:dyDescent="0.25">
      <c r="B508" s="2"/>
      <c r="C508" s="2"/>
      <c r="D508" s="6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x14ac:dyDescent="0.25">
      <c r="B509" s="2"/>
      <c r="C509" s="2"/>
      <c r="D509" s="6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x14ac:dyDescent="0.25">
      <c r="B510" s="2"/>
      <c r="C510" s="2"/>
      <c r="D510" s="6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x14ac:dyDescent="0.25">
      <c r="B511" s="2"/>
      <c r="C511" s="2"/>
      <c r="D511" s="6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x14ac:dyDescent="0.25">
      <c r="B512" s="2"/>
      <c r="C512" s="2"/>
      <c r="D512" s="6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x14ac:dyDescent="0.25">
      <c r="B513" s="2"/>
      <c r="C513" s="2"/>
      <c r="D513" s="6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x14ac:dyDescent="0.25">
      <c r="B514" s="2"/>
      <c r="C514" s="2"/>
      <c r="D514" s="6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x14ac:dyDescent="0.25">
      <c r="B515" s="2"/>
      <c r="C515" s="2"/>
      <c r="D515" s="6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x14ac:dyDescent="0.25">
      <c r="B516" s="2"/>
      <c r="C516" s="2"/>
      <c r="D516" s="6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x14ac:dyDescent="0.25">
      <c r="B517" s="2"/>
      <c r="C517" s="2"/>
      <c r="D517" s="6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x14ac:dyDescent="0.25">
      <c r="B518" s="2"/>
      <c r="C518" s="2"/>
      <c r="D518" s="6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x14ac:dyDescent="0.25">
      <c r="B519" s="2"/>
      <c r="C519" s="2"/>
      <c r="D519" s="6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x14ac:dyDescent="0.25">
      <c r="B520" s="2"/>
      <c r="C520" s="2"/>
      <c r="D520" s="6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x14ac:dyDescent="0.25">
      <c r="B521" s="2"/>
      <c r="C521" s="2"/>
      <c r="D521" s="6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x14ac:dyDescent="0.25">
      <c r="B522" s="2"/>
      <c r="C522" s="2"/>
      <c r="D522" s="6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x14ac:dyDescent="0.25">
      <c r="B523" s="2"/>
      <c r="C523" s="2"/>
      <c r="D523" s="6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x14ac:dyDescent="0.25">
      <c r="B524" s="2"/>
      <c r="C524" s="2"/>
      <c r="D524" s="6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x14ac:dyDescent="0.25">
      <c r="B525" s="2"/>
      <c r="C525" s="2"/>
      <c r="D525" s="6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x14ac:dyDescent="0.25">
      <c r="B526" s="2"/>
      <c r="C526" s="2"/>
      <c r="D526" s="6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x14ac:dyDescent="0.25">
      <c r="B527" s="2"/>
      <c r="C527" s="2"/>
      <c r="D527" s="6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x14ac:dyDescent="0.25">
      <c r="B528" s="2"/>
      <c r="C528" s="2"/>
      <c r="D528" s="6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x14ac:dyDescent="0.25">
      <c r="B529" s="2"/>
      <c r="C529" s="2"/>
      <c r="D529" s="6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x14ac:dyDescent="0.25">
      <c r="B530" s="2"/>
      <c r="C530" s="2"/>
      <c r="D530" s="6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x14ac:dyDescent="0.25">
      <c r="B531" s="2"/>
      <c r="C531" s="2"/>
      <c r="D531" s="6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x14ac:dyDescent="0.25">
      <c r="B532" s="2"/>
      <c r="C532" s="2"/>
      <c r="D532" s="6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x14ac:dyDescent="0.25">
      <c r="B533" s="2"/>
      <c r="C533" s="2"/>
      <c r="D533" s="6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x14ac:dyDescent="0.25">
      <c r="B534" s="2"/>
      <c r="C534" s="2"/>
      <c r="D534" s="6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x14ac:dyDescent="0.25">
      <c r="B535" s="2"/>
      <c r="C535" s="2"/>
      <c r="D535" s="6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x14ac:dyDescent="0.25">
      <c r="B536" s="2"/>
      <c r="C536" s="2"/>
      <c r="D536" s="6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x14ac:dyDescent="0.25">
      <c r="B537" s="2"/>
      <c r="C537" s="2"/>
      <c r="D537" s="6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x14ac:dyDescent="0.25">
      <c r="B538" s="2"/>
      <c r="C538" s="2"/>
      <c r="D538" s="6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x14ac:dyDescent="0.25">
      <c r="B539" s="2"/>
      <c r="C539" s="2"/>
      <c r="D539" s="6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x14ac:dyDescent="0.25">
      <c r="B540" s="2"/>
      <c r="C540" s="2"/>
      <c r="D540" s="6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x14ac:dyDescent="0.25">
      <c r="B541" s="2"/>
      <c r="C541" s="2"/>
      <c r="D541" s="6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x14ac:dyDescent="0.25">
      <c r="B542" s="2"/>
      <c r="C542" s="2"/>
      <c r="D542" s="6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x14ac:dyDescent="0.25">
      <c r="B543" s="2"/>
      <c r="C543" s="2"/>
      <c r="D543" s="6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x14ac:dyDescent="0.25">
      <c r="B544" s="2"/>
      <c r="C544" s="2"/>
      <c r="D544" s="6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x14ac:dyDescent="0.25">
      <c r="B545" s="2"/>
      <c r="C545" s="2"/>
      <c r="D545" s="6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x14ac:dyDescent="0.25">
      <c r="B546" s="2"/>
      <c r="C546" s="2"/>
      <c r="D546" s="6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x14ac:dyDescent="0.25">
      <c r="B547" s="2"/>
      <c r="C547" s="2"/>
      <c r="D547" s="6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x14ac:dyDescent="0.25">
      <c r="B548" s="2"/>
      <c r="C548" s="2"/>
      <c r="D548" s="6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x14ac:dyDescent="0.25">
      <c r="B549" s="2"/>
      <c r="C549" s="2"/>
      <c r="D549" s="6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x14ac:dyDescent="0.25">
      <c r="B550" s="2"/>
      <c r="C550" s="2"/>
      <c r="D550" s="6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x14ac:dyDescent="0.25">
      <c r="B551" s="2"/>
      <c r="C551" s="2"/>
      <c r="D551" s="6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x14ac:dyDescent="0.25">
      <c r="B552" s="2"/>
      <c r="C552" s="2"/>
      <c r="D552" s="6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x14ac:dyDescent="0.25">
      <c r="B553" s="2"/>
      <c r="C553" s="2"/>
      <c r="D553" s="6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x14ac:dyDescent="0.25">
      <c r="B554" s="2"/>
      <c r="C554" s="2"/>
      <c r="D554" s="6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x14ac:dyDescent="0.25">
      <c r="B555" s="2"/>
      <c r="C555" s="2"/>
      <c r="D555" s="6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x14ac:dyDescent="0.25">
      <c r="B556" s="2"/>
      <c r="C556" s="2"/>
      <c r="D556" s="6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x14ac:dyDescent="0.25">
      <c r="B557" s="2"/>
      <c r="C557" s="2"/>
      <c r="D557" s="6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x14ac:dyDescent="0.25">
      <c r="B558" s="2"/>
      <c r="C558" s="2"/>
      <c r="D558" s="6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x14ac:dyDescent="0.25">
      <c r="B559" s="2"/>
      <c r="C559" s="2"/>
      <c r="D559" s="6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x14ac:dyDescent="0.25">
      <c r="B560" s="2"/>
      <c r="C560" s="2"/>
      <c r="D560" s="6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x14ac:dyDescent="0.25">
      <c r="B561" s="2"/>
      <c r="C561" s="2"/>
      <c r="D561" s="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x14ac:dyDescent="0.25">
      <c r="B562" s="2"/>
      <c r="C562" s="2"/>
      <c r="D562" s="6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x14ac:dyDescent="0.25">
      <c r="B563" s="2"/>
      <c r="C563" s="2"/>
      <c r="D563" s="6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x14ac:dyDescent="0.25">
      <c r="B564" s="2"/>
      <c r="C564" s="2"/>
      <c r="D564" s="6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x14ac:dyDescent="0.25">
      <c r="B565" s="2"/>
      <c r="C565" s="2"/>
      <c r="D565" s="6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x14ac:dyDescent="0.25">
      <c r="B566" s="2"/>
      <c r="C566" s="2"/>
      <c r="D566" s="6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x14ac:dyDescent="0.25">
      <c r="B567" s="2"/>
      <c r="C567" s="2"/>
      <c r="D567" s="6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x14ac:dyDescent="0.25">
      <c r="B568" s="2"/>
      <c r="C568" s="2"/>
      <c r="D568" s="6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x14ac:dyDescent="0.25">
      <c r="B569" s="2"/>
      <c r="C569" s="2"/>
      <c r="D569" s="6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x14ac:dyDescent="0.25">
      <c r="B570" s="2"/>
      <c r="C570" s="2"/>
      <c r="D570" s="6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x14ac:dyDescent="0.25">
      <c r="B571" s="2"/>
      <c r="C571" s="2"/>
      <c r="D571" s="6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x14ac:dyDescent="0.25">
      <c r="B572" s="2"/>
      <c r="C572" s="2"/>
      <c r="D572" s="6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x14ac:dyDescent="0.25">
      <c r="B573" s="2"/>
      <c r="C573" s="2"/>
      <c r="D573" s="6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x14ac:dyDescent="0.25">
      <c r="B574" s="2"/>
      <c r="C574" s="2"/>
      <c r="D574" s="6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x14ac:dyDescent="0.25">
      <c r="B575" s="2"/>
      <c r="C575" s="2"/>
      <c r="D575" s="6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x14ac:dyDescent="0.25">
      <c r="B576" s="2"/>
      <c r="C576" s="2"/>
      <c r="D576" s="6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x14ac:dyDescent="0.25">
      <c r="B577" s="2"/>
      <c r="C577" s="2"/>
      <c r="D577" s="6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x14ac:dyDescent="0.25">
      <c r="B578" s="2"/>
      <c r="C578" s="2"/>
      <c r="D578" s="6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x14ac:dyDescent="0.25">
      <c r="B579" s="2"/>
      <c r="C579" s="2"/>
      <c r="D579" s="6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x14ac:dyDescent="0.25">
      <c r="B580" s="2"/>
      <c r="C580" s="2"/>
      <c r="D580" s="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x14ac:dyDescent="0.25">
      <c r="B581" s="2"/>
      <c r="C581" s="2"/>
      <c r="D581" s="6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x14ac:dyDescent="0.25">
      <c r="B582" s="2"/>
      <c r="C582" s="2"/>
      <c r="D582" s="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x14ac:dyDescent="0.25">
      <c r="B583" s="2"/>
      <c r="C583" s="2"/>
      <c r="D583" s="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x14ac:dyDescent="0.25">
      <c r="B584" s="2"/>
      <c r="C584" s="2"/>
      <c r="D584" s="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x14ac:dyDescent="0.25">
      <c r="B585" s="2"/>
      <c r="C585" s="2"/>
      <c r="D585" s="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x14ac:dyDescent="0.25">
      <c r="B586" s="2"/>
      <c r="C586" s="2"/>
      <c r="D586" s="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x14ac:dyDescent="0.25">
      <c r="B587" s="2"/>
      <c r="C587" s="2"/>
      <c r="D587" s="6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x14ac:dyDescent="0.25">
      <c r="B588" s="2"/>
      <c r="C588" s="2"/>
      <c r="D588" s="6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x14ac:dyDescent="0.25">
      <c r="B589" s="2"/>
      <c r="C589" s="2"/>
      <c r="D589" s="6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x14ac:dyDescent="0.25">
      <c r="B590" s="2"/>
      <c r="C590" s="2"/>
      <c r="D590" s="6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x14ac:dyDescent="0.25">
      <c r="B591" s="2"/>
      <c r="C591" s="2"/>
      <c r="D591" s="6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x14ac:dyDescent="0.25">
      <c r="B592" s="2"/>
      <c r="C592" s="2"/>
      <c r="D592" s="6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x14ac:dyDescent="0.25">
      <c r="B593" s="2"/>
      <c r="C593" s="2"/>
      <c r="D593" s="6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x14ac:dyDescent="0.25">
      <c r="B594" s="2"/>
      <c r="C594" s="2"/>
      <c r="D594" s="6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x14ac:dyDescent="0.25">
      <c r="B595" s="2"/>
      <c r="C595" s="2"/>
      <c r="D595" s="6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x14ac:dyDescent="0.25">
      <c r="B596" s="2"/>
      <c r="C596" s="2"/>
      <c r="D596" s="6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x14ac:dyDescent="0.25">
      <c r="B597" s="2"/>
      <c r="C597" s="2"/>
      <c r="D597" s="6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x14ac:dyDescent="0.25">
      <c r="B598" s="2"/>
      <c r="C598" s="2"/>
      <c r="D598" s="6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x14ac:dyDescent="0.25">
      <c r="B599" s="2"/>
      <c r="C599" s="2"/>
      <c r="D599" s="6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x14ac:dyDescent="0.25">
      <c r="B600" s="2"/>
      <c r="C600" s="2"/>
      <c r="D600" s="6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x14ac:dyDescent="0.25">
      <c r="B601" s="2"/>
      <c r="C601" s="2"/>
      <c r="D601" s="6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x14ac:dyDescent="0.25">
      <c r="B602" s="2"/>
      <c r="C602" s="2"/>
      <c r="D602" s="6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x14ac:dyDescent="0.25">
      <c r="B603" s="2"/>
      <c r="C603" s="2"/>
      <c r="D603" s="6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x14ac:dyDescent="0.25">
      <c r="B604" s="2"/>
      <c r="C604" s="2"/>
      <c r="D604" s="6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x14ac:dyDescent="0.25">
      <c r="B605" s="2"/>
      <c r="C605" s="2"/>
      <c r="D605" s="6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x14ac:dyDescent="0.25">
      <c r="B606" s="2"/>
      <c r="C606" s="2"/>
      <c r="D606" s="6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x14ac:dyDescent="0.25">
      <c r="B607" s="2"/>
      <c r="C607" s="2"/>
      <c r="D607" s="6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x14ac:dyDescent="0.25">
      <c r="B608" s="2"/>
      <c r="C608" s="2"/>
      <c r="D608" s="6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x14ac:dyDescent="0.25">
      <c r="B609" s="2"/>
      <c r="C609" s="2"/>
      <c r="D609" s="6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x14ac:dyDescent="0.25">
      <c r="B610" s="2"/>
      <c r="C610" s="2"/>
      <c r="D610" s="6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x14ac:dyDescent="0.25">
      <c r="B611" s="2"/>
      <c r="C611" s="2"/>
      <c r="D611" s="6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x14ac:dyDescent="0.25">
      <c r="B612" s="2"/>
      <c r="C612" s="2"/>
      <c r="D612" s="6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x14ac:dyDescent="0.25">
      <c r="B613" s="2"/>
      <c r="C613" s="2"/>
      <c r="D613" s="6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x14ac:dyDescent="0.25">
      <c r="B614" s="2"/>
      <c r="C614" s="2"/>
      <c r="D614" s="6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x14ac:dyDescent="0.25">
      <c r="B615" s="2"/>
      <c r="C615" s="2"/>
      <c r="D615" s="6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x14ac:dyDescent="0.25">
      <c r="B616" s="2"/>
      <c r="C616" s="2"/>
      <c r="D616" s="6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x14ac:dyDescent="0.25">
      <c r="B617" s="2"/>
      <c r="C617" s="2"/>
      <c r="D617" s="6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x14ac:dyDescent="0.25">
      <c r="B618" s="2"/>
      <c r="C618" s="2"/>
      <c r="D618" s="6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x14ac:dyDescent="0.25">
      <c r="B619" s="2"/>
      <c r="C619" s="2"/>
      <c r="D619" s="6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x14ac:dyDescent="0.25">
      <c r="B620" s="2"/>
      <c r="C620" s="2"/>
      <c r="D620" s="6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x14ac:dyDescent="0.25">
      <c r="B621" s="2"/>
      <c r="C621" s="2"/>
      <c r="D621" s="6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x14ac:dyDescent="0.25">
      <c r="B622" s="2"/>
      <c r="C622" s="2"/>
      <c r="D622" s="6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x14ac:dyDescent="0.25">
      <c r="B623" s="2"/>
      <c r="C623" s="2"/>
      <c r="D623" s="6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x14ac:dyDescent="0.25">
      <c r="B624" s="2"/>
      <c r="C624" s="2"/>
      <c r="D624" s="6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x14ac:dyDescent="0.25">
      <c r="B625" s="2"/>
      <c r="C625" s="2"/>
      <c r="D625" s="6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x14ac:dyDescent="0.25">
      <c r="B626" s="2"/>
      <c r="C626" s="2"/>
      <c r="D626" s="6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x14ac:dyDescent="0.25">
      <c r="B627" s="2"/>
      <c r="C627" s="2"/>
      <c r="D627" s="6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x14ac:dyDescent="0.25">
      <c r="B628" s="2"/>
      <c r="C628" s="2"/>
      <c r="D628" s="6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x14ac:dyDescent="0.25">
      <c r="B629" s="2"/>
      <c r="C629" s="2"/>
      <c r="D629" s="6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x14ac:dyDescent="0.25">
      <c r="B630" s="2"/>
      <c r="C630" s="2"/>
      <c r="D630" s="6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x14ac:dyDescent="0.25">
      <c r="B631" s="2"/>
      <c r="C631" s="2"/>
      <c r="D631" s="6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x14ac:dyDescent="0.25">
      <c r="B632" s="2"/>
      <c r="C632" s="2"/>
      <c r="D632" s="6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x14ac:dyDescent="0.25">
      <c r="B633" s="2"/>
      <c r="C633" s="2"/>
      <c r="D633" s="6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x14ac:dyDescent="0.25">
      <c r="B634" s="2"/>
      <c r="C634" s="2"/>
      <c r="D634" s="6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x14ac:dyDescent="0.25">
      <c r="B635" s="2"/>
      <c r="C635" s="2"/>
      <c r="D635" s="6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x14ac:dyDescent="0.25">
      <c r="B636" s="2"/>
      <c r="C636" s="2"/>
      <c r="D636" s="6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x14ac:dyDescent="0.25">
      <c r="B637" s="2"/>
      <c r="C637" s="2"/>
      <c r="D637" s="6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x14ac:dyDescent="0.25">
      <c r="B638" s="2"/>
      <c r="C638" s="2"/>
      <c r="D638" s="6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x14ac:dyDescent="0.25">
      <c r="B639" s="2"/>
      <c r="C639" s="2"/>
      <c r="D639" s="6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x14ac:dyDescent="0.25">
      <c r="B640" s="2"/>
      <c r="C640" s="2"/>
      <c r="D640" s="6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x14ac:dyDescent="0.25">
      <c r="B641" s="2"/>
      <c r="C641" s="2"/>
      <c r="D641" s="6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x14ac:dyDescent="0.25">
      <c r="B642" s="2"/>
      <c r="C642" s="2"/>
      <c r="D642" s="6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x14ac:dyDescent="0.25">
      <c r="B643" s="2"/>
      <c r="C643" s="2"/>
      <c r="D643" s="6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x14ac:dyDescent="0.25">
      <c r="B644" s="2"/>
      <c r="C644" s="2"/>
      <c r="D644" s="6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x14ac:dyDescent="0.25">
      <c r="B645" s="2"/>
      <c r="C645" s="2"/>
      <c r="D645" s="6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x14ac:dyDescent="0.25">
      <c r="B646" s="2"/>
      <c r="C646" s="2"/>
      <c r="D646" s="6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x14ac:dyDescent="0.25">
      <c r="B647" s="2"/>
      <c r="C647" s="2"/>
      <c r="D647" s="6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x14ac:dyDescent="0.25">
      <c r="B648" s="2"/>
      <c r="C648" s="2"/>
      <c r="D648" s="6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x14ac:dyDescent="0.25">
      <c r="B649" s="2"/>
      <c r="C649" s="2"/>
      <c r="D649" s="6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x14ac:dyDescent="0.25">
      <c r="B650" s="2"/>
      <c r="C650" s="2"/>
      <c r="D650" s="6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x14ac:dyDescent="0.25">
      <c r="B651" s="2"/>
      <c r="C651" s="2"/>
      <c r="D651" s="6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x14ac:dyDescent="0.25">
      <c r="B652" s="2"/>
      <c r="C652" s="2"/>
      <c r="D652" s="6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x14ac:dyDescent="0.25">
      <c r="B653" s="2"/>
      <c r="C653" s="2"/>
      <c r="D653" s="6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x14ac:dyDescent="0.25">
      <c r="B654" s="2"/>
      <c r="C654" s="2"/>
      <c r="D654" s="6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x14ac:dyDescent="0.25">
      <c r="B655" s="2"/>
      <c r="C655" s="2"/>
      <c r="D655" s="6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x14ac:dyDescent="0.25">
      <c r="B656" s="2"/>
      <c r="C656" s="2"/>
      <c r="D656" s="6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x14ac:dyDescent="0.25">
      <c r="B657" s="2"/>
      <c r="C657" s="2"/>
      <c r="D657" s="6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x14ac:dyDescent="0.25">
      <c r="B658" s="2"/>
      <c r="C658" s="2"/>
      <c r="D658" s="6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x14ac:dyDescent="0.25">
      <c r="B659" s="2"/>
      <c r="C659" s="2"/>
      <c r="D659" s="6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x14ac:dyDescent="0.25">
      <c r="B660" s="2"/>
      <c r="C660" s="2"/>
      <c r="D660" s="6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x14ac:dyDescent="0.25">
      <c r="B661" s="2"/>
      <c r="C661" s="2"/>
      <c r="D661" s="6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x14ac:dyDescent="0.25">
      <c r="B662" s="2"/>
      <c r="C662" s="2"/>
      <c r="D662" s="6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x14ac:dyDescent="0.25">
      <c r="B663" s="2"/>
      <c r="C663" s="2"/>
      <c r="D663" s="6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x14ac:dyDescent="0.25">
      <c r="B664" s="2"/>
      <c r="C664" s="2"/>
      <c r="D664" s="6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x14ac:dyDescent="0.25">
      <c r="B665" s="2"/>
      <c r="C665" s="2"/>
      <c r="D665" s="6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x14ac:dyDescent="0.25">
      <c r="B666" s="2"/>
      <c r="C666" s="2"/>
      <c r="D666" s="6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x14ac:dyDescent="0.25">
      <c r="B667" s="2"/>
      <c r="C667" s="2"/>
      <c r="D667" s="6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x14ac:dyDescent="0.25">
      <c r="B668" s="2"/>
      <c r="C668" s="2"/>
      <c r="D668" s="6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x14ac:dyDescent="0.25">
      <c r="B669" s="2"/>
      <c r="C669" s="2"/>
      <c r="D669" s="6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x14ac:dyDescent="0.25">
      <c r="B670" s="2"/>
      <c r="C670" s="2"/>
      <c r="D670" s="6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x14ac:dyDescent="0.25">
      <c r="B671" s="2"/>
      <c r="C671" s="2"/>
      <c r="D671" s="6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x14ac:dyDescent="0.25">
      <c r="B672" s="2"/>
      <c r="C672" s="2"/>
      <c r="D672" s="6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x14ac:dyDescent="0.25">
      <c r="B673" s="2"/>
      <c r="C673" s="2"/>
      <c r="D673" s="6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x14ac:dyDescent="0.25">
      <c r="B674" s="2"/>
      <c r="C674" s="2"/>
      <c r="D674" s="6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x14ac:dyDescent="0.25">
      <c r="B675" s="2"/>
      <c r="C675" s="2"/>
      <c r="D675" s="6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x14ac:dyDescent="0.25">
      <c r="B676" s="2"/>
      <c r="C676" s="2"/>
      <c r="D676" s="6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x14ac:dyDescent="0.25">
      <c r="B677" s="2"/>
      <c r="C677" s="2"/>
      <c r="D677" s="6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x14ac:dyDescent="0.25">
      <c r="B678" s="2"/>
      <c r="C678" s="2"/>
      <c r="D678" s="6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x14ac:dyDescent="0.25">
      <c r="B679" s="2"/>
      <c r="C679" s="2"/>
      <c r="D679" s="6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x14ac:dyDescent="0.25">
      <c r="B680" s="2"/>
      <c r="C680" s="2"/>
      <c r="D680" s="6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x14ac:dyDescent="0.25">
      <c r="B681" s="2"/>
      <c r="C681" s="2"/>
      <c r="D681" s="6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x14ac:dyDescent="0.25">
      <c r="B682" s="2"/>
      <c r="C682" s="2"/>
      <c r="D682" s="6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x14ac:dyDescent="0.25">
      <c r="B683" s="2"/>
      <c r="C683" s="2"/>
      <c r="D683" s="6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x14ac:dyDescent="0.25">
      <c r="B684" s="2"/>
      <c r="C684" s="2"/>
      <c r="D684" s="6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x14ac:dyDescent="0.25">
      <c r="B685" s="2"/>
      <c r="C685" s="2"/>
      <c r="D685" s="6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x14ac:dyDescent="0.25">
      <c r="B686" s="2"/>
      <c r="C686" s="2"/>
      <c r="D686" s="6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x14ac:dyDescent="0.25">
      <c r="B687" s="2"/>
      <c r="C687" s="2"/>
      <c r="D687" s="6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x14ac:dyDescent="0.25">
      <c r="B688" s="2"/>
      <c r="C688" s="2"/>
      <c r="D688" s="6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x14ac:dyDescent="0.25">
      <c r="B689" s="2"/>
      <c r="C689" s="2"/>
      <c r="D689" s="6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x14ac:dyDescent="0.25">
      <c r="B690" s="2"/>
      <c r="C690" s="2"/>
      <c r="D690" s="6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x14ac:dyDescent="0.25">
      <c r="B691" s="2"/>
      <c r="C691" s="2"/>
      <c r="D691" s="6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x14ac:dyDescent="0.25">
      <c r="B692" s="2"/>
      <c r="C692" s="2"/>
      <c r="D692" s="6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x14ac:dyDescent="0.25">
      <c r="B693" s="2"/>
      <c r="C693" s="2"/>
      <c r="D693" s="6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x14ac:dyDescent="0.25">
      <c r="B694" s="2"/>
      <c r="C694" s="2"/>
      <c r="D694" s="6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x14ac:dyDescent="0.25">
      <c r="B695" s="2"/>
      <c r="C695" s="2"/>
      <c r="D695" s="6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x14ac:dyDescent="0.25">
      <c r="B696" s="2"/>
      <c r="C696" s="2"/>
      <c r="D696" s="6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x14ac:dyDescent="0.25">
      <c r="B697" s="2"/>
      <c r="C697" s="2"/>
      <c r="D697" s="6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x14ac:dyDescent="0.25">
      <c r="B698" s="2"/>
      <c r="C698" s="2"/>
      <c r="D698" s="6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x14ac:dyDescent="0.25">
      <c r="B699" s="2"/>
      <c r="C699" s="2"/>
      <c r="D699" s="6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x14ac:dyDescent="0.25">
      <c r="B700" s="2"/>
      <c r="C700" s="2"/>
      <c r="D700" s="6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x14ac:dyDescent="0.25">
      <c r="B701" s="2"/>
      <c r="C701" s="2"/>
      <c r="D701" s="6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x14ac:dyDescent="0.25">
      <c r="B702" s="2"/>
      <c r="C702" s="2"/>
      <c r="D702" s="6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x14ac:dyDescent="0.25">
      <c r="B703" s="2"/>
      <c r="C703" s="2"/>
      <c r="D703" s="6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x14ac:dyDescent="0.25">
      <c r="B704" s="2"/>
      <c r="C704" s="2"/>
      <c r="D704" s="6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x14ac:dyDescent="0.25">
      <c r="B705" s="2"/>
      <c r="C705" s="2"/>
      <c r="D705" s="6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x14ac:dyDescent="0.25">
      <c r="B706" s="2"/>
      <c r="C706" s="2"/>
      <c r="D706" s="6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x14ac:dyDescent="0.25">
      <c r="B707" s="2"/>
      <c r="C707" s="2"/>
      <c r="D707" s="6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x14ac:dyDescent="0.25">
      <c r="B708" s="2"/>
      <c r="C708" s="2"/>
      <c r="D708" s="6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x14ac:dyDescent="0.25">
      <c r="B709" s="2"/>
      <c r="C709" s="2"/>
      <c r="D709" s="6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x14ac:dyDescent="0.25">
      <c r="B710" s="2"/>
      <c r="C710" s="2"/>
      <c r="D710" s="6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x14ac:dyDescent="0.25">
      <c r="B711" s="2"/>
      <c r="C711" s="2"/>
      <c r="D711" s="6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x14ac:dyDescent="0.25">
      <c r="B712" s="2"/>
      <c r="C712" s="2"/>
      <c r="D712" s="6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x14ac:dyDescent="0.25">
      <c r="B713" s="2"/>
      <c r="C713" s="2"/>
      <c r="D713" s="6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x14ac:dyDescent="0.25">
      <c r="B714" s="2"/>
      <c r="C714" s="2"/>
      <c r="D714" s="6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x14ac:dyDescent="0.25">
      <c r="B715" s="2"/>
      <c r="C715" s="2"/>
      <c r="D715" s="6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x14ac:dyDescent="0.25">
      <c r="B716" s="2"/>
      <c r="C716" s="2"/>
      <c r="D716" s="6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x14ac:dyDescent="0.25">
      <c r="B717" s="2"/>
      <c r="C717" s="2"/>
      <c r="D717" s="6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x14ac:dyDescent="0.25">
      <c r="B718" s="2"/>
      <c r="C718" s="2"/>
      <c r="D718" s="6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x14ac:dyDescent="0.25">
      <c r="B719" s="2"/>
      <c r="C719" s="2"/>
      <c r="D719" s="6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x14ac:dyDescent="0.25">
      <c r="B720" s="2"/>
      <c r="C720" s="2"/>
      <c r="D720" s="6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x14ac:dyDescent="0.25">
      <c r="B721" s="2"/>
      <c r="C721" s="2"/>
      <c r="D721" s="6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x14ac:dyDescent="0.25">
      <c r="B722" s="2"/>
      <c r="C722" s="2"/>
      <c r="D722" s="6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x14ac:dyDescent="0.25">
      <c r="B723" s="2"/>
      <c r="C723" s="2"/>
      <c r="D723" s="6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x14ac:dyDescent="0.25">
      <c r="B724" s="2"/>
      <c r="C724" s="2"/>
      <c r="D724" s="6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x14ac:dyDescent="0.25">
      <c r="B725" s="2"/>
      <c r="C725" s="2"/>
      <c r="D725" s="6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x14ac:dyDescent="0.25">
      <c r="B726" s="2"/>
      <c r="C726" s="2"/>
      <c r="D726" s="6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x14ac:dyDescent="0.25">
      <c r="B727" s="2"/>
      <c r="C727" s="2"/>
      <c r="D727" s="6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x14ac:dyDescent="0.25">
      <c r="B728" s="2"/>
      <c r="C728" s="2"/>
      <c r="D728" s="6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x14ac:dyDescent="0.25">
      <c r="B729" s="2"/>
      <c r="C729" s="2"/>
      <c r="D729" s="6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x14ac:dyDescent="0.25">
      <c r="B730" s="2"/>
      <c r="C730" s="2"/>
      <c r="D730" s="6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x14ac:dyDescent="0.25">
      <c r="B731" s="2"/>
      <c r="C731" s="2"/>
      <c r="D731" s="6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x14ac:dyDescent="0.25">
      <c r="B732" s="2"/>
      <c r="C732" s="2"/>
      <c r="D732" s="6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x14ac:dyDescent="0.25">
      <c r="B733" s="2"/>
      <c r="C733" s="2"/>
      <c r="D733" s="6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x14ac:dyDescent="0.25">
      <c r="B734" s="2"/>
      <c r="C734" s="2"/>
      <c r="D734" s="6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x14ac:dyDescent="0.25">
      <c r="B735" s="2"/>
      <c r="C735" s="2"/>
      <c r="D735" s="6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x14ac:dyDescent="0.25">
      <c r="B736" s="2"/>
      <c r="C736" s="2"/>
      <c r="D736" s="6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x14ac:dyDescent="0.25">
      <c r="B737" s="2"/>
      <c r="C737" s="2"/>
      <c r="D737" s="6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x14ac:dyDescent="0.25">
      <c r="B738" s="2"/>
      <c r="C738" s="2"/>
      <c r="D738" s="6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x14ac:dyDescent="0.25">
      <c r="B739" s="2"/>
      <c r="C739" s="2"/>
      <c r="D739" s="6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x14ac:dyDescent="0.25">
      <c r="B740" s="2"/>
      <c r="C740" s="2"/>
      <c r="D740" s="6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x14ac:dyDescent="0.25">
      <c r="B741" s="2"/>
      <c r="C741" s="2"/>
      <c r="D741" s="6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x14ac:dyDescent="0.25">
      <c r="B742" s="2"/>
      <c r="C742" s="2"/>
      <c r="D742" s="6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x14ac:dyDescent="0.25">
      <c r="B743" s="2"/>
      <c r="C743" s="2"/>
      <c r="D743" s="6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x14ac:dyDescent="0.25">
      <c r="B744" s="2"/>
      <c r="C744" s="2"/>
      <c r="D744" s="6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x14ac:dyDescent="0.25">
      <c r="B745" s="2"/>
      <c r="C745" s="2"/>
      <c r="D745" s="6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x14ac:dyDescent="0.25">
      <c r="B746" s="2"/>
      <c r="C746" s="2"/>
      <c r="D746" s="6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x14ac:dyDescent="0.25">
      <c r="B747" s="2"/>
      <c r="C747" s="2"/>
      <c r="D747" s="6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x14ac:dyDescent="0.25">
      <c r="B748" s="2"/>
      <c r="C748" s="2"/>
      <c r="D748" s="6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x14ac:dyDescent="0.25">
      <c r="B749" s="2"/>
      <c r="C749" s="2"/>
      <c r="D749" s="6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x14ac:dyDescent="0.25">
      <c r="B750" s="2"/>
      <c r="C750" s="2"/>
      <c r="D750" s="6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x14ac:dyDescent="0.25">
      <c r="B751" s="2"/>
      <c r="C751" s="2"/>
      <c r="D751" s="6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x14ac:dyDescent="0.25">
      <c r="B752" s="2"/>
      <c r="C752" s="2"/>
      <c r="D752" s="6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x14ac:dyDescent="0.25">
      <c r="B753" s="2"/>
      <c r="C753" s="2"/>
      <c r="D753" s="6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x14ac:dyDescent="0.25">
      <c r="B754" s="2"/>
      <c r="C754" s="2"/>
      <c r="D754" s="6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x14ac:dyDescent="0.25">
      <c r="B755" s="2"/>
      <c r="C755" s="2"/>
      <c r="D755" s="6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x14ac:dyDescent="0.25">
      <c r="B756" s="2"/>
      <c r="C756" s="2"/>
      <c r="D756" s="6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x14ac:dyDescent="0.25">
      <c r="B757" s="2"/>
      <c r="C757" s="2"/>
      <c r="D757" s="6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x14ac:dyDescent="0.25">
      <c r="B758" s="2"/>
      <c r="C758" s="2"/>
      <c r="D758" s="6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x14ac:dyDescent="0.25">
      <c r="B759" s="2"/>
      <c r="C759" s="2"/>
      <c r="D759" s="6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x14ac:dyDescent="0.25">
      <c r="B760" s="2"/>
      <c r="C760" s="2"/>
      <c r="D760" s="6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x14ac:dyDescent="0.25">
      <c r="B761" s="2"/>
      <c r="C761" s="2"/>
      <c r="D761" s="6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x14ac:dyDescent="0.25">
      <c r="B762" s="2"/>
      <c r="C762" s="2"/>
      <c r="D762" s="6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x14ac:dyDescent="0.25">
      <c r="B763" s="2"/>
      <c r="C763" s="2"/>
      <c r="D763" s="6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x14ac:dyDescent="0.25">
      <c r="B764" s="2"/>
      <c r="C764" s="2"/>
      <c r="D764" s="6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x14ac:dyDescent="0.25">
      <c r="B765" s="2"/>
      <c r="C765" s="2"/>
      <c r="D765" s="6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x14ac:dyDescent="0.25">
      <c r="B766" s="2"/>
      <c r="C766" s="2"/>
      <c r="D766" s="6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x14ac:dyDescent="0.25">
      <c r="B767" s="2"/>
      <c r="C767" s="2"/>
      <c r="D767" s="6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x14ac:dyDescent="0.25">
      <c r="B768" s="2"/>
      <c r="C768" s="2"/>
      <c r="D768" s="6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x14ac:dyDescent="0.25">
      <c r="B769" s="2"/>
      <c r="C769" s="2"/>
      <c r="D769" s="6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x14ac:dyDescent="0.25">
      <c r="B770" s="2"/>
      <c r="C770" s="2"/>
      <c r="D770" s="6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x14ac:dyDescent="0.25">
      <c r="B771" s="2"/>
      <c r="C771" s="2"/>
      <c r="D771" s="6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x14ac:dyDescent="0.25">
      <c r="B772" s="2"/>
      <c r="C772" s="2"/>
      <c r="D772" s="6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x14ac:dyDescent="0.25">
      <c r="B773" s="2"/>
      <c r="C773" s="2"/>
      <c r="D773" s="6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x14ac:dyDescent="0.25">
      <c r="B774" s="2"/>
      <c r="C774" s="2"/>
      <c r="D774" s="6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x14ac:dyDescent="0.25">
      <c r="B775" s="2"/>
      <c r="C775" s="2"/>
      <c r="D775" s="6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x14ac:dyDescent="0.25">
      <c r="B776" s="2"/>
      <c r="C776" s="2"/>
      <c r="D776" s="6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x14ac:dyDescent="0.25">
      <c r="B777" s="2"/>
      <c r="C777" s="2"/>
      <c r="D777" s="6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x14ac:dyDescent="0.25">
      <c r="B778" s="2"/>
      <c r="C778" s="2"/>
      <c r="D778" s="6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x14ac:dyDescent="0.25">
      <c r="B779" s="2"/>
      <c r="C779" s="2"/>
      <c r="D779" s="6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x14ac:dyDescent="0.25">
      <c r="B780" s="2"/>
      <c r="C780" s="2"/>
      <c r="D780" s="6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x14ac:dyDescent="0.25">
      <c r="B781" s="2"/>
      <c r="C781" s="2"/>
      <c r="D781" s="6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x14ac:dyDescent="0.25">
      <c r="B782" s="2"/>
      <c r="C782" s="2"/>
      <c r="D782" s="6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x14ac:dyDescent="0.25">
      <c r="B783" s="2"/>
      <c r="C783" s="2"/>
      <c r="D783" s="6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x14ac:dyDescent="0.25">
      <c r="B784" s="2"/>
      <c r="C784" s="2"/>
      <c r="D784" s="6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x14ac:dyDescent="0.25">
      <c r="B785" s="2"/>
      <c r="C785" s="2"/>
      <c r="D785" s="6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x14ac:dyDescent="0.25">
      <c r="B786" s="2"/>
      <c r="C786" s="2"/>
      <c r="D786" s="6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x14ac:dyDescent="0.25">
      <c r="B787" s="2"/>
      <c r="C787" s="2"/>
      <c r="D787" s="6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x14ac:dyDescent="0.25">
      <c r="B788" s="2"/>
      <c r="C788" s="2"/>
      <c r="D788" s="6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x14ac:dyDescent="0.25">
      <c r="B789" s="2"/>
      <c r="C789" s="2"/>
      <c r="D789" s="6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x14ac:dyDescent="0.25">
      <c r="B790" s="2"/>
      <c r="C790" s="2"/>
      <c r="D790" s="6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x14ac:dyDescent="0.25">
      <c r="B791" s="2"/>
      <c r="C791" s="2"/>
      <c r="D791" s="6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x14ac:dyDescent="0.25">
      <c r="B792" s="2"/>
      <c r="C792" s="2"/>
      <c r="D792" s="6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x14ac:dyDescent="0.25">
      <c r="B793" s="2"/>
      <c r="C793" s="2"/>
      <c r="D793" s="6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x14ac:dyDescent="0.25">
      <c r="B794" s="2"/>
      <c r="C794" s="2"/>
      <c r="D794" s="6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x14ac:dyDescent="0.25">
      <c r="B795" s="2"/>
      <c r="C795" s="2"/>
      <c r="D795" s="6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x14ac:dyDescent="0.25">
      <c r="B796" s="2"/>
      <c r="C796" s="2"/>
      <c r="D796" s="6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x14ac:dyDescent="0.25">
      <c r="B797" s="2"/>
      <c r="C797" s="2"/>
      <c r="D797" s="6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x14ac:dyDescent="0.25">
      <c r="B798" s="2"/>
      <c r="C798" s="2"/>
      <c r="D798" s="6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x14ac:dyDescent="0.25">
      <c r="B799" s="2"/>
      <c r="C799" s="2"/>
      <c r="D799" s="6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x14ac:dyDescent="0.25">
      <c r="B800" s="2"/>
      <c r="C800" s="2"/>
      <c r="D800" s="6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x14ac:dyDescent="0.25">
      <c r="B801" s="2"/>
      <c r="C801" s="2"/>
      <c r="D801" s="6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x14ac:dyDescent="0.25">
      <c r="B802" s="2"/>
      <c r="C802" s="2"/>
      <c r="D802" s="6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x14ac:dyDescent="0.25">
      <c r="B803" s="2"/>
      <c r="C803" s="2"/>
      <c r="D803" s="6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x14ac:dyDescent="0.25">
      <c r="B804" s="2"/>
      <c r="C804" s="2"/>
      <c r="D804" s="6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x14ac:dyDescent="0.25">
      <c r="B805" s="2"/>
      <c r="C805" s="2"/>
      <c r="D805" s="6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x14ac:dyDescent="0.25">
      <c r="B806" s="2"/>
      <c r="C806" s="2"/>
      <c r="D806" s="6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x14ac:dyDescent="0.25">
      <c r="B807" s="2"/>
      <c r="C807" s="2"/>
      <c r="D807" s="6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x14ac:dyDescent="0.25">
      <c r="B808" s="2"/>
      <c r="C808" s="2"/>
      <c r="D808" s="6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x14ac:dyDescent="0.25">
      <c r="B809" s="2"/>
      <c r="C809" s="2"/>
      <c r="D809" s="6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x14ac:dyDescent="0.25">
      <c r="B810" s="2"/>
      <c r="C810" s="2"/>
      <c r="D810" s="6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x14ac:dyDescent="0.25">
      <c r="B811" s="2"/>
      <c r="C811" s="2"/>
      <c r="D811" s="6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x14ac:dyDescent="0.25">
      <c r="B812" s="2"/>
      <c r="C812" s="2"/>
      <c r="D812" s="6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x14ac:dyDescent="0.25">
      <c r="B813" s="2"/>
      <c r="C813" s="2"/>
      <c r="D813" s="6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x14ac:dyDescent="0.25">
      <c r="B814" s="2"/>
      <c r="C814" s="2"/>
      <c r="D814" s="6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x14ac:dyDescent="0.25">
      <c r="B815" s="2"/>
      <c r="C815" s="2"/>
      <c r="D815" s="6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x14ac:dyDescent="0.25">
      <c r="B816" s="2"/>
      <c r="C816" s="2"/>
      <c r="D816" s="6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x14ac:dyDescent="0.25">
      <c r="B817" s="2"/>
      <c r="C817" s="2"/>
      <c r="D817" s="6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x14ac:dyDescent="0.25">
      <c r="B818" s="2"/>
      <c r="C818" s="2"/>
      <c r="D818" s="6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x14ac:dyDescent="0.25">
      <c r="B819" s="2"/>
      <c r="C819" s="2"/>
      <c r="D819" s="6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x14ac:dyDescent="0.25">
      <c r="B820" s="2"/>
      <c r="C820" s="2"/>
      <c r="D820" s="6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x14ac:dyDescent="0.25">
      <c r="B821" s="2"/>
      <c r="C821" s="2"/>
      <c r="D821" s="6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x14ac:dyDescent="0.25">
      <c r="B822" s="2"/>
      <c r="C822" s="2"/>
      <c r="D822" s="6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x14ac:dyDescent="0.25">
      <c r="B823" s="2"/>
      <c r="C823" s="2"/>
      <c r="D823" s="6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x14ac:dyDescent="0.25">
      <c r="B824" s="2"/>
      <c r="C824" s="2"/>
      <c r="D824" s="6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x14ac:dyDescent="0.25">
      <c r="B825" s="2"/>
      <c r="C825" s="2"/>
      <c r="D825" s="6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x14ac:dyDescent="0.25">
      <c r="B826" s="2"/>
      <c r="C826" s="2"/>
      <c r="D826" s="6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x14ac:dyDescent="0.25">
      <c r="B827" s="2"/>
      <c r="C827" s="2"/>
      <c r="D827" s="6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x14ac:dyDescent="0.25">
      <c r="B828" s="2"/>
      <c r="C828" s="2"/>
      <c r="D828" s="6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x14ac:dyDescent="0.25">
      <c r="B829" s="2"/>
      <c r="C829" s="2"/>
      <c r="D829" s="6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x14ac:dyDescent="0.25">
      <c r="B830" s="2"/>
      <c r="C830" s="2"/>
      <c r="D830" s="6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x14ac:dyDescent="0.25">
      <c r="B831" s="2"/>
      <c r="C831" s="2"/>
      <c r="D831" s="6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x14ac:dyDescent="0.25">
      <c r="B832" s="2"/>
      <c r="C832" s="2"/>
      <c r="D832" s="6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x14ac:dyDescent="0.25">
      <c r="B833" s="2"/>
      <c r="C833" s="2"/>
      <c r="D833" s="6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x14ac:dyDescent="0.25">
      <c r="B834" s="2"/>
      <c r="C834" s="2"/>
      <c r="D834" s="6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x14ac:dyDescent="0.25">
      <c r="B835" s="2"/>
      <c r="C835" s="2"/>
      <c r="D835" s="6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x14ac:dyDescent="0.25">
      <c r="B836" s="2"/>
      <c r="C836" s="2"/>
      <c r="D836" s="6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x14ac:dyDescent="0.25">
      <c r="B837" s="2"/>
      <c r="C837" s="2"/>
      <c r="D837" s="6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x14ac:dyDescent="0.25">
      <c r="B838" s="2"/>
      <c r="C838" s="2"/>
      <c r="D838" s="6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x14ac:dyDescent="0.25">
      <c r="B839" s="2"/>
      <c r="C839" s="2"/>
      <c r="D839" s="6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x14ac:dyDescent="0.25">
      <c r="B840" s="2"/>
      <c r="C840" s="2"/>
      <c r="D840" s="6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x14ac:dyDescent="0.25">
      <c r="B841" s="2"/>
      <c r="C841" s="2"/>
      <c r="D841" s="6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x14ac:dyDescent="0.25">
      <c r="B842" s="2"/>
      <c r="C842" s="2"/>
      <c r="D842" s="6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x14ac:dyDescent="0.25">
      <c r="B843" s="2"/>
      <c r="C843" s="2"/>
      <c r="D843" s="6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x14ac:dyDescent="0.25">
      <c r="B844" s="2"/>
      <c r="C844" s="2"/>
      <c r="D844" s="6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x14ac:dyDescent="0.25">
      <c r="B845" s="2"/>
      <c r="C845" s="2"/>
      <c r="D845" s="6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x14ac:dyDescent="0.25">
      <c r="B846" s="2"/>
      <c r="C846" s="2"/>
      <c r="D846" s="6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x14ac:dyDescent="0.25">
      <c r="B847" s="2"/>
      <c r="C847" s="2"/>
      <c r="D847" s="6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x14ac:dyDescent="0.25">
      <c r="B848" s="2"/>
      <c r="C848" s="2"/>
      <c r="D848" s="6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x14ac:dyDescent="0.25">
      <c r="B849" s="2"/>
      <c r="C849" s="2"/>
      <c r="D849" s="6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x14ac:dyDescent="0.25">
      <c r="B850" s="2"/>
      <c r="C850" s="2"/>
      <c r="D850" s="6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x14ac:dyDescent="0.25">
      <c r="B851" s="2"/>
      <c r="C851" s="2"/>
      <c r="D851" s="6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x14ac:dyDescent="0.25">
      <c r="B852" s="2"/>
      <c r="C852" s="2"/>
      <c r="D852" s="6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x14ac:dyDescent="0.25">
      <c r="B853" s="2"/>
      <c r="C853" s="2"/>
      <c r="D853" s="6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x14ac:dyDescent="0.25">
      <c r="B854" s="2"/>
      <c r="C854" s="2"/>
      <c r="D854" s="6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x14ac:dyDescent="0.25">
      <c r="B855" s="2"/>
      <c r="C855" s="2"/>
      <c r="D855" s="6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x14ac:dyDescent="0.25">
      <c r="B856" s="2"/>
      <c r="C856" s="2"/>
      <c r="D856" s="6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x14ac:dyDescent="0.25">
      <c r="B857" s="2"/>
      <c r="C857" s="2"/>
      <c r="D857" s="6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x14ac:dyDescent="0.25">
      <c r="B858" s="2"/>
      <c r="C858" s="2"/>
      <c r="D858" s="6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x14ac:dyDescent="0.25">
      <c r="B859" s="2"/>
      <c r="C859" s="2"/>
      <c r="D859" s="6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x14ac:dyDescent="0.25">
      <c r="B860" s="2"/>
      <c r="C860" s="2"/>
      <c r="D860" s="6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x14ac:dyDescent="0.25">
      <c r="B861" s="2"/>
      <c r="C861" s="2"/>
      <c r="D861" s="6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x14ac:dyDescent="0.25">
      <c r="B862" s="2"/>
      <c r="C862" s="2"/>
      <c r="D862" s="6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x14ac:dyDescent="0.25">
      <c r="B863" s="2"/>
      <c r="C863" s="2"/>
      <c r="D863" s="6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x14ac:dyDescent="0.25">
      <c r="B864" s="2"/>
      <c r="C864" s="2"/>
      <c r="D864" s="6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x14ac:dyDescent="0.25">
      <c r="B865" s="2"/>
      <c r="C865" s="2"/>
      <c r="D865" s="6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x14ac:dyDescent="0.25">
      <c r="B866" s="2"/>
      <c r="C866" s="2"/>
      <c r="D866" s="6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x14ac:dyDescent="0.25">
      <c r="B867" s="2"/>
      <c r="C867" s="2"/>
      <c r="D867" s="6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x14ac:dyDescent="0.25">
      <c r="B868" s="2"/>
      <c r="C868" s="2"/>
      <c r="D868" s="6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x14ac:dyDescent="0.25">
      <c r="B869" s="2"/>
      <c r="C869" s="2"/>
      <c r="D869" s="6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x14ac:dyDescent="0.25">
      <c r="B870" s="2"/>
      <c r="C870" s="2"/>
      <c r="D870" s="6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x14ac:dyDescent="0.25">
      <c r="B871" s="2"/>
      <c r="C871" s="2"/>
      <c r="D871" s="6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x14ac:dyDescent="0.25">
      <c r="B872" s="2"/>
      <c r="C872" s="2"/>
      <c r="D872" s="6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x14ac:dyDescent="0.25">
      <c r="B873" s="2"/>
      <c r="C873" s="2"/>
      <c r="D873" s="6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x14ac:dyDescent="0.25">
      <c r="B874" s="2"/>
      <c r="C874" s="2"/>
      <c r="D874" s="6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x14ac:dyDescent="0.25">
      <c r="B875" s="2"/>
      <c r="C875" s="2"/>
      <c r="D875" s="6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x14ac:dyDescent="0.25">
      <c r="B876" s="2"/>
      <c r="C876" s="2"/>
      <c r="D876" s="6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x14ac:dyDescent="0.25">
      <c r="B877" s="2"/>
      <c r="C877" s="2"/>
      <c r="D877" s="6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x14ac:dyDescent="0.25">
      <c r="B878" s="2"/>
      <c r="C878" s="2"/>
      <c r="D878" s="6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x14ac:dyDescent="0.25">
      <c r="B879" s="2"/>
      <c r="C879" s="2"/>
      <c r="D879" s="6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x14ac:dyDescent="0.25">
      <c r="B880" s="2"/>
      <c r="C880" s="2"/>
      <c r="D880" s="6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x14ac:dyDescent="0.25">
      <c r="B881" s="2"/>
      <c r="C881" s="2"/>
      <c r="D881" s="6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x14ac:dyDescent="0.25">
      <c r="B882" s="2"/>
      <c r="C882" s="2"/>
      <c r="D882" s="6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x14ac:dyDescent="0.25">
      <c r="B883" s="2"/>
      <c r="C883" s="2"/>
      <c r="D883" s="6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x14ac:dyDescent="0.25">
      <c r="B884" s="2"/>
      <c r="C884" s="2"/>
      <c r="D884" s="6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x14ac:dyDescent="0.25">
      <c r="B885" s="2"/>
      <c r="C885" s="2"/>
      <c r="D885" s="6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x14ac:dyDescent="0.25">
      <c r="B886" s="2"/>
      <c r="C886" s="2"/>
      <c r="D886" s="6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x14ac:dyDescent="0.25">
      <c r="B887" s="2"/>
      <c r="C887" s="2"/>
      <c r="D887" s="6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x14ac:dyDescent="0.25">
      <c r="B888" s="2"/>
      <c r="C888" s="2"/>
      <c r="D888" s="6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x14ac:dyDescent="0.25">
      <c r="B889" s="2"/>
      <c r="C889" s="2"/>
      <c r="D889" s="6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x14ac:dyDescent="0.25">
      <c r="B890" s="2"/>
      <c r="C890" s="2"/>
      <c r="D890" s="6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x14ac:dyDescent="0.25">
      <c r="B891" s="2"/>
      <c r="C891" s="2"/>
      <c r="D891" s="6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x14ac:dyDescent="0.25">
      <c r="B892" s="2"/>
      <c r="C892" s="2"/>
      <c r="D892" s="6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x14ac:dyDescent="0.25">
      <c r="B893" s="2"/>
      <c r="C893" s="2"/>
      <c r="D893" s="6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x14ac:dyDescent="0.25">
      <c r="B894" s="2"/>
      <c r="C894" s="2"/>
      <c r="D894" s="6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x14ac:dyDescent="0.25">
      <c r="B895" s="2"/>
      <c r="C895" s="2"/>
      <c r="D895" s="6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x14ac:dyDescent="0.25">
      <c r="B896" s="2"/>
      <c r="C896" s="2"/>
      <c r="D896" s="6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x14ac:dyDescent="0.25">
      <c r="B897" s="2"/>
      <c r="C897" s="2"/>
      <c r="D897" s="6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x14ac:dyDescent="0.25">
      <c r="B898" s="2"/>
      <c r="C898" s="2"/>
      <c r="D898" s="6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x14ac:dyDescent="0.25">
      <c r="B899" s="2"/>
      <c r="C899" s="2"/>
      <c r="D899" s="6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x14ac:dyDescent="0.25">
      <c r="B900" s="2"/>
      <c r="C900" s="2"/>
      <c r="D900" s="6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x14ac:dyDescent="0.25">
      <c r="B901" s="2"/>
      <c r="C901" s="2"/>
      <c r="D901" s="6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x14ac:dyDescent="0.25">
      <c r="B902" s="2"/>
      <c r="C902" s="2"/>
      <c r="D902" s="6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x14ac:dyDescent="0.25">
      <c r="B903" s="2"/>
      <c r="C903" s="2"/>
      <c r="D903" s="6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x14ac:dyDescent="0.25">
      <c r="B904" s="2"/>
      <c r="C904" s="2"/>
      <c r="D904" s="6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x14ac:dyDescent="0.25">
      <c r="B905" s="2"/>
      <c r="C905" s="2"/>
      <c r="D905" s="6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x14ac:dyDescent="0.25">
      <c r="B906" s="2"/>
      <c r="C906" s="2"/>
      <c r="D906" s="6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x14ac:dyDescent="0.25">
      <c r="B907" s="2"/>
      <c r="C907" s="2"/>
      <c r="D907" s="6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x14ac:dyDescent="0.25">
      <c r="B908" s="2"/>
      <c r="C908" s="2"/>
      <c r="D908" s="6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x14ac:dyDescent="0.25">
      <c r="B909" s="2"/>
      <c r="C909" s="2"/>
      <c r="D909" s="6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x14ac:dyDescent="0.25">
      <c r="B910" s="2"/>
      <c r="C910" s="2"/>
      <c r="D910" s="6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x14ac:dyDescent="0.25">
      <c r="B911" s="2"/>
      <c r="C911" s="2"/>
      <c r="D911" s="6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x14ac:dyDescent="0.25">
      <c r="B912" s="2"/>
      <c r="C912" s="2"/>
      <c r="D912" s="6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x14ac:dyDescent="0.25">
      <c r="B913" s="2"/>
      <c r="C913" s="2"/>
      <c r="D913" s="6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x14ac:dyDescent="0.25">
      <c r="B914" s="2"/>
      <c r="C914" s="2"/>
      <c r="D914" s="6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x14ac:dyDescent="0.25">
      <c r="B915" s="2"/>
      <c r="C915" s="2"/>
      <c r="D915" s="6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x14ac:dyDescent="0.25">
      <c r="B916" s="2"/>
      <c r="C916" s="2"/>
      <c r="D916" s="6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x14ac:dyDescent="0.25">
      <c r="B917" s="2"/>
      <c r="C917" s="2"/>
      <c r="D917" s="6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x14ac:dyDescent="0.25">
      <c r="B918" s="2"/>
      <c r="C918" s="2"/>
      <c r="D918" s="6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x14ac:dyDescent="0.25">
      <c r="B919" s="2"/>
      <c r="C919" s="2"/>
      <c r="D919" s="6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x14ac:dyDescent="0.25">
      <c r="B920" s="2"/>
      <c r="C920" s="2"/>
      <c r="D920" s="6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x14ac:dyDescent="0.25">
      <c r="B921" s="2"/>
      <c r="C921" s="2"/>
      <c r="D921" s="6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x14ac:dyDescent="0.25">
      <c r="B922" s="2"/>
      <c r="C922" s="2"/>
      <c r="D922" s="6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x14ac:dyDescent="0.25">
      <c r="B923" s="2"/>
      <c r="C923" s="2"/>
      <c r="D923" s="6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x14ac:dyDescent="0.25">
      <c r="B924" s="2"/>
      <c r="C924" s="2"/>
      <c r="D924" s="6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x14ac:dyDescent="0.25">
      <c r="B925" s="2"/>
      <c r="C925" s="2"/>
      <c r="D925" s="6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x14ac:dyDescent="0.25">
      <c r="B926" s="2"/>
      <c r="C926" s="2"/>
      <c r="D926" s="6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x14ac:dyDescent="0.25">
      <c r="B927" s="2"/>
      <c r="C927" s="2"/>
      <c r="D927" s="6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x14ac:dyDescent="0.25">
      <c r="B928" s="2"/>
      <c r="C928" s="2"/>
      <c r="D928" s="6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x14ac:dyDescent="0.25">
      <c r="B929" s="2"/>
      <c r="C929" s="2"/>
      <c r="D929" s="6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x14ac:dyDescent="0.25">
      <c r="B930" s="2"/>
      <c r="C930" s="2"/>
      <c r="D930" s="6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x14ac:dyDescent="0.25">
      <c r="B931" s="2"/>
      <c r="C931" s="2"/>
      <c r="D931" s="6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x14ac:dyDescent="0.25">
      <c r="B932" s="2"/>
      <c r="C932" s="2"/>
      <c r="D932" s="6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x14ac:dyDescent="0.25">
      <c r="B933" s="2"/>
      <c r="C933" s="2"/>
      <c r="D933" s="6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x14ac:dyDescent="0.25">
      <c r="B934" s="2"/>
      <c r="C934" s="2"/>
      <c r="D934" s="6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x14ac:dyDescent="0.25">
      <c r="B935" s="2"/>
      <c r="C935" s="2"/>
      <c r="D935" s="6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x14ac:dyDescent="0.25">
      <c r="B936" s="2"/>
      <c r="C936" s="2"/>
      <c r="D936" s="6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x14ac:dyDescent="0.25">
      <c r="B937" s="2"/>
      <c r="C937" s="2"/>
      <c r="D937" s="6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x14ac:dyDescent="0.25">
      <c r="B938" s="2"/>
      <c r="C938" s="2"/>
      <c r="D938" s="6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x14ac:dyDescent="0.25">
      <c r="B939" s="2"/>
      <c r="C939" s="2"/>
      <c r="D939" s="6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x14ac:dyDescent="0.25">
      <c r="B940" s="2"/>
      <c r="C940" s="2"/>
      <c r="D940" s="6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x14ac:dyDescent="0.25">
      <c r="B941" s="2"/>
      <c r="C941" s="2"/>
      <c r="D941" s="6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x14ac:dyDescent="0.25">
      <c r="B942" s="2"/>
      <c r="C942" s="2"/>
      <c r="D942" s="6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x14ac:dyDescent="0.25">
      <c r="B943" s="2"/>
      <c r="C943" s="2"/>
      <c r="D943" s="6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x14ac:dyDescent="0.25">
      <c r="B944" s="2"/>
      <c r="C944" s="2"/>
      <c r="D944" s="6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x14ac:dyDescent="0.25">
      <c r="B945" s="2"/>
      <c r="C945" s="2"/>
      <c r="D945" s="6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x14ac:dyDescent="0.25">
      <c r="B946" s="2"/>
      <c r="C946" s="2"/>
      <c r="D946" s="6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x14ac:dyDescent="0.25">
      <c r="B947" s="2"/>
      <c r="C947" s="2"/>
      <c r="D947" s="6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x14ac:dyDescent="0.25">
      <c r="B948" s="2"/>
      <c r="C948" s="2"/>
      <c r="D948" s="6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x14ac:dyDescent="0.25">
      <c r="B949" s="2"/>
      <c r="C949" s="2"/>
      <c r="D949" s="6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x14ac:dyDescent="0.25">
      <c r="B950" s="2"/>
      <c r="C950" s="2"/>
      <c r="D950" s="6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x14ac:dyDescent="0.25">
      <c r="B951" s="2"/>
      <c r="C951" s="2"/>
      <c r="D951" s="6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x14ac:dyDescent="0.25">
      <c r="B952" s="2"/>
      <c r="C952" s="2"/>
      <c r="D952" s="6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x14ac:dyDescent="0.25">
      <c r="B953" s="2"/>
      <c r="C953" s="2"/>
      <c r="D953" s="6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x14ac:dyDescent="0.25">
      <c r="B954" s="2"/>
      <c r="C954" s="2"/>
      <c r="D954" s="6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x14ac:dyDescent="0.25">
      <c r="B955" s="2"/>
      <c r="C955" s="2"/>
      <c r="D955" s="6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x14ac:dyDescent="0.25">
      <c r="B956" s="2"/>
      <c r="C956" s="2"/>
      <c r="D956" s="6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x14ac:dyDescent="0.25">
      <c r="B957" s="2"/>
      <c r="C957" s="2"/>
      <c r="D957" s="6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x14ac:dyDescent="0.25">
      <c r="B958" s="2"/>
      <c r="C958" s="2"/>
      <c r="D958" s="6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x14ac:dyDescent="0.25">
      <c r="B959" s="2"/>
      <c r="C959" s="2"/>
      <c r="D959" s="6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x14ac:dyDescent="0.25">
      <c r="B960" s="2"/>
      <c r="C960" s="2"/>
      <c r="D960" s="6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x14ac:dyDescent="0.25">
      <c r="B961" s="2"/>
      <c r="C961" s="2"/>
      <c r="D961" s="6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x14ac:dyDescent="0.25">
      <c r="B962" s="2"/>
      <c r="C962" s="2"/>
      <c r="D962" s="6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x14ac:dyDescent="0.25">
      <c r="B963" s="2"/>
      <c r="C963" s="2"/>
      <c r="D963" s="6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x14ac:dyDescent="0.25">
      <c r="B964" s="2"/>
      <c r="C964" s="2"/>
      <c r="D964" s="6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x14ac:dyDescent="0.25">
      <c r="B965" s="2"/>
      <c r="C965" s="2"/>
      <c r="D965" s="6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x14ac:dyDescent="0.25">
      <c r="B966" s="2"/>
      <c r="C966" s="2"/>
      <c r="D966" s="6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x14ac:dyDescent="0.25">
      <c r="B967" s="2"/>
      <c r="C967" s="2"/>
      <c r="D967" s="6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x14ac:dyDescent="0.25">
      <c r="B968" s="2"/>
      <c r="C968" s="2"/>
      <c r="D968" s="6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x14ac:dyDescent="0.25">
      <c r="B969" s="2"/>
      <c r="C969" s="2"/>
      <c r="D969" s="6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x14ac:dyDescent="0.25">
      <c r="B970" s="2"/>
      <c r="C970" s="2"/>
      <c r="D970" s="6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x14ac:dyDescent="0.25">
      <c r="B971" s="2"/>
      <c r="C971" s="2"/>
      <c r="D971" s="6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x14ac:dyDescent="0.25">
      <c r="B972" s="2"/>
      <c r="C972" s="2"/>
      <c r="D972" s="6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x14ac:dyDescent="0.25">
      <c r="B973" s="2"/>
      <c r="C973" s="2"/>
      <c r="D973" s="6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x14ac:dyDescent="0.25">
      <c r="B974" s="2"/>
      <c r="C974" s="2"/>
      <c r="D974" s="6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x14ac:dyDescent="0.25">
      <c r="B975" s="2"/>
      <c r="C975" s="2"/>
      <c r="D975" s="6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x14ac:dyDescent="0.25">
      <c r="B976" s="2"/>
      <c r="C976" s="2"/>
      <c r="D976" s="6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x14ac:dyDescent="0.25">
      <c r="B977" s="2"/>
      <c r="C977" s="2"/>
      <c r="D977" s="6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x14ac:dyDescent="0.25">
      <c r="B978" s="2"/>
      <c r="C978" s="2"/>
      <c r="D978" s="6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x14ac:dyDescent="0.25">
      <c r="B979" s="2"/>
      <c r="C979" s="2"/>
      <c r="D979" s="6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x14ac:dyDescent="0.25">
      <c r="B980" s="2"/>
      <c r="C980" s="2"/>
      <c r="D980" s="6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x14ac:dyDescent="0.25">
      <c r="B981" s="2"/>
      <c r="C981" s="2"/>
      <c r="D981" s="6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x14ac:dyDescent="0.25">
      <c r="B982" s="2"/>
      <c r="C982" s="2"/>
      <c r="D982" s="6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x14ac:dyDescent="0.25">
      <c r="B983" s="2"/>
      <c r="C983" s="2"/>
      <c r="D983" s="6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x14ac:dyDescent="0.25">
      <c r="B984" s="2"/>
      <c r="C984" s="2"/>
      <c r="D984" s="6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x14ac:dyDescent="0.25">
      <c r="B985" s="2"/>
      <c r="C985" s="2"/>
      <c r="D985" s="6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x14ac:dyDescent="0.25">
      <c r="B986" s="2"/>
      <c r="C986" s="2"/>
      <c r="D986" s="6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x14ac:dyDescent="0.25">
      <c r="B987" s="2"/>
      <c r="C987" s="2"/>
      <c r="D987" s="6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x14ac:dyDescent="0.25">
      <c r="B988" s="2"/>
      <c r="C988" s="2"/>
      <c r="D988" s="6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x14ac:dyDescent="0.25">
      <c r="B989" s="2"/>
      <c r="C989" s="2"/>
      <c r="D989" s="6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x14ac:dyDescent="0.25">
      <c r="B990" s="2"/>
      <c r="C990" s="2"/>
      <c r="D990" s="6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x14ac:dyDescent="0.25">
      <c r="B991" s="2"/>
      <c r="C991" s="2"/>
      <c r="D991" s="6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x14ac:dyDescent="0.25">
      <c r="B992" s="2"/>
      <c r="C992" s="2"/>
      <c r="D992" s="6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x14ac:dyDescent="0.25">
      <c r="B993" s="2"/>
      <c r="C993" s="2"/>
      <c r="D993" s="6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x14ac:dyDescent="0.25">
      <c r="B994" s="2"/>
      <c r="C994" s="2"/>
      <c r="D994" s="6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x14ac:dyDescent="0.25">
      <c r="B995" s="2"/>
      <c r="C995" s="2"/>
      <c r="D995" s="6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x14ac:dyDescent="0.25">
      <c r="B996" s="2"/>
      <c r="C996" s="2"/>
      <c r="D996" s="6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x14ac:dyDescent="0.25">
      <c r="B997" s="2"/>
      <c r="C997" s="2"/>
      <c r="D997" s="6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x14ac:dyDescent="0.25">
      <c r="B998" s="2"/>
      <c r="C998" s="2"/>
      <c r="D998" s="6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x14ac:dyDescent="0.25">
      <c r="B999" s="2"/>
      <c r="C999" s="2"/>
      <c r="D999" s="6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x14ac:dyDescent="0.25">
      <c r="B1000" s="2"/>
      <c r="C1000" s="2"/>
      <c r="D1000" s="6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x14ac:dyDescent="0.25">
      <c r="B1001" s="2"/>
      <c r="C1001" s="2"/>
      <c r="D1001" s="6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2:27" x14ac:dyDescent="0.25">
      <c r="B1002" s="2"/>
      <c r="C1002" s="2"/>
      <c r="D1002" s="6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2:27" x14ac:dyDescent="0.25">
      <c r="B1003" s="2"/>
      <c r="C1003" s="2"/>
      <c r="D1003" s="6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2:27" x14ac:dyDescent="0.25">
      <c r="B1004" s="2"/>
      <c r="C1004" s="2"/>
      <c r="D1004" s="6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2:27" x14ac:dyDescent="0.25">
      <c r="B1005" s="2"/>
      <c r="C1005" s="2"/>
      <c r="D1005" s="6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2:27" x14ac:dyDescent="0.25">
      <c r="B1006" s="2"/>
      <c r="C1006" s="2"/>
      <c r="D1006" s="6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2:27" x14ac:dyDescent="0.25">
      <c r="B1007" s="2"/>
      <c r="C1007" s="2"/>
      <c r="D1007" s="6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2:27" x14ac:dyDescent="0.25">
      <c r="B1008" s="2"/>
      <c r="C1008" s="2"/>
      <c r="D1008" s="6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2:27" x14ac:dyDescent="0.25">
      <c r="B1009" s="2"/>
      <c r="C1009" s="2"/>
      <c r="D1009" s="6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2:27" x14ac:dyDescent="0.25">
      <c r="B1010" s="2"/>
      <c r="C1010" s="2"/>
      <c r="D1010" s="6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2:27" x14ac:dyDescent="0.25">
      <c r="B1011" s="2"/>
      <c r="C1011" s="2"/>
      <c r="D1011" s="6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2:27" x14ac:dyDescent="0.25">
      <c r="B1012" s="2"/>
      <c r="C1012" s="2"/>
      <c r="D1012" s="6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2:27" x14ac:dyDescent="0.25">
      <c r="B1013" s="2"/>
      <c r="C1013" s="2"/>
      <c r="D1013" s="6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2:27" x14ac:dyDescent="0.25">
      <c r="B1014" s="2"/>
      <c r="C1014" s="2"/>
      <c r="D1014" s="6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2:27" x14ac:dyDescent="0.25">
      <c r="B1015" s="2"/>
      <c r="C1015" s="2"/>
      <c r="D1015" s="6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2:27" x14ac:dyDescent="0.25">
      <c r="B1016" s="2"/>
      <c r="C1016" s="2"/>
      <c r="D1016" s="6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2:27" x14ac:dyDescent="0.25">
      <c r="B1017" s="2"/>
      <c r="C1017" s="2"/>
      <c r="D1017" s="6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2:27" x14ac:dyDescent="0.25">
      <c r="B1018" s="2"/>
      <c r="C1018" s="2"/>
      <c r="D1018" s="6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2:27" x14ac:dyDescent="0.25">
      <c r="B1019" s="2"/>
      <c r="C1019" s="2"/>
      <c r="D1019" s="6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</sheetData>
  <mergeCells count="2">
    <mergeCell ref="E4:I4"/>
    <mergeCell ref="J4:N4"/>
  </mergeCells>
  <conditionalFormatting sqref="E6:N6">
    <cfRule type="containsText" dxfId="2" priority="1" operator="containsText" text="OK">
      <formula>NOT(ISERROR(SEARCH(("OK"),(E6))))</formula>
    </cfRule>
    <cfRule type="containsText" dxfId="1" priority="2" operator="containsText" text="ERROR">
      <formula>NOT(ISERROR(SEARCH(("ERROR"),(E6))))</formula>
    </cfRule>
  </conditionalFormatting>
  <pageMargins left="0.70866141732283472" right="0.70866141732283472" top="0.74803149606299213" bottom="0.74803149606299213" header="0" footer="0"/>
  <pageSetup scale="78" orientation="landscape" r:id="rId1"/>
  <ignoredErrors>
    <ignoredError sqref="E34:I34 E92:I92 E55:I55 E87:I87 E95 F95:H95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"/>
  <sheetViews>
    <sheetView workbookViewId="0">
      <selection activeCell="M28" sqref="M28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32"/>
  <sheetViews>
    <sheetView showGridLines="0" workbookViewId="0">
      <selection activeCell="J23" sqref="J23"/>
    </sheetView>
  </sheetViews>
  <sheetFormatPr defaultRowHeight="15" x14ac:dyDescent="0.25"/>
  <cols>
    <col min="1" max="1" width="2.7109375" customWidth="1"/>
    <col min="2" max="2" width="22" customWidth="1"/>
    <col min="3" max="3" width="10.7109375" customWidth="1"/>
    <col min="7" max="9" width="11.42578125" bestFit="1" customWidth="1"/>
    <col min="12" max="12" width="10.140625" bestFit="1" customWidth="1"/>
    <col min="13" max="14" width="11.7109375" bestFit="1" customWidth="1"/>
  </cols>
  <sheetData>
    <row r="2" spans="1:16" x14ac:dyDescent="0.25">
      <c r="B2" s="29" t="s">
        <v>72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6" x14ac:dyDescent="0.25">
      <c r="B3" s="35" t="s">
        <v>82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6" spans="1:16" x14ac:dyDescent="0.25">
      <c r="B6" s="31" t="s">
        <v>18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</row>
    <row r="7" spans="1:16" x14ac:dyDescent="0.25">
      <c r="B7" s="30" t="s">
        <v>74</v>
      </c>
      <c r="K7" s="69"/>
      <c r="L7" s="69"/>
      <c r="M7" s="69"/>
      <c r="N7" s="69"/>
      <c r="O7" s="69"/>
      <c r="P7" s="69"/>
    </row>
    <row r="8" spans="1:16" x14ac:dyDescent="0.25">
      <c r="B8" s="40" t="s">
        <v>87</v>
      </c>
      <c r="K8" s="69"/>
      <c r="L8" s="69" t="s">
        <v>79</v>
      </c>
      <c r="M8" s="69" t="s">
        <v>80</v>
      </c>
      <c r="N8" s="69"/>
      <c r="O8" s="69"/>
      <c r="P8" s="69"/>
    </row>
    <row r="9" spans="1:16" x14ac:dyDescent="0.25">
      <c r="A9">
        <v>1</v>
      </c>
      <c r="B9" s="30" t="s">
        <v>75</v>
      </c>
      <c r="C9" s="33" t="s">
        <v>77</v>
      </c>
      <c r="D9" s="43">
        <v>2.1000000000000001E-2</v>
      </c>
      <c r="K9" s="69"/>
      <c r="L9" s="69">
        <v>2025</v>
      </c>
      <c r="M9" s="69">
        <v>2033</v>
      </c>
      <c r="N9" s="69"/>
      <c r="O9" s="69"/>
      <c r="P9" s="69"/>
    </row>
    <row r="10" spans="1:16" x14ac:dyDescent="0.25">
      <c r="A10">
        <v>2</v>
      </c>
      <c r="B10" s="30" t="s">
        <v>76</v>
      </c>
      <c r="C10" s="34" t="s">
        <v>77</v>
      </c>
      <c r="D10" s="43">
        <v>4.2200000000000001E-2</v>
      </c>
      <c r="K10" s="69"/>
      <c r="L10" s="69">
        <v>2025</v>
      </c>
      <c r="M10" s="69" t="s">
        <v>81</v>
      </c>
      <c r="N10" s="69"/>
      <c r="O10" s="69"/>
      <c r="P10" s="69"/>
    </row>
    <row r="11" spans="1:16" x14ac:dyDescent="0.25">
      <c r="A11">
        <v>3</v>
      </c>
      <c r="B11" s="30" t="s">
        <v>78</v>
      </c>
      <c r="C11" s="34" t="s">
        <v>77</v>
      </c>
      <c r="D11" s="44">
        <v>4.3162731065849336E-2</v>
      </c>
      <c r="K11" s="69"/>
      <c r="L11" s="69">
        <v>2025</v>
      </c>
      <c r="M11" s="69">
        <v>2029</v>
      </c>
      <c r="N11" s="69"/>
      <c r="O11" s="69"/>
      <c r="P11" s="69"/>
    </row>
    <row r="12" spans="1:16" x14ac:dyDescent="0.25">
      <c r="D12" s="44"/>
      <c r="K12" s="69"/>
      <c r="L12" s="69">
        <v>14.01</v>
      </c>
      <c r="M12" s="69">
        <v>16.59</v>
      </c>
      <c r="N12" s="69"/>
      <c r="O12" s="69"/>
      <c r="P12" s="69"/>
    </row>
    <row r="13" spans="1:16" x14ac:dyDescent="0.25">
      <c r="D13" s="44"/>
      <c r="K13" s="69"/>
      <c r="L13" s="69"/>
      <c r="M13" s="69"/>
      <c r="N13" s="69"/>
      <c r="O13" s="69"/>
      <c r="P13" s="69"/>
    </row>
    <row r="14" spans="1:16" x14ac:dyDescent="0.25">
      <c r="B14" s="30" t="s">
        <v>83</v>
      </c>
      <c r="D14" s="44"/>
      <c r="K14" s="69"/>
      <c r="L14" s="69"/>
      <c r="M14" s="69"/>
      <c r="N14" s="69"/>
      <c r="O14" s="69"/>
      <c r="P14" s="69"/>
    </row>
    <row r="15" spans="1:16" x14ac:dyDescent="0.25">
      <c r="A15">
        <v>1</v>
      </c>
      <c r="B15" s="30" t="s">
        <v>84</v>
      </c>
      <c r="C15" t="s">
        <v>77</v>
      </c>
      <c r="D15" s="44">
        <v>7.3999534450550852E-2</v>
      </c>
      <c r="K15" s="69"/>
      <c r="L15" s="69">
        <v>2025</v>
      </c>
      <c r="M15" s="69">
        <v>2026</v>
      </c>
      <c r="N15" s="69">
        <v>2027</v>
      </c>
      <c r="O15" s="69"/>
      <c r="P15" s="69"/>
    </row>
    <row r="16" spans="1:16" x14ac:dyDescent="0.25">
      <c r="A16">
        <v>2</v>
      </c>
      <c r="B16" s="30" t="s">
        <v>85</v>
      </c>
      <c r="C16" t="s">
        <v>77</v>
      </c>
      <c r="D16" s="44">
        <v>0.1036218679935208</v>
      </c>
      <c r="K16" s="69"/>
      <c r="L16" s="69">
        <v>6.7000000000000004E-2</v>
      </c>
      <c r="M16" s="69">
        <v>7.2999999999999995E-2</v>
      </c>
      <c r="N16" s="69">
        <v>7.4999999999999997E-2</v>
      </c>
      <c r="O16" s="69"/>
      <c r="P16" s="69">
        <v>100</v>
      </c>
    </row>
    <row r="17" spans="1:16" x14ac:dyDescent="0.25">
      <c r="C17" t="s">
        <v>77</v>
      </c>
      <c r="D17" s="44">
        <v>0.14899999999999999</v>
      </c>
      <c r="K17" s="69"/>
      <c r="L17" s="69"/>
      <c r="M17" s="69"/>
      <c r="N17" s="69"/>
      <c r="O17" s="69"/>
      <c r="P17" s="69"/>
    </row>
    <row r="18" spans="1:16" x14ac:dyDescent="0.25">
      <c r="A18">
        <v>3</v>
      </c>
      <c r="B18" s="30" t="s">
        <v>86</v>
      </c>
      <c r="C18" t="s">
        <v>77</v>
      </c>
      <c r="D18" s="44">
        <v>0.10041664118782889</v>
      </c>
      <c r="K18" s="69"/>
      <c r="L18" s="69">
        <v>106.69999999999999</v>
      </c>
      <c r="M18" s="69">
        <v>114.48909999999998</v>
      </c>
      <c r="N18" s="69">
        <v>123.07578249999997</v>
      </c>
      <c r="O18" s="69"/>
      <c r="P18" s="69"/>
    </row>
    <row r="19" spans="1:16" x14ac:dyDescent="0.25">
      <c r="A19">
        <v>4</v>
      </c>
      <c r="B19" s="30" t="s">
        <v>90</v>
      </c>
      <c r="C19" t="s">
        <v>77</v>
      </c>
      <c r="D19" s="44">
        <v>0.114</v>
      </c>
      <c r="K19" s="69"/>
      <c r="L19" s="69"/>
      <c r="M19" s="69"/>
      <c r="N19" s="69"/>
      <c r="O19" s="69"/>
      <c r="P19" s="69"/>
    </row>
    <row r="20" spans="1:16" x14ac:dyDescent="0.25">
      <c r="A20">
        <v>5</v>
      </c>
      <c r="B20" s="30" t="s">
        <v>91</v>
      </c>
      <c r="C20" t="s">
        <v>77</v>
      </c>
      <c r="D20" s="44">
        <f>_xlfn.RRI(2,L29,N29)</f>
        <v>9.0121264756012121E-2</v>
      </c>
      <c r="K20" s="69"/>
      <c r="L20" s="69"/>
      <c r="M20" s="69"/>
      <c r="N20" s="69"/>
      <c r="O20" s="69"/>
      <c r="P20" s="69"/>
    </row>
    <row r="21" spans="1:16" x14ac:dyDescent="0.25">
      <c r="B21" s="30"/>
      <c r="D21" s="44"/>
      <c r="K21" s="69"/>
      <c r="L21" s="69"/>
      <c r="M21" s="69"/>
      <c r="N21" s="69"/>
      <c r="O21" s="69"/>
      <c r="P21" s="69"/>
    </row>
    <row r="22" spans="1:16" x14ac:dyDescent="0.25">
      <c r="B22" s="30" t="s">
        <v>89</v>
      </c>
      <c r="D22" s="44"/>
      <c r="K22" s="69"/>
      <c r="L22" s="69"/>
      <c r="M22" s="69"/>
      <c r="N22" s="69"/>
      <c r="O22" s="69"/>
      <c r="P22" s="69"/>
    </row>
    <row r="23" spans="1:16" x14ac:dyDescent="0.25">
      <c r="A23">
        <v>1</v>
      </c>
      <c r="B23" t="s">
        <v>88</v>
      </c>
      <c r="C23" t="s">
        <v>77</v>
      </c>
      <c r="D23" s="44">
        <f>_xlfn.RRI(2,L26,N26)</f>
        <v>8.9378447040290743E-2</v>
      </c>
      <c r="E23" s="40" t="s">
        <v>190</v>
      </c>
      <c r="K23" s="69"/>
      <c r="L23" s="69">
        <v>75323</v>
      </c>
      <c r="M23" s="69">
        <v>84276</v>
      </c>
      <c r="N23" s="69">
        <v>91742</v>
      </c>
      <c r="O23" s="69"/>
      <c r="P23" s="69"/>
    </row>
    <row r="24" spans="1:16" x14ac:dyDescent="0.25">
      <c r="C24" t="s">
        <v>77</v>
      </c>
      <c r="D24" s="44">
        <f>_xlfn.RRI(2,L27,N27)</f>
        <v>0.13339462389112566</v>
      </c>
      <c r="E24" s="40" t="s">
        <v>191</v>
      </c>
      <c r="K24" s="69"/>
      <c r="L24" s="69">
        <v>70900</v>
      </c>
      <c r="M24" s="69">
        <v>78000</v>
      </c>
      <c r="N24" s="69">
        <v>85854</v>
      </c>
      <c r="O24" s="69"/>
      <c r="P24" s="69"/>
    </row>
    <row r="25" spans="1:16" x14ac:dyDescent="0.25">
      <c r="C25" t="s">
        <v>77</v>
      </c>
      <c r="D25" s="44">
        <f>_xlfn.RRI(2,L28,N28)</f>
        <v>6.1472794978177925E-2</v>
      </c>
      <c r="E25" s="40" t="s">
        <v>192</v>
      </c>
      <c r="K25" s="69"/>
      <c r="L25" s="69"/>
      <c r="M25" s="69"/>
      <c r="N25" s="69"/>
      <c r="O25" s="69"/>
      <c r="P25" s="69"/>
    </row>
    <row r="26" spans="1:16" x14ac:dyDescent="0.25">
      <c r="D26" s="44"/>
      <c r="K26" s="69"/>
      <c r="L26" s="69">
        <v>70600.399999999994</v>
      </c>
      <c r="M26" s="69">
        <v>76381.8</v>
      </c>
      <c r="N26" s="69">
        <v>83784.7</v>
      </c>
      <c r="O26" s="69"/>
      <c r="P26" s="69"/>
    </row>
    <row r="27" spans="1:16" x14ac:dyDescent="0.25">
      <c r="B27" s="30" t="s">
        <v>93</v>
      </c>
      <c r="D27" s="44"/>
      <c r="K27" s="69"/>
      <c r="L27" s="69">
        <v>70600.399999999994</v>
      </c>
      <c r="M27" s="69">
        <v>79571.5</v>
      </c>
      <c r="N27" s="69">
        <v>90692.1</v>
      </c>
      <c r="O27" s="69"/>
      <c r="P27" s="69"/>
    </row>
    <row r="28" spans="1:16" x14ac:dyDescent="0.25">
      <c r="A28">
        <v>1</v>
      </c>
      <c r="B28" t="s">
        <v>92</v>
      </c>
      <c r="C28" t="s">
        <v>77</v>
      </c>
      <c r="D28" s="44">
        <v>0.114</v>
      </c>
      <c r="K28" s="69"/>
      <c r="L28" s="69">
        <v>70600.399999999994</v>
      </c>
      <c r="M28" s="69">
        <v>73833.2</v>
      </c>
      <c r="N28" s="69">
        <v>79547.199999999997</v>
      </c>
      <c r="O28" s="69"/>
      <c r="P28" s="69"/>
    </row>
    <row r="29" spans="1:16" x14ac:dyDescent="0.25">
      <c r="K29" s="69"/>
      <c r="L29" s="69">
        <v>70600.399999999994</v>
      </c>
      <c r="M29" s="69">
        <v>75967</v>
      </c>
      <c r="N29" s="69">
        <v>83899</v>
      </c>
      <c r="O29" s="69"/>
      <c r="P29" s="69"/>
    </row>
    <row r="30" spans="1:16" x14ac:dyDescent="0.25">
      <c r="K30" s="69"/>
      <c r="L30" s="69"/>
      <c r="M30" s="69"/>
      <c r="N30" s="69"/>
      <c r="O30" s="69"/>
      <c r="P30" s="69"/>
    </row>
    <row r="31" spans="1:16" x14ac:dyDescent="0.25">
      <c r="B31" s="30" t="s">
        <v>182</v>
      </c>
      <c r="C31" s="30"/>
      <c r="D31" s="71">
        <f>AVERAGE(D15:D28)</f>
        <v>0.1029405174297507</v>
      </c>
    </row>
    <row r="32" spans="1:16" x14ac:dyDescent="0.25">
      <c r="B32" s="30" t="s">
        <v>183</v>
      </c>
      <c r="D32" s="71">
        <f>MEDIAN(D14:D27)</f>
        <v>0.10041664118782889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S106"/>
  <sheetViews>
    <sheetView showGridLines="0" workbookViewId="0">
      <selection activeCell="B5" sqref="B5"/>
    </sheetView>
  </sheetViews>
  <sheetFormatPr defaultRowHeight="15" x14ac:dyDescent="0.25"/>
  <cols>
    <col min="1" max="1" width="2.7109375" customWidth="1"/>
    <col min="2" max="2" width="22" customWidth="1"/>
    <col min="3" max="3" width="17" customWidth="1"/>
    <col min="4" max="4" width="11.140625" customWidth="1"/>
    <col min="7" max="7" width="25.7109375" customWidth="1"/>
    <col min="9" max="9" width="9.140625" customWidth="1"/>
    <col min="10" max="14" width="10.140625" customWidth="1"/>
  </cols>
  <sheetData>
    <row r="2" spans="2:19" x14ac:dyDescent="0.25">
      <c r="B2" s="29" t="s">
        <v>72</v>
      </c>
      <c r="C2" s="28"/>
      <c r="D2" s="28"/>
      <c r="E2" s="28"/>
      <c r="F2" s="28"/>
      <c r="G2" s="28"/>
      <c r="H2" s="28"/>
      <c r="I2" s="28"/>
      <c r="J2" s="28"/>
      <c r="K2" s="28"/>
    </row>
    <row r="3" spans="2:19" x14ac:dyDescent="0.25">
      <c r="B3" s="35" t="s">
        <v>82</v>
      </c>
      <c r="C3" s="28"/>
      <c r="D3" s="28"/>
      <c r="E3" s="28"/>
      <c r="F3" s="28"/>
      <c r="G3" s="28"/>
      <c r="H3" s="28"/>
      <c r="I3" s="28"/>
      <c r="J3" s="28"/>
      <c r="K3" s="28"/>
    </row>
    <row r="5" spans="2:19" x14ac:dyDescent="0.25">
      <c r="B5" s="31" t="s">
        <v>184</v>
      </c>
      <c r="C5" s="32"/>
      <c r="D5" s="32"/>
      <c r="E5" s="32"/>
    </row>
    <row r="6" spans="2:19" x14ac:dyDescent="0.25">
      <c r="B6" s="30" t="s">
        <v>83</v>
      </c>
      <c r="D6" s="44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</row>
    <row r="7" spans="2:19" x14ac:dyDescent="0.25">
      <c r="B7" t="s">
        <v>84</v>
      </c>
      <c r="C7" t="s">
        <v>185</v>
      </c>
      <c r="D7" s="44">
        <v>0.44500000000000001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</row>
    <row r="8" spans="2:19" x14ac:dyDescent="0.25">
      <c r="B8" t="s">
        <v>85</v>
      </c>
      <c r="C8" t="s">
        <v>185</v>
      </c>
      <c r="D8" s="44">
        <v>0.39200000000000002</v>
      </c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</row>
    <row r="9" spans="2:19" x14ac:dyDescent="0.25">
      <c r="D9" s="44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</row>
    <row r="10" spans="2:19" x14ac:dyDescent="0.25">
      <c r="B10" t="s">
        <v>86</v>
      </c>
      <c r="C10" t="s">
        <v>185</v>
      </c>
      <c r="D10" s="44">
        <v>0.433</v>
      </c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spans="2:19" x14ac:dyDescent="0.25">
      <c r="B11" s="30"/>
      <c r="D11" s="44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</row>
    <row r="12" spans="2:19" x14ac:dyDescent="0.25">
      <c r="B12" s="30" t="s">
        <v>188</v>
      </c>
      <c r="D12" s="4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</row>
    <row r="13" spans="2:19" x14ac:dyDescent="0.25">
      <c r="B13" t="s">
        <v>92</v>
      </c>
      <c r="C13" t="s">
        <v>185</v>
      </c>
      <c r="D13" s="42">
        <f>AVERAGE('Profit &amp; Loss'!G38:K38)</f>
        <v>0.47924296463470384</v>
      </c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</row>
    <row r="14" spans="2:19" x14ac:dyDescent="0.25"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</row>
    <row r="15" spans="2:19" x14ac:dyDescent="0.25"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</row>
    <row r="16" spans="2:19" x14ac:dyDescent="0.25">
      <c r="B16" s="30" t="s">
        <v>182</v>
      </c>
      <c r="C16" s="30"/>
      <c r="D16" s="71">
        <f>AVERAGE(D7:D13)</f>
        <v>0.43731074115867596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</row>
    <row r="17" spans="2:19" x14ac:dyDescent="0.25">
      <c r="B17" s="30" t="s">
        <v>183</v>
      </c>
      <c r="D17" s="71">
        <f>MEDIAN(D7:D13)</f>
        <v>0.439</v>
      </c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</row>
    <row r="18" spans="2:19" x14ac:dyDescent="0.25"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</row>
    <row r="19" spans="2:19" x14ac:dyDescent="0.25">
      <c r="B19" s="31" t="s">
        <v>110</v>
      </c>
      <c r="C19" s="32"/>
      <c r="D19" s="32"/>
      <c r="E19" s="3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</row>
    <row r="20" spans="2:19" x14ac:dyDescent="0.25">
      <c r="B20" s="30" t="s">
        <v>188</v>
      </c>
      <c r="D20" s="4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</row>
    <row r="21" spans="2:19" x14ac:dyDescent="0.25">
      <c r="B21" t="s">
        <v>92</v>
      </c>
      <c r="C21" t="s">
        <v>185</v>
      </c>
      <c r="D21" s="44">
        <f>AVERAGE('Profit &amp; Loss'!G39:K39)</f>
        <v>0.16319768625214892</v>
      </c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</row>
    <row r="22" spans="2:19" x14ac:dyDescent="0.25"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</row>
    <row r="23" spans="2:19" x14ac:dyDescent="0.25">
      <c r="B23" s="30" t="s">
        <v>83</v>
      </c>
      <c r="D23" s="44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</row>
    <row r="24" spans="2:19" x14ac:dyDescent="0.25">
      <c r="B24" t="s">
        <v>84</v>
      </c>
      <c r="C24" t="s">
        <v>185</v>
      </c>
      <c r="D24" s="44">
        <f>_xlfn.RRI(2,3416.7,4021.5)</f>
        <v>8.4902256975783796E-2</v>
      </c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</row>
    <row r="25" spans="2:19" x14ac:dyDescent="0.25">
      <c r="B25" t="s">
        <v>86</v>
      </c>
      <c r="C25" t="s">
        <v>185</v>
      </c>
      <c r="D25" s="44">
        <f>_xlfn.RRI(2,4105,4968)</f>
        <v>0.10010518819399805</v>
      </c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</row>
    <row r="26" spans="2:19" x14ac:dyDescent="0.25">
      <c r="D26" s="44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</row>
    <row r="27" spans="2:19" x14ac:dyDescent="0.25"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</row>
    <row r="28" spans="2:19" x14ac:dyDescent="0.25">
      <c r="B28" s="30" t="s">
        <v>306</v>
      </c>
      <c r="C28" s="30"/>
      <c r="D28" s="71">
        <f>D21</f>
        <v>0.16319768625214892</v>
      </c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</row>
    <row r="29" spans="2:19" x14ac:dyDescent="0.25">
      <c r="B29" s="30" t="s">
        <v>183</v>
      </c>
      <c r="D29" s="71">
        <f>MEDIAN(D21:D26)</f>
        <v>0.10010518819399805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</row>
    <row r="30" spans="2:19" x14ac:dyDescent="0.25"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</row>
    <row r="31" spans="2:19" x14ac:dyDescent="0.25">
      <c r="B31" s="31" t="s">
        <v>112</v>
      </c>
      <c r="C31" s="32"/>
      <c r="D31" s="32"/>
      <c r="E31" s="3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</row>
    <row r="32" spans="2:19" x14ac:dyDescent="0.25">
      <c r="B32" s="40"/>
      <c r="C32" s="74" t="s">
        <v>194</v>
      </c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</row>
    <row r="33" spans="2:19" x14ac:dyDescent="0.25">
      <c r="B33" s="30" t="s">
        <v>188</v>
      </c>
      <c r="D33" s="4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</row>
    <row r="34" spans="2:19" x14ac:dyDescent="0.25">
      <c r="B34" t="s">
        <v>92</v>
      </c>
      <c r="C34" t="s">
        <v>193</v>
      </c>
      <c r="D34" s="44">
        <f>AVERAGE('Profit &amp; Loss'!G40:K40)</f>
        <v>0.13928652302465711</v>
      </c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</row>
    <row r="36" spans="2:19" x14ac:dyDescent="0.25">
      <c r="B36" s="30" t="s">
        <v>83</v>
      </c>
      <c r="D36" s="44"/>
    </row>
    <row r="37" spans="2:19" x14ac:dyDescent="0.25">
      <c r="B37" t="s">
        <v>84</v>
      </c>
      <c r="C37" t="s">
        <v>193</v>
      </c>
      <c r="D37" s="44">
        <f>_xlfn.RRI(2,10146,12774)</f>
        <v>0.12205986130318514</v>
      </c>
    </row>
    <row r="38" spans="2:19" x14ac:dyDescent="0.25">
      <c r="B38" t="s">
        <v>86</v>
      </c>
      <c r="C38" t="s">
        <v>193</v>
      </c>
      <c r="D38" s="44">
        <f>_xlfn.RRI(2,10900,13183)</f>
        <v>9.9749763029937544E-2</v>
      </c>
    </row>
    <row r="39" spans="2:19" x14ac:dyDescent="0.25">
      <c r="D39" s="44"/>
    </row>
    <row r="40" spans="2:19" x14ac:dyDescent="0.25">
      <c r="B40" s="30" t="s">
        <v>182</v>
      </c>
      <c r="C40" s="30"/>
      <c r="D40" s="71">
        <f>AVERAGE(D33:D38)</f>
        <v>0.12036538245259326</v>
      </c>
    </row>
    <row r="41" spans="2:19" x14ac:dyDescent="0.25">
      <c r="B41" s="30" t="s">
        <v>183</v>
      </c>
      <c r="D41" s="71">
        <f>MEDIAN(D33:D38)</f>
        <v>0.12205986130318514</v>
      </c>
    </row>
    <row r="47" spans="2:19" x14ac:dyDescent="0.25">
      <c r="B47" s="31" t="s">
        <v>114</v>
      </c>
      <c r="C47" s="32"/>
      <c r="D47" s="32"/>
      <c r="E47" s="32"/>
      <c r="G47" s="30" t="s">
        <v>196</v>
      </c>
      <c r="J47" s="75">
        <v>44256</v>
      </c>
      <c r="K47" s="75">
        <v>44621</v>
      </c>
      <c r="L47" s="75">
        <v>44986</v>
      </c>
      <c r="M47" s="75">
        <v>45352</v>
      </c>
      <c r="N47" s="75">
        <v>45717</v>
      </c>
    </row>
    <row r="48" spans="2:19" x14ac:dyDescent="0.25">
      <c r="B48" s="30" t="s">
        <v>220</v>
      </c>
      <c r="G48" t="s">
        <v>197</v>
      </c>
      <c r="J48">
        <v>2889</v>
      </c>
      <c r="K48">
        <v>2829</v>
      </c>
      <c r="L48">
        <v>2830</v>
      </c>
      <c r="M48">
        <v>2865</v>
      </c>
      <c r="N48">
        <v>1588</v>
      </c>
    </row>
    <row r="49" spans="2:14" x14ac:dyDescent="0.25">
      <c r="B49" t="s">
        <v>218</v>
      </c>
      <c r="D49" s="77">
        <f>AVERAGE(J62:N62)</f>
        <v>4.8174656696457166E-2</v>
      </c>
      <c r="G49" t="s">
        <v>198</v>
      </c>
      <c r="J49">
        <v>8387</v>
      </c>
      <c r="K49">
        <v>9100</v>
      </c>
      <c r="L49">
        <v>9789</v>
      </c>
      <c r="M49">
        <v>10944</v>
      </c>
      <c r="N49">
        <v>7550</v>
      </c>
    </row>
    <row r="50" spans="2:14" x14ac:dyDescent="0.25">
      <c r="B50" s="90" t="s">
        <v>212</v>
      </c>
      <c r="C50" s="90"/>
      <c r="D50" s="94">
        <f>AVERAGE(J65:N65)</f>
        <v>0.48491117300833897</v>
      </c>
      <c r="G50" t="s">
        <v>199</v>
      </c>
      <c r="J50">
        <v>15307</v>
      </c>
      <c r="K50">
        <v>16912</v>
      </c>
      <c r="L50">
        <v>18480</v>
      </c>
      <c r="M50">
        <v>20718</v>
      </c>
      <c r="N50">
        <v>19423</v>
      </c>
    </row>
    <row r="51" spans="2:14" x14ac:dyDescent="0.25">
      <c r="B51" s="85" t="s">
        <v>215</v>
      </c>
      <c r="C51" s="85"/>
      <c r="D51" s="95">
        <f>AVERAGE(J68:N68)</f>
        <v>3.7430950887517363E-2</v>
      </c>
      <c r="G51" t="s">
        <v>200</v>
      </c>
      <c r="J51">
        <v>41</v>
      </c>
      <c r="K51">
        <v>44</v>
      </c>
      <c r="L51">
        <v>44</v>
      </c>
      <c r="M51">
        <v>53</v>
      </c>
      <c r="N51">
        <v>63</v>
      </c>
    </row>
    <row r="52" spans="2:14" x14ac:dyDescent="0.25">
      <c r="G52" t="s">
        <v>201</v>
      </c>
      <c r="J52">
        <v>833</v>
      </c>
      <c r="K52">
        <v>907</v>
      </c>
      <c r="L52">
        <v>1000</v>
      </c>
      <c r="M52">
        <v>1068</v>
      </c>
      <c r="N52">
        <v>282</v>
      </c>
    </row>
    <row r="53" spans="2:14" x14ac:dyDescent="0.25">
      <c r="G53" t="s">
        <v>202</v>
      </c>
      <c r="J53">
        <v>2</v>
      </c>
      <c r="K53">
        <v>2</v>
      </c>
      <c r="L53">
        <v>2</v>
      </c>
      <c r="M53">
        <v>2</v>
      </c>
      <c r="N53">
        <v>2</v>
      </c>
    </row>
    <row r="54" spans="2:14" x14ac:dyDescent="0.25">
      <c r="G54" t="s">
        <v>203</v>
      </c>
      <c r="J54">
        <v>180</v>
      </c>
      <c r="K54">
        <v>179</v>
      </c>
      <c r="L54">
        <v>189</v>
      </c>
      <c r="M54">
        <v>192</v>
      </c>
      <c r="N54">
        <v>141</v>
      </c>
    </row>
    <row r="55" spans="2:14" x14ac:dyDescent="0.25">
      <c r="G55" t="s">
        <v>204</v>
      </c>
      <c r="J55">
        <v>2734</v>
      </c>
      <c r="K55">
        <v>2744</v>
      </c>
      <c r="L55">
        <v>3490</v>
      </c>
      <c r="M55">
        <v>3505</v>
      </c>
      <c r="N55">
        <v>3622</v>
      </c>
    </row>
    <row r="56" spans="2:14" x14ac:dyDescent="0.25">
      <c r="G56" t="s">
        <v>205</v>
      </c>
      <c r="J56">
        <v>716</v>
      </c>
      <c r="K56">
        <v>719</v>
      </c>
      <c r="L56">
        <v>786</v>
      </c>
      <c r="M56">
        <v>841</v>
      </c>
      <c r="N56">
        <v>967</v>
      </c>
    </row>
    <row r="58" spans="2:14" x14ac:dyDescent="0.25">
      <c r="G58" s="30" t="s">
        <v>206</v>
      </c>
      <c r="H58" s="30"/>
      <c r="I58" s="30"/>
      <c r="J58" s="30">
        <v>31089</v>
      </c>
      <c r="K58" s="30">
        <v>33436</v>
      </c>
      <c r="L58" s="30">
        <v>36610</v>
      </c>
      <c r="M58" s="30">
        <v>40188</v>
      </c>
      <c r="N58" s="30">
        <v>33638</v>
      </c>
    </row>
    <row r="59" spans="2:14" x14ac:dyDescent="0.25">
      <c r="G59" t="s">
        <v>207</v>
      </c>
      <c r="J59">
        <v>-7790</v>
      </c>
      <c r="K59">
        <v>-9204</v>
      </c>
      <c r="L59">
        <v>-10757</v>
      </c>
      <c r="M59">
        <v>-12368</v>
      </c>
      <c r="N59">
        <v>-11683</v>
      </c>
    </row>
    <row r="60" spans="2:14" x14ac:dyDescent="0.25">
      <c r="G60" s="76" t="s">
        <v>208</v>
      </c>
      <c r="H60" s="76"/>
      <c r="I60" s="76"/>
      <c r="J60" s="76">
        <v>23299</v>
      </c>
      <c r="K60" s="76">
        <v>24232</v>
      </c>
      <c r="L60" s="76">
        <v>25853</v>
      </c>
      <c r="M60" s="76">
        <v>27820</v>
      </c>
      <c r="N60" s="76">
        <v>21955</v>
      </c>
    </row>
    <row r="62" spans="2:14" x14ac:dyDescent="0.25">
      <c r="G62" s="78" t="s">
        <v>209</v>
      </c>
      <c r="H62" s="79"/>
      <c r="I62" s="79"/>
      <c r="J62" s="80">
        <f>'Data Sheet'!G26/'Cost Assumptions'!J58</f>
        <v>5.293158351828621E-2</v>
      </c>
      <c r="K62" s="80">
        <f>'Data Sheet'!H26/'Cost Assumptions'!K58</f>
        <v>5.1812716832156956E-2</v>
      </c>
      <c r="L62" s="80">
        <f>'Data Sheet'!I26/'Cost Assumptions'!L58</f>
        <v>4.9413001912045888E-2</v>
      </c>
      <c r="M62" s="80">
        <f>'Data Sheet'!J26/'Cost Assumptions'!M58</f>
        <v>3.7773713546332237E-2</v>
      </c>
      <c r="N62" s="80">
        <f>'Data Sheet'!K26/'Cost Assumptions'!N58</f>
        <v>4.8942267673464532E-2</v>
      </c>
    </row>
    <row r="64" spans="2:14" x14ac:dyDescent="0.25">
      <c r="G64" s="78" t="s">
        <v>210</v>
      </c>
      <c r="H64" s="79"/>
      <c r="I64" s="79"/>
      <c r="J64" s="79">
        <f>SUM(J48:J54)</f>
        <v>27639</v>
      </c>
      <c r="K64" s="79">
        <f t="shared" ref="K64:M64" si="0">SUM(K48:K54)</f>
        <v>29973</v>
      </c>
      <c r="L64" s="79">
        <f t="shared" si="0"/>
        <v>32334</v>
      </c>
      <c r="M64" s="79">
        <f t="shared" si="0"/>
        <v>35842</v>
      </c>
      <c r="N64" s="79">
        <f>SUM(N48:N54)</f>
        <v>29049</v>
      </c>
    </row>
    <row r="65" spans="2:14" x14ac:dyDescent="0.25">
      <c r="G65" s="78" t="s">
        <v>211</v>
      </c>
      <c r="H65" s="79"/>
      <c r="I65" s="79"/>
      <c r="J65" s="80">
        <f>J64/'Data Sheet'!G17</f>
        <v>0.56111309050712133</v>
      </c>
      <c r="K65" s="80">
        <f>K64/'Data Sheet'!H17</f>
        <v>0.49424070163612421</v>
      </c>
      <c r="L65" s="80">
        <f>L64/'Data Sheet'!I17</f>
        <v>0.45592840172799881</v>
      </c>
      <c r="M65" s="80">
        <f>M64/'Data Sheet'!J17</f>
        <v>0.52761631715508195</v>
      </c>
      <c r="N65" s="80">
        <f>N64/'Data Sheet'!K17</f>
        <v>0.38565735401536894</v>
      </c>
    </row>
    <row r="67" spans="2:14" x14ac:dyDescent="0.25">
      <c r="G67" s="78" t="s">
        <v>213</v>
      </c>
      <c r="H67" s="79"/>
      <c r="I67" s="79"/>
      <c r="J67" s="82">
        <v>1834</v>
      </c>
      <c r="K67" s="82">
        <v>2009</v>
      </c>
      <c r="L67" s="82">
        <v>2694</v>
      </c>
      <c r="M67" s="82">
        <v>3456</v>
      </c>
      <c r="N67" s="82">
        <v>2104</v>
      </c>
    </row>
    <row r="68" spans="2:14" x14ac:dyDescent="0.25">
      <c r="G68" s="78" t="s">
        <v>216</v>
      </c>
      <c r="H68" s="79"/>
      <c r="I68" s="79"/>
      <c r="J68" s="80">
        <f>J67/'Data Sheet'!G17</f>
        <v>3.7232946488297711E-2</v>
      </c>
      <c r="K68" s="80">
        <f>K67/'Data Sheet'!H17</f>
        <v>3.3127467039901694E-2</v>
      </c>
      <c r="L68" s="80">
        <f>L67/'Data Sheet'!I17</f>
        <v>3.7986983183498142E-2</v>
      </c>
      <c r="M68" s="80">
        <f>M67/'Data Sheet'!J17</f>
        <v>5.0874448749733923E-2</v>
      </c>
      <c r="N68" s="80">
        <f>N67/'Data Sheet'!K17</f>
        <v>2.7932908976155333E-2</v>
      </c>
    </row>
    <row r="70" spans="2:14" x14ac:dyDescent="0.25">
      <c r="G70" s="84" t="s">
        <v>214</v>
      </c>
      <c r="H70" s="85"/>
      <c r="I70" s="85"/>
      <c r="J70" s="86">
        <f>N47+365</f>
        <v>46082</v>
      </c>
      <c r="K70" s="86">
        <f>J70+366</f>
        <v>46448</v>
      </c>
      <c r="L70" s="86">
        <f t="shared" ref="L70:N70" si="1">K70+365</f>
        <v>46813</v>
      </c>
      <c r="M70" s="86">
        <f t="shared" si="1"/>
        <v>47178</v>
      </c>
      <c r="N70" s="86">
        <f t="shared" si="1"/>
        <v>47543</v>
      </c>
    </row>
    <row r="71" spans="2:14" x14ac:dyDescent="0.25">
      <c r="G71" s="85" t="s">
        <v>217</v>
      </c>
      <c r="H71" s="85"/>
      <c r="I71" s="85"/>
      <c r="J71" s="87">
        <f>'3 STATEMENT MODEL'!J28*'Cost Assumptions'!$D$51</f>
        <v>3109.6572303663888</v>
      </c>
      <c r="K71" s="87">
        <f>'3 STATEMENT MODEL'!K28*'Cost Assumptions'!$D$51</f>
        <v>3429.7669546894704</v>
      </c>
      <c r="L71" s="87">
        <f>'3 STATEMENT MODEL'!L28*'Cost Assumptions'!$D$51</f>
        <v>3782.8289396686641</v>
      </c>
      <c r="M71" s="87">
        <f>'3 STATEMENT MODEL'!M28*'Cost Assumptions'!$D$51</f>
        <v>4172.2353080663916</v>
      </c>
      <c r="N71" s="87">
        <f>'3 STATEMENT MODEL'!N28*'Cost Assumptions'!$D$51</f>
        <v>4601.7273695174208</v>
      </c>
    </row>
    <row r="72" spans="2:14" x14ac:dyDescent="0.25">
      <c r="G72" s="85" t="s">
        <v>195</v>
      </c>
      <c r="H72" s="85"/>
      <c r="I72" s="85"/>
      <c r="J72" s="88">
        <f>N64*$D$49</f>
        <v>1399.4256023753842</v>
      </c>
      <c r="K72" s="88">
        <f>J73*$D$49</f>
        <v>1481.815423925274</v>
      </c>
      <c r="L72" s="88">
        <f>K73*$D$49</f>
        <v>1575.6573201811775</v>
      </c>
      <c r="M72" s="88">
        <f>L73*$D$49</f>
        <v>1681.9870552201505</v>
      </c>
      <c r="N72" s="88">
        <f>M73*$D$49</f>
        <v>1801.9539098899702</v>
      </c>
    </row>
    <row r="73" spans="2:14" x14ac:dyDescent="0.25">
      <c r="G73" s="85" t="s">
        <v>210</v>
      </c>
      <c r="H73" s="85"/>
      <c r="I73" s="85"/>
      <c r="J73" s="87">
        <f>N64+J71-J72</f>
        <v>30759.231627991005</v>
      </c>
      <c r="K73" s="87">
        <f>J73+K71-K72</f>
        <v>32707.183158755204</v>
      </c>
      <c r="L73" s="87">
        <f t="shared" ref="L73:N73" si="2">K73+L71-L72</f>
        <v>34914.35477824269</v>
      </c>
      <c r="M73" s="87">
        <f t="shared" si="2"/>
        <v>37404.603031088925</v>
      </c>
      <c r="N73" s="87">
        <f t="shared" si="2"/>
        <v>40204.376490716379</v>
      </c>
    </row>
    <row r="75" spans="2:14" x14ac:dyDescent="0.25">
      <c r="G75" s="89" t="s">
        <v>219</v>
      </c>
      <c r="H75" s="90"/>
      <c r="I75" s="90"/>
      <c r="J75" s="91">
        <f>J70</f>
        <v>46082</v>
      </c>
      <c r="K75" s="91">
        <f t="shared" ref="K75:N75" si="3">K70</f>
        <v>46448</v>
      </c>
      <c r="L75" s="91">
        <f t="shared" si="3"/>
        <v>46813</v>
      </c>
      <c r="M75" s="91">
        <f t="shared" si="3"/>
        <v>47178</v>
      </c>
      <c r="N75" s="91">
        <f t="shared" si="3"/>
        <v>47543</v>
      </c>
    </row>
    <row r="76" spans="2:14" x14ac:dyDescent="0.25">
      <c r="G76" s="90" t="s">
        <v>18</v>
      </c>
      <c r="H76" s="90"/>
      <c r="I76" s="90"/>
      <c r="J76" s="92">
        <f>'3 STATEMENT MODEL'!J28</f>
        <v>83077.163594137033</v>
      </c>
      <c r="K76" s="92">
        <f>'3 STATEMENT MODEL'!K28</f>
        <v>91629.169801113545</v>
      </c>
      <c r="L76" s="92">
        <f>'3 STATEMENT MODEL'!L28</f>
        <v>101061.52395209865</v>
      </c>
      <c r="M76" s="92">
        <f>'3 STATEMENT MODEL'!M28</f>
        <v>111464.84951996683</v>
      </c>
      <c r="N76" s="92">
        <f>'3 STATEMENT MODEL'!N28</f>
        <v>122939.0988047815</v>
      </c>
    </row>
    <row r="77" spans="2:14" x14ac:dyDescent="0.25">
      <c r="G77" s="90" t="s">
        <v>210</v>
      </c>
      <c r="H77" s="90"/>
      <c r="I77" s="90"/>
      <c r="J77" s="92">
        <f>J76*$D$50</f>
        <v>40285.044848638659</v>
      </c>
      <c r="K77" s="92">
        <f>K76*$D$50</f>
        <v>44432.008210038235</v>
      </c>
      <c r="L77" s="92">
        <f>L76*$D$50</f>
        <v>49005.862125622501</v>
      </c>
      <c r="M77" s="92">
        <f>M76*$D$50</f>
        <v>54050.550929925099</v>
      </c>
      <c r="N77" s="92">
        <f>N76*$D$50</f>
        <v>59614.54261001468</v>
      </c>
    </row>
    <row r="79" spans="2:14" ht="15.75" thickBot="1" x14ac:dyDescent="0.3">
      <c r="G79" s="136"/>
      <c r="H79" s="136"/>
      <c r="I79" s="136"/>
      <c r="J79" s="136"/>
      <c r="K79" s="136"/>
      <c r="L79" s="136"/>
      <c r="M79" s="136"/>
      <c r="N79" s="136"/>
    </row>
    <row r="80" spans="2:14" x14ac:dyDescent="0.25">
      <c r="B80" s="31" t="s">
        <v>24</v>
      </c>
      <c r="C80" s="32"/>
      <c r="D80" s="32"/>
      <c r="E80" s="32"/>
      <c r="G80" s="30" t="s">
        <v>241</v>
      </c>
      <c r="J80" s="75">
        <v>44256</v>
      </c>
      <c r="K80" s="75">
        <v>44621</v>
      </c>
      <c r="L80" s="75">
        <v>44986</v>
      </c>
      <c r="M80" s="75">
        <v>45352</v>
      </c>
      <c r="N80" s="75">
        <v>45717</v>
      </c>
    </row>
    <row r="81" spans="2:14" x14ac:dyDescent="0.25">
      <c r="B81" s="30" t="s">
        <v>220</v>
      </c>
      <c r="G81" t="s">
        <v>243</v>
      </c>
      <c r="J81">
        <v>6</v>
      </c>
      <c r="K81">
        <v>5</v>
      </c>
      <c r="L81">
        <v>3</v>
      </c>
      <c r="M81">
        <v>2</v>
      </c>
      <c r="N81">
        <v>0</v>
      </c>
    </row>
    <row r="82" spans="2:14" x14ac:dyDescent="0.25">
      <c r="B82" t="s">
        <v>267</v>
      </c>
      <c r="D82" s="81">
        <f>SUMPRODUCT(L84:N84,L85:N85)</f>
        <v>290.10000000000002</v>
      </c>
      <c r="G82" t="s">
        <v>244</v>
      </c>
      <c r="J82">
        <v>4</v>
      </c>
      <c r="K82">
        <v>1</v>
      </c>
      <c r="L82">
        <v>35</v>
      </c>
      <c r="M82">
        <v>10</v>
      </c>
      <c r="N82">
        <v>91</v>
      </c>
    </row>
    <row r="83" spans="2:14" x14ac:dyDescent="0.25">
      <c r="B83" t="s">
        <v>261</v>
      </c>
      <c r="D83" s="38">
        <f>AVERAGE(J88:N88)</f>
        <v>-43.6</v>
      </c>
      <c r="G83" t="s">
        <v>245</v>
      </c>
      <c r="J83">
        <v>261</v>
      </c>
      <c r="K83">
        <v>244</v>
      </c>
      <c r="L83">
        <v>267</v>
      </c>
      <c r="M83">
        <v>292</v>
      </c>
      <c r="N83">
        <v>193</v>
      </c>
    </row>
    <row r="84" spans="2:14" x14ac:dyDescent="0.25">
      <c r="E84" s="111"/>
      <c r="G84" s="106" t="s">
        <v>242</v>
      </c>
      <c r="H84" s="96"/>
      <c r="I84" s="96"/>
      <c r="J84" s="106">
        <f>J81+J82+J83</f>
        <v>271</v>
      </c>
      <c r="K84" s="106">
        <f>K81+K82+K83</f>
        <v>250</v>
      </c>
      <c r="L84" s="106">
        <f>L81+L82+L83</f>
        <v>305</v>
      </c>
      <c r="M84" s="106">
        <f>M81+M82+M83</f>
        <v>304</v>
      </c>
      <c r="N84" s="106">
        <f>N81+N82+N83</f>
        <v>284</v>
      </c>
    </row>
    <row r="85" spans="2:14" x14ac:dyDescent="0.25">
      <c r="G85" s="108" t="s">
        <v>258</v>
      </c>
      <c r="H85" s="108"/>
      <c r="I85" s="108"/>
      <c r="J85" s="108"/>
      <c r="K85" s="108"/>
      <c r="L85" s="108">
        <v>0.1</v>
      </c>
      <c r="M85" s="108">
        <v>0.2</v>
      </c>
      <c r="N85" s="108">
        <v>0.7</v>
      </c>
    </row>
    <row r="86" spans="2:14" x14ac:dyDescent="0.25">
      <c r="B86" t="s">
        <v>262</v>
      </c>
      <c r="D86">
        <f>AVERAGE(J83:N83)</f>
        <v>251.4</v>
      </c>
    </row>
    <row r="87" spans="2:14" x14ac:dyDescent="0.25">
      <c r="B87" t="s">
        <v>263</v>
      </c>
      <c r="D87" s="109">
        <f>AVERAGE(J89:N89)</f>
        <v>0.15461797398503579</v>
      </c>
    </row>
    <row r="88" spans="2:14" x14ac:dyDescent="0.25">
      <c r="G88" t="s">
        <v>260</v>
      </c>
      <c r="J88">
        <f>'Cash Flow Statement'!C26</f>
        <v>-41</v>
      </c>
      <c r="K88">
        <f>'Cash Flow Statement'!D26</f>
        <v>-40</v>
      </c>
      <c r="L88">
        <f>'Cash Flow Statement'!E26</f>
        <v>-41</v>
      </c>
      <c r="M88">
        <f>'Cash Flow Statement'!F26</f>
        <v>-46</v>
      </c>
      <c r="N88">
        <f>'Cash Flow Statement'!G26</f>
        <v>-50</v>
      </c>
    </row>
    <row r="89" spans="2:14" x14ac:dyDescent="0.25">
      <c r="B89" t="s">
        <v>264</v>
      </c>
      <c r="D89" s="38">
        <f>D87*D82</f>
        <v>44.854674253058889</v>
      </c>
      <c r="G89" t="s">
        <v>312</v>
      </c>
      <c r="J89" s="41">
        <f>-J88/J84</f>
        <v>0.15129151291512916</v>
      </c>
      <c r="K89" s="41">
        <f t="shared" ref="K89:N89" si="4">-K88/K84</f>
        <v>0.16</v>
      </c>
      <c r="L89" s="41">
        <f t="shared" si="4"/>
        <v>0.13442622950819672</v>
      </c>
      <c r="M89" s="41">
        <f t="shared" si="4"/>
        <v>0.15131578947368421</v>
      </c>
      <c r="N89" s="41">
        <f t="shared" si="4"/>
        <v>0.176056338028169</v>
      </c>
    </row>
    <row r="90" spans="2:14" x14ac:dyDescent="0.25">
      <c r="B90" t="s">
        <v>265</v>
      </c>
      <c r="D90" s="38">
        <f>-D83-D89</f>
        <v>-1.2546742530588872</v>
      </c>
    </row>
    <row r="92" spans="2:14" x14ac:dyDescent="0.25">
      <c r="B92" s="30" t="s">
        <v>266</v>
      </c>
      <c r="C92" s="30"/>
      <c r="D92" s="110">
        <f>SUM(D89:D91)</f>
        <v>43.6</v>
      </c>
      <c r="G92" t="s">
        <v>236</v>
      </c>
      <c r="J92">
        <v>-2</v>
      </c>
      <c r="K92">
        <v>-1</v>
      </c>
      <c r="L92">
        <v>-1</v>
      </c>
      <c r="M92">
        <v>-2</v>
      </c>
      <c r="N92" s="137">
        <v>-1.5</v>
      </c>
    </row>
    <row r="93" spans="2:14" x14ac:dyDescent="0.25">
      <c r="G93" t="s">
        <v>316</v>
      </c>
      <c r="J93">
        <f>'Cash Flow Statement'!C26</f>
        <v>-41</v>
      </c>
      <c r="K93">
        <f>'Cash Flow Statement'!D26</f>
        <v>-40</v>
      </c>
      <c r="L93">
        <f>'Cash Flow Statement'!E26</f>
        <v>-41</v>
      </c>
      <c r="M93">
        <f>'Cash Flow Statement'!F26</f>
        <v>-46</v>
      </c>
      <c r="N93">
        <f>'Cash Flow Statement'!G26</f>
        <v>-50</v>
      </c>
    </row>
    <row r="94" spans="2:14" x14ac:dyDescent="0.25">
      <c r="B94" t="s">
        <v>318</v>
      </c>
      <c r="D94">
        <f>AVERAGE(J92:N92)</f>
        <v>-1.5</v>
      </c>
      <c r="G94" s="30" t="s">
        <v>311</v>
      </c>
      <c r="J94" s="30">
        <f>SUM(J92:J93)</f>
        <v>-43</v>
      </c>
      <c r="K94" s="30">
        <f t="shared" ref="K94:N94" si="5">SUM(K92:K93)</f>
        <v>-41</v>
      </c>
      <c r="L94" s="30">
        <f t="shared" si="5"/>
        <v>-42</v>
      </c>
      <c r="M94" s="30">
        <f t="shared" si="5"/>
        <v>-48</v>
      </c>
      <c r="N94" s="30">
        <f t="shared" si="5"/>
        <v>-51.5</v>
      </c>
    </row>
    <row r="95" spans="2:14" x14ac:dyDescent="0.25">
      <c r="B95" t="s">
        <v>319</v>
      </c>
      <c r="D95">
        <f t="shared" ref="D95:D96" si="6">AVERAGE(J93:N93)</f>
        <v>-43.6</v>
      </c>
    </row>
    <row r="96" spans="2:14" x14ac:dyDescent="0.25">
      <c r="B96" s="30" t="s">
        <v>320</v>
      </c>
      <c r="C96" s="30"/>
      <c r="D96" s="30">
        <f t="shared" si="6"/>
        <v>-45.1</v>
      </c>
      <c r="G96" t="s">
        <v>308</v>
      </c>
      <c r="J96">
        <f>J84+J92</f>
        <v>269</v>
      </c>
      <c r="K96">
        <f>K84+K92</f>
        <v>249</v>
      </c>
      <c r="L96">
        <f>L84+L92</f>
        <v>304</v>
      </c>
      <c r="M96">
        <f>M84+M92</f>
        <v>302</v>
      </c>
      <c r="N96">
        <f>N84+N92</f>
        <v>282.5</v>
      </c>
    </row>
    <row r="98" spans="2:14" x14ac:dyDescent="0.25">
      <c r="G98" s="84" t="s">
        <v>214</v>
      </c>
      <c r="H98" s="85"/>
      <c r="I98" s="85"/>
      <c r="J98" s="86">
        <f>J70</f>
        <v>46082</v>
      </c>
      <c r="K98" s="86">
        <f>J98+366</f>
        <v>46448</v>
      </c>
      <c r="L98" s="86">
        <f t="shared" ref="L98:N98" si="7">K98+365</f>
        <v>46813</v>
      </c>
      <c r="M98" s="86">
        <f t="shared" si="7"/>
        <v>47178</v>
      </c>
      <c r="N98" s="86">
        <f t="shared" si="7"/>
        <v>47543</v>
      </c>
    </row>
    <row r="99" spans="2:14" x14ac:dyDescent="0.25">
      <c r="B99" t="s">
        <v>321</v>
      </c>
      <c r="D99" s="139">
        <v>0.15</v>
      </c>
      <c r="G99" s="85" t="s">
        <v>309</v>
      </c>
      <c r="H99" s="85"/>
      <c r="I99" s="85"/>
      <c r="J99" s="87">
        <v>230</v>
      </c>
      <c r="K99" s="87">
        <f>J101</f>
        <v>184.9</v>
      </c>
      <c r="L99" s="87">
        <f t="shared" ref="L99:N99" si="8">K101</f>
        <v>139.80000000000001</v>
      </c>
      <c r="M99" s="87">
        <f t="shared" si="8"/>
        <v>94.700000000000017</v>
      </c>
      <c r="N99" s="87">
        <f t="shared" si="8"/>
        <v>49.600000000000016</v>
      </c>
    </row>
    <row r="100" spans="2:14" x14ac:dyDescent="0.25">
      <c r="G100" s="85" t="s">
        <v>310</v>
      </c>
      <c r="H100" s="85"/>
      <c r="I100" s="85"/>
      <c r="J100" s="135">
        <f>D96</f>
        <v>-45.1</v>
      </c>
      <c r="K100" s="135">
        <f>J100</f>
        <v>-45.1</v>
      </c>
      <c r="L100" s="135">
        <f t="shared" ref="L100:N100" si="9">K100</f>
        <v>-45.1</v>
      </c>
      <c r="M100" s="135">
        <f t="shared" si="9"/>
        <v>-45.1</v>
      </c>
      <c r="N100" s="135">
        <f t="shared" si="9"/>
        <v>-45.1</v>
      </c>
    </row>
    <row r="101" spans="2:14" x14ac:dyDescent="0.25">
      <c r="G101" s="85" t="s">
        <v>308</v>
      </c>
      <c r="H101" s="85"/>
      <c r="I101" s="85"/>
      <c r="J101" s="87">
        <f>SUM(J99:J100)</f>
        <v>184.9</v>
      </c>
      <c r="K101" s="87">
        <f>SUM(K99:K100)</f>
        <v>139.80000000000001</v>
      </c>
      <c r="L101" s="87">
        <f t="shared" ref="L101:N101" si="10">SUM(L99:L100)</f>
        <v>94.700000000000017</v>
      </c>
      <c r="M101" s="87">
        <f t="shared" si="10"/>
        <v>49.600000000000016</v>
      </c>
      <c r="N101" s="87">
        <f t="shared" si="10"/>
        <v>4.5000000000000142</v>
      </c>
    </row>
    <row r="103" spans="2:14" x14ac:dyDescent="0.25">
      <c r="G103" s="179" t="s">
        <v>259</v>
      </c>
      <c r="H103" s="179"/>
      <c r="I103" s="179"/>
    </row>
    <row r="104" spans="2:14" ht="35.25" customHeight="1" x14ac:dyDescent="0.25">
      <c r="G104" s="179"/>
      <c r="H104" s="179"/>
      <c r="I104" s="179"/>
    </row>
    <row r="106" spans="2:14" x14ac:dyDescent="0.25">
      <c r="G106" t="s">
        <v>322</v>
      </c>
      <c r="J106" s="42">
        <f>-J93/J83</f>
        <v>0.15708812260536398</v>
      </c>
      <c r="K106" s="42">
        <f t="shared" ref="K106:N106" si="11">-K93/K83</f>
        <v>0.16393442622950818</v>
      </c>
      <c r="L106" s="42">
        <f t="shared" si="11"/>
        <v>0.15355805243445692</v>
      </c>
      <c r="M106" s="42">
        <f t="shared" si="11"/>
        <v>0.15753424657534246</v>
      </c>
      <c r="N106" s="42">
        <f t="shared" si="11"/>
        <v>0.25906735751295334</v>
      </c>
    </row>
  </sheetData>
  <mergeCells count="1">
    <mergeCell ref="G103:I104"/>
  </mergeCells>
  <pageMargins left="0.7" right="0.7" top="0.75" bottom="0.75" header="0.3" footer="0.3"/>
  <pageSetup orientation="portrait" r:id="rId1"/>
  <ignoredErrors>
    <ignoredError sqref="J64:M64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29"/>
  <sheetViews>
    <sheetView showGridLines="0" workbookViewId="0">
      <selection activeCell="N39" sqref="N39"/>
    </sheetView>
  </sheetViews>
  <sheetFormatPr defaultRowHeight="15" x14ac:dyDescent="0.25"/>
  <cols>
    <col min="1" max="1" width="2.7109375" customWidth="1"/>
    <col min="3" max="3" width="26.140625" bestFit="1" customWidth="1"/>
  </cols>
  <sheetData>
    <row r="2" spans="2:14" x14ac:dyDescent="0.25">
      <c r="B2" s="31" t="s">
        <v>272</v>
      </c>
      <c r="C2" s="32"/>
      <c r="D2" s="32"/>
      <c r="E2" s="32"/>
      <c r="F2" s="32"/>
      <c r="J2" s="75">
        <v>44256</v>
      </c>
      <c r="K2" s="75">
        <v>44621</v>
      </c>
      <c r="L2" s="75">
        <v>44986</v>
      </c>
      <c r="M2" s="75">
        <v>45352</v>
      </c>
      <c r="N2" s="75">
        <v>45717</v>
      </c>
    </row>
    <row r="3" spans="2:14" x14ac:dyDescent="0.25">
      <c r="B3" s="30" t="s">
        <v>220</v>
      </c>
      <c r="H3" s="47" t="s">
        <v>178</v>
      </c>
      <c r="J3" s="113">
        <f>'Balance Sheet'!G20</f>
        <v>18.537713584442557</v>
      </c>
      <c r="K3" s="113">
        <f>'Balance Sheet'!H20</f>
        <v>14.817385044061677</v>
      </c>
      <c r="L3" s="113">
        <f>'Balance Sheet'!I20</f>
        <v>15.214563002342249</v>
      </c>
      <c r="M3" s="113">
        <f>'Balance Sheet'!J20</f>
        <v>21.630830799179297</v>
      </c>
      <c r="N3" s="113">
        <f>'Balance Sheet'!K20</f>
        <v>22.870461532906003</v>
      </c>
    </row>
    <row r="4" spans="2:14" x14ac:dyDescent="0.25">
      <c r="B4" t="s">
        <v>270</v>
      </c>
      <c r="F4" s="112">
        <f>AVERAGE(J3:N3)</f>
        <v>18.614190792586356</v>
      </c>
      <c r="H4" t="s">
        <v>268</v>
      </c>
      <c r="J4" s="113">
        <f>365/('Historical FS'!H11/(('Historical FS'!H66+'Historical FS'!G66)/2))</f>
        <v>130.86911505343264</v>
      </c>
      <c r="K4" s="113">
        <f>365/('Historical FS'!I11/(('Historical FS'!I66+'Historical FS'!H66)/2))</f>
        <v>113.94538625897347</v>
      </c>
      <c r="L4" s="113">
        <f>365/('Historical FS'!J11/(('Historical FS'!J66+'Historical FS'!I66)/2))</f>
        <v>107.85154963966752</v>
      </c>
      <c r="M4" s="113">
        <f>365/('Historical FS'!K11/(('Historical FS'!K66+'Historical FS'!J66)/2))</f>
        <v>132.65122599989513</v>
      </c>
      <c r="N4" s="113">
        <f>365/('Historical FS'!L11/(('Historical FS'!L66+'Historical FS'!K66)/2))</f>
        <v>131.10342106830586</v>
      </c>
    </row>
    <row r="5" spans="2:14" x14ac:dyDescent="0.25">
      <c r="B5" t="s">
        <v>269</v>
      </c>
      <c r="F5" s="112">
        <f>AVERAGE(J4:N4)</f>
        <v>123.28413960405491</v>
      </c>
      <c r="H5" t="s">
        <v>271</v>
      </c>
      <c r="J5" s="38">
        <v>70.319490699066577</v>
      </c>
      <c r="K5" s="38">
        <v>55.283478685476659</v>
      </c>
      <c r="L5" s="38">
        <v>52.21825522455844</v>
      </c>
      <c r="M5" s="38">
        <v>58.147997872330535</v>
      </c>
      <c r="N5" s="38">
        <v>49.704910249258987</v>
      </c>
    </row>
    <row r="6" spans="2:14" x14ac:dyDescent="0.25">
      <c r="B6" t="s">
        <v>327</v>
      </c>
      <c r="F6" s="112">
        <f>AVERAGE(K5:N5)</f>
        <v>53.838660507906155</v>
      </c>
      <c r="H6" t="s">
        <v>271</v>
      </c>
      <c r="J6">
        <f>365/('3 STATEMENT MODEL'!E29/'3 STATEMENT MODEL'!E60)</f>
        <v>70.319490699066577</v>
      </c>
      <c r="K6">
        <f>365/('3 STATEMENT MODEL'!F29/'3 STATEMENT MODEL'!F60)</f>
        <v>55.283478685476659</v>
      </c>
      <c r="L6">
        <f>365/('3 STATEMENT MODEL'!G29/'3 STATEMENT MODEL'!G60)</f>
        <v>52.21825522455844</v>
      </c>
      <c r="M6">
        <f>365/('3 STATEMENT MODEL'!H29/'3 STATEMENT MODEL'!H60)</f>
        <v>58.147997872330535</v>
      </c>
      <c r="N6">
        <f>365/('3 STATEMENT MODEL'!I29/'3 STATEMENT MODEL'!I60)</f>
        <v>49.704910249258987</v>
      </c>
    </row>
    <row r="7" spans="2:14" x14ac:dyDescent="0.25">
      <c r="J7" s="38"/>
      <c r="K7" s="38"/>
      <c r="L7" s="38"/>
      <c r="M7" s="38"/>
      <c r="N7" s="38"/>
    </row>
    <row r="8" spans="2:14" x14ac:dyDescent="0.25">
      <c r="B8" s="31" t="s">
        <v>112</v>
      </c>
      <c r="C8" s="32"/>
      <c r="D8" s="32"/>
      <c r="E8" s="32"/>
      <c r="F8" s="32"/>
    </row>
    <row r="9" spans="2:14" x14ac:dyDescent="0.25">
      <c r="B9" s="36" t="s">
        <v>194</v>
      </c>
    </row>
    <row r="10" spans="2:14" x14ac:dyDescent="0.25">
      <c r="B10" s="30" t="s">
        <v>188</v>
      </c>
      <c r="D10" s="44"/>
    </row>
    <row r="11" spans="2:14" x14ac:dyDescent="0.25">
      <c r="B11" t="s">
        <v>92</v>
      </c>
      <c r="C11" t="s">
        <v>193</v>
      </c>
      <c r="D11" s="44"/>
      <c r="F11" s="70">
        <f>AVERAGE('Profit &amp; Loss'!G41:K41)</f>
        <v>0.10606507567218779</v>
      </c>
    </row>
    <row r="12" spans="2:14" x14ac:dyDescent="0.25">
      <c r="B12" t="s">
        <v>92</v>
      </c>
      <c r="C12" t="s">
        <v>77</v>
      </c>
      <c r="F12" s="70">
        <f>'Profit &amp; Loss'!K43</f>
        <v>7.5979718583757849E-2</v>
      </c>
    </row>
    <row r="13" spans="2:14" x14ac:dyDescent="0.25">
      <c r="F13" s="70"/>
    </row>
    <row r="14" spans="2:14" x14ac:dyDescent="0.25">
      <c r="B14" s="30" t="s">
        <v>83</v>
      </c>
      <c r="D14" s="44"/>
    </row>
    <row r="15" spans="2:14" x14ac:dyDescent="0.25">
      <c r="B15" t="s">
        <v>84</v>
      </c>
      <c r="C15" t="s">
        <v>193</v>
      </c>
      <c r="D15" s="44"/>
      <c r="F15" s="109">
        <v>7.0000000000000007E-2</v>
      </c>
    </row>
    <row r="16" spans="2:14" x14ac:dyDescent="0.25">
      <c r="D16" s="44"/>
    </row>
    <row r="17" spans="2:6" x14ac:dyDescent="0.25">
      <c r="D17" s="44"/>
    </row>
    <row r="18" spans="2:6" x14ac:dyDescent="0.25">
      <c r="B18" s="30" t="s">
        <v>182</v>
      </c>
      <c r="C18" s="30"/>
      <c r="D18" s="71"/>
      <c r="F18" s="70">
        <f>AVERAGE(F11:F15)</f>
        <v>8.4014931418648534E-2</v>
      </c>
    </row>
    <row r="19" spans="2:6" x14ac:dyDescent="0.25">
      <c r="B19" s="30" t="s">
        <v>183</v>
      </c>
      <c r="D19" s="71"/>
      <c r="F19" s="70">
        <f>MEDIAN(F11:F15)</f>
        <v>7.5979718583757849E-2</v>
      </c>
    </row>
    <row r="21" spans="2:6" x14ac:dyDescent="0.25">
      <c r="B21" s="31" t="s">
        <v>125</v>
      </c>
      <c r="C21" s="32"/>
      <c r="D21" s="32"/>
      <c r="E21" s="32"/>
      <c r="F21" s="32"/>
    </row>
    <row r="22" spans="2:6" x14ac:dyDescent="0.25">
      <c r="B22" s="36" t="s">
        <v>194</v>
      </c>
    </row>
    <row r="23" spans="2:6" x14ac:dyDescent="0.25">
      <c r="B23" s="30" t="s">
        <v>188</v>
      </c>
      <c r="D23" s="44"/>
    </row>
    <row r="24" spans="2:6" x14ac:dyDescent="0.25">
      <c r="B24" t="s">
        <v>92</v>
      </c>
      <c r="C24" t="s">
        <v>77</v>
      </c>
      <c r="D24" s="44"/>
      <c r="F24" s="70">
        <f>_xlfn.RRI(4,'3 STATEMENT MODEL'!E57,'3 STATEMENT MODEL'!I57)</f>
        <v>9.9185574611266647E-2</v>
      </c>
    </row>
    <row r="26" spans="2:6" x14ac:dyDescent="0.25">
      <c r="B26" s="31" t="s">
        <v>130</v>
      </c>
      <c r="C26" s="32"/>
      <c r="D26" s="32"/>
      <c r="E26" s="32"/>
      <c r="F26" s="32"/>
    </row>
    <row r="27" spans="2:6" x14ac:dyDescent="0.25">
      <c r="B27" s="36" t="s">
        <v>194</v>
      </c>
    </row>
    <row r="28" spans="2:6" x14ac:dyDescent="0.25">
      <c r="B28" s="30" t="s">
        <v>188</v>
      </c>
      <c r="D28" s="44"/>
    </row>
    <row r="29" spans="2:6" x14ac:dyDescent="0.25">
      <c r="B29" t="s">
        <v>92</v>
      </c>
      <c r="C29" t="s">
        <v>77</v>
      </c>
      <c r="D29" s="44"/>
      <c r="F29" s="70">
        <f>_xlfn.RRI(4,'3 STATEMENT MODEL'!E51,'3 STATEMENT MODEL'!I51)</f>
        <v>4.8979953987485336E-2</v>
      </c>
    </row>
  </sheetData>
  <pageMargins left="0.7" right="0.7" top="0.75" bottom="0.75" header="0.3" footer="0.3"/>
  <pageSetup orientation="portrait" r:id="rId1"/>
  <ignoredErrors>
    <ignoredError sqref="F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"/>
  <sheetViews>
    <sheetView workbookViewId="0">
      <selection activeCell="L23" sqref="L23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9"/>
  <sheetViews>
    <sheetView zoomScaleNormal="100" zoomScalePageLayoutView="120" workbookViewId="0">
      <pane xSplit="1" ySplit="1" topLeftCell="B19" activePane="bottomRight" state="frozen"/>
      <selection activeCell="C4" sqref="C4"/>
      <selection pane="topRight" activeCell="C4" sqref="C4"/>
      <selection pane="bottomLeft" activeCell="C4" sqref="C4"/>
      <selection pane="bottomRight" activeCell="N34" sqref="N34"/>
    </sheetView>
  </sheetViews>
  <sheetFormatPr defaultColWidth="8.85546875" defaultRowHeight="15" x14ac:dyDescent="0.25"/>
  <cols>
    <col min="1" max="1" width="27.7109375" style="46" bestFit="1" customWidth="1"/>
    <col min="2" max="11" width="13.42578125" style="46" bestFit="1" customWidth="1"/>
    <col min="12" max="14" width="8.85546875" style="46"/>
    <col min="15" max="15" width="10" style="46" bestFit="1" customWidth="1"/>
    <col min="16" max="17" width="8.85546875" style="46"/>
    <col min="18" max="18" width="9.7109375" style="46" bestFit="1" customWidth="1"/>
    <col min="19" max="16384" width="8.85546875" style="46"/>
  </cols>
  <sheetData>
    <row r="1" spans="1:11" s="45" customFormat="1" x14ac:dyDescent="0.25">
      <c r="A1" s="45" t="s">
        <v>94</v>
      </c>
      <c r="B1" s="45" t="s">
        <v>82</v>
      </c>
      <c r="E1" s="180" t="str">
        <f>IF(B2&lt;&gt;B3, "A NEW VERSION OF THE WORKSHEET IS AVAILABLE", "")</f>
        <v/>
      </c>
      <c r="F1" s="180"/>
      <c r="G1" s="180"/>
      <c r="H1" s="180"/>
      <c r="I1" s="180"/>
      <c r="J1" s="180"/>
      <c r="K1" s="180"/>
    </row>
    <row r="2" spans="1:11" x14ac:dyDescent="0.25">
      <c r="A2" s="45" t="s">
        <v>95</v>
      </c>
      <c r="B2" s="46">
        <v>2.1</v>
      </c>
      <c r="E2" s="181" t="s">
        <v>96</v>
      </c>
      <c r="F2" s="181"/>
      <c r="G2" s="181"/>
      <c r="H2" s="181"/>
      <c r="I2" s="181"/>
      <c r="J2" s="181"/>
      <c r="K2" s="181"/>
    </row>
    <row r="3" spans="1:11" x14ac:dyDescent="0.25">
      <c r="A3" s="45" t="s">
        <v>97</v>
      </c>
      <c r="B3" s="46">
        <v>2.1</v>
      </c>
    </row>
    <row r="4" spans="1:11" x14ac:dyDescent="0.25">
      <c r="A4" s="45"/>
    </row>
    <row r="5" spans="1:11" x14ac:dyDescent="0.25">
      <c r="A5" s="45" t="s">
        <v>98</v>
      </c>
    </row>
    <row r="6" spans="1:11" x14ac:dyDescent="0.25">
      <c r="A6" s="46" t="s">
        <v>99</v>
      </c>
      <c r="B6" s="46">
        <f>IF(B9&gt;0, B9/B8, 0)</f>
        <v>1252.2004488778055</v>
      </c>
    </row>
    <row r="7" spans="1:11" x14ac:dyDescent="0.25">
      <c r="A7" s="46" t="s">
        <v>100</v>
      </c>
      <c r="B7" s="47">
        <v>1</v>
      </c>
    </row>
    <row r="8" spans="1:11" x14ac:dyDescent="0.25">
      <c r="A8" s="46" t="s">
        <v>101</v>
      </c>
      <c r="B8" s="47">
        <v>401</v>
      </c>
    </row>
    <row r="9" spans="1:11" x14ac:dyDescent="0.25">
      <c r="A9" s="46" t="s">
        <v>102</v>
      </c>
      <c r="B9" s="47">
        <v>502132.38</v>
      </c>
    </row>
    <row r="15" spans="1:11" x14ac:dyDescent="0.25">
      <c r="A15" s="45" t="s">
        <v>103</v>
      </c>
    </row>
    <row r="16" spans="1:11" s="50" customFormat="1" x14ac:dyDescent="0.25">
      <c r="A16" s="48" t="s">
        <v>104</v>
      </c>
      <c r="B16" s="49">
        <v>42460</v>
      </c>
      <c r="C16" s="49">
        <v>42825</v>
      </c>
      <c r="D16" s="49">
        <v>43190</v>
      </c>
      <c r="E16" s="49">
        <v>43555</v>
      </c>
      <c r="F16" s="49">
        <v>43921</v>
      </c>
      <c r="G16" s="49">
        <v>44286</v>
      </c>
      <c r="H16" s="49">
        <v>44651</v>
      </c>
      <c r="I16" s="49">
        <v>45016</v>
      </c>
      <c r="J16" s="49">
        <v>45382</v>
      </c>
      <c r="K16" s="49">
        <v>45747</v>
      </c>
    </row>
    <row r="17" spans="1:15" s="51" customFormat="1" x14ac:dyDescent="0.25">
      <c r="A17" s="51" t="s">
        <v>105</v>
      </c>
      <c r="B17" s="47">
        <v>39192.1</v>
      </c>
      <c r="C17" s="47">
        <v>42767.6</v>
      </c>
      <c r="D17" s="47">
        <v>43448.94</v>
      </c>
      <c r="E17" s="47">
        <v>48339.58</v>
      </c>
      <c r="F17" s="47">
        <v>49387.7</v>
      </c>
      <c r="G17" s="47">
        <v>49257.45</v>
      </c>
      <c r="H17" s="47">
        <v>60644.54</v>
      </c>
      <c r="I17" s="47">
        <v>70919.03</v>
      </c>
      <c r="J17" s="47">
        <v>67931.94</v>
      </c>
      <c r="K17" s="47">
        <v>75323.34</v>
      </c>
    </row>
    <row r="18" spans="1:15" s="51" customFormat="1" x14ac:dyDescent="0.25">
      <c r="A18" s="46" t="s">
        <v>106</v>
      </c>
      <c r="B18" s="47">
        <v>13763.88</v>
      </c>
      <c r="C18" s="47">
        <v>15456.59</v>
      </c>
      <c r="D18" s="47">
        <v>14827.72</v>
      </c>
      <c r="E18" s="47">
        <v>17623.52</v>
      </c>
      <c r="F18" s="47">
        <v>18048.599999999999</v>
      </c>
      <c r="G18" s="47">
        <v>20776.71</v>
      </c>
      <c r="H18" s="47">
        <v>27071.07</v>
      </c>
      <c r="I18" s="47">
        <v>29364.36</v>
      </c>
      <c r="J18" s="47">
        <v>27348.57</v>
      </c>
      <c r="K18" s="47">
        <v>32704.37</v>
      </c>
    </row>
    <row r="19" spans="1:15" s="51" customFormat="1" x14ac:dyDescent="0.25">
      <c r="A19" s="46" t="s">
        <v>107</v>
      </c>
      <c r="B19" s="47">
        <v>195.38</v>
      </c>
      <c r="C19" s="47">
        <v>-592.57000000000005</v>
      </c>
      <c r="D19" s="47">
        <v>-1027.76</v>
      </c>
      <c r="E19" s="47">
        <v>203.19</v>
      </c>
      <c r="F19" s="47">
        <v>703.13</v>
      </c>
      <c r="G19" s="47">
        <v>645.27</v>
      </c>
      <c r="H19" s="47">
        <v>686</v>
      </c>
      <c r="I19" s="47">
        <v>358.59</v>
      </c>
      <c r="J19" s="47">
        <v>367.77</v>
      </c>
      <c r="K19" s="47">
        <v>725.65</v>
      </c>
    </row>
    <row r="20" spans="1:15" s="51" customFormat="1" x14ac:dyDescent="0.25">
      <c r="A20" s="46" t="s">
        <v>108</v>
      </c>
      <c r="B20" s="47">
        <v>571.88</v>
      </c>
      <c r="C20" s="47">
        <v>584.33000000000004</v>
      </c>
      <c r="D20" s="47">
        <v>653.5</v>
      </c>
      <c r="E20" s="47">
        <v>746.73</v>
      </c>
      <c r="F20" s="47">
        <v>780.85</v>
      </c>
      <c r="G20" s="47">
        <v>699.56</v>
      </c>
      <c r="H20" s="47">
        <v>889.77</v>
      </c>
      <c r="I20" s="47">
        <v>1232.3399999999999</v>
      </c>
      <c r="J20" s="47">
        <v>952.9</v>
      </c>
      <c r="K20" s="47">
        <v>975.35</v>
      </c>
    </row>
    <row r="21" spans="1:15" s="51" customFormat="1" x14ac:dyDescent="0.25">
      <c r="A21" s="46" t="s">
        <v>109</v>
      </c>
      <c r="B21" s="47">
        <v>1581.59</v>
      </c>
      <c r="C21" s="47">
        <v>1683.9</v>
      </c>
      <c r="D21" s="47">
        <v>1697.62</v>
      </c>
      <c r="E21" s="47">
        <v>1871.01</v>
      </c>
      <c r="F21" s="47">
        <v>1908.29</v>
      </c>
      <c r="G21" s="47">
        <v>1587.18</v>
      </c>
      <c r="H21" s="47">
        <v>1887.67</v>
      </c>
      <c r="I21" s="47">
        <v>2327.8000000000002</v>
      </c>
      <c r="J21" s="47">
        <v>2183.7600000000002</v>
      </c>
      <c r="K21" s="47">
        <v>2345.36</v>
      </c>
    </row>
    <row r="22" spans="1:15" s="51" customFormat="1" x14ac:dyDescent="0.25">
      <c r="A22" s="46" t="s">
        <v>110</v>
      </c>
      <c r="B22" s="47">
        <v>3440.97</v>
      </c>
      <c r="C22" s="47">
        <v>3631.73</v>
      </c>
      <c r="D22" s="47">
        <v>3760.9</v>
      </c>
      <c r="E22" s="47">
        <v>4177.88</v>
      </c>
      <c r="F22" s="47">
        <v>4295.79</v>
      </c>
      <c r="G22" s="47">
        <v>4463.33</v>
      </c>
      <c r="H22" s="47">
        <v>4890.55</v>
      </c>
      <c r="I22" s="47">
        <v>5736.22</v>
      </c>
      <c r="J22" s="47">
        <v>5548.53</v>
      </c>
      <c r="K22" s="47">
        <v>6169.78</v>
      </c>
    </row>
    <row r="23" spans="1:15" s="51" customFormat="1" x14ac:dyDescent="0.25">
      <c r="A23" s="46" t="s">
        <v>111</v>
      </c>
      <c r="B23" s="47">
        <v>4261.78</v>
      </c>
      <c r="C23" s="47">
        <v>4179.74</v>
      </c>
      <c r="D23" s="47">
        <v>3954.87</v>
      </c>
      <c r="E23" s="47">
        <v>4546.3900000000003</v>
      </c>
      <c r="F23" s="47">
        <v>4488.63</v>
      </c>
      <c r="G23" s="47">
        <v>4236.7700000000004</v>
      </c>
      <c r="H23" s="47">
        <v>4858.38</v>
      </c>
      <c r="I23" s="47">
        <v>5604.08</v>
      </c>
      <c r="J23" s="47">
        <v>5312.45</v>
      </c>
      <c r="K23" s="47">
        <v>5793.29</v>
      </c>
    </row>
    <row r="24" spans="1:15" s="51" customFormat="1" x14ac:dyDescent="0.25">
      <c r="A24" s="46" t="s">
        <v>112</v>
      </c>
      <c r="B24" s="47">
        <v>1235.8900000000001</v>
      </c>
      <c r="C24" s="47">
        <v>1169.23</v>
      </c>
      <c r="D24" s="47">
        <v>1005.98</v>
      </c>
      <c r="E24" s="47">
        <v>1039.8499999999999</v>
      </c>
      <c r="F24" s="47">
        <v>1225.1300000000001</v>
      </c>
      <c r="G24" s="47">
        <v>1074.3900000000001</v>
      </c>
      <c r="H24" s="47">
        <v>1109.95</v>
      </c>
      <c r="I24" s="47">
        <v>1308.56</v>
      </c>
      <c r="J24" s="47">
        <v>1765.97</v>
      </c>
      <c r="K24" s="47">
        <v>2221.39</v>
      </c>
    </row>
    <row r="25" spans="1:15" s="51" customFormat="1" x14ac:dyDescent="0.25">
      <c r="A25" s="51" t="s">
        <v>113</v>
      </c>
      <c r="B25" s="47">
        <v>1483.11</v>
      </c>
      <c r="C25" s="47">
        <v>1758.63</v>
      </c>
      <c r="D25" s="47">
        <v>2239.81</v>
      </c>
      <c r="E25" s="47">
        <v>2080.44</v>
      </c>
      <c r="F25" s="47">
        <v>2417.3200000000002</v>
      </c>
      <c r="G25" s="47">
        <v>2576.9499999999998</v>
      </c>
      <c r="H25" s="47">
        <v>1909.72</v>
      </c>
      <c r="I25" s="47">
        <v>2097.64</v>
      </c>
      <c r="J25" s="47">
        <v>3330.45</v>
      </c>
      <c r="K25" s="47">
        <v>17794.88</v>
      </c>
      <c r="N25" s="133" t="s">
        <v>303</v>
      </c>
    </row>
    <row r="26" spans="1:15" s="51" customFormat="1" x14ac:dyDescent="0.25">
      <c r="A26" s="51" t="s">
        <v>114</v>
      </c>
      <c r="B26" s="47">
        <v>1077.4000000000001</v>
      </c>
      <c r="C26" s="47">
        <v>1152.79</v>
      </c>
      <c r="D26" s="47">
        <v>1236.28</v>
      </c>
      <c r="E26" s="47">
        <v>1396.61</v>
      </c>
      <c r="F26" s="47">
        <v>1644.91</v>
      </c>
      <c r="G26" s="47">
        <v>1645.59</v>
      </c>
      <c r="H26" s="47">
        <v>1732.41</v>
      </c>
      <c r="I26" s="47">
        <v>1809.01</v>
      </c>
      <c r="J26" s="47">
        <v>1518.05</v>
      </c>
      <c r="K26" s="47">
        <v>1646.32</v>
      </c>
    </row>
    <row r="27" spans="1:15" s="51" customFormat="1" x14ac:dyDescent="0.25">
      <c r="A27" s="51" t="s">
        <v>24</v>
      </c>
      <c r="B27" s="47">
        <v>78.13</v>
      </c>
      <c r="C27" s="47">
        <v>49.03</v>
      </c>
      <c r="D27" s="47">
        <v>115.01</v>
      </c>
      <c r="E27" s="47">
        <v>71.400000000000006</v>
      </c>
      <c r="F27" s="47">
        <v>81.38</v>
      </c>
      <c r="G27" s="47">
        <v>57.97</v>
      </c>
      <c r="H27" s="47">
        <v>59.99</v>
      </c>
      <c r="I27" s="47">
        <v>77.77</v>
      </c>
      <c r="J27" s="47">
        <v>39.11</v>
      </c>
      <c r="K27" s="47">
        <v>45.06</v>
      </c>
      <c r="N27" s="51">
        <v>3454</v>
      </c>
      <c r="O27" s="51">
        <f>K25-N27</f>
        <v>14340.880000000001</v>
      </c>
    </row>
    <row r="28" spans="1:15" s="51" customFormat="1" x14ac:dyDescent="0.25">
      <c r="A28" s="51" t="s">
        <v>115</v>
      </c>
      <c r="B28" s="47">
        <v>14859.07</v>
      </c>
      <c r="C28" s="47">
        <v>16026.32</v>
      </c>
      <c r="D28" s="47">
        <v>17409.11</v>
      </c>
      <c r="E28" s="47">
        <v>19149.82</v>
      </c>
      <c r="F28" s="47">
        <v>20034.57</v>
      </c>
      <c r="G28" s="47">
        <v>17938.169999999998</v>
      </c>
      <c r="H28" s="47">
        <v>20740.47</v>
      </c>
      <c r="I28" s="47">
        <v>25915.119999999999</v>
      </c>
      <c r="J28" s="47">
        <v>26960.82</v>
      </c>
      <c r="K28" s="47">
        <v>41942.949999999997</v>
      </c>
    </row>
    <row r="29" spans="1:15" s="51" customFormat="1" x14ac:dyDescent="0.25">
      <c r="A29" s="51" t="s">
        <v>116</v>
      </c>
      <c r="B29" s="47">
        <v>5358.21</v>
      </c>
      <c r="C29" s="47">
        <v>5549.09</v>
      </c>
      <c r="D29" s="47">
        <v>5916.43</v>
      </c>
      <c r="E29" s="47">
        <v>6313.92</v>
      </c>
      <c r="F29" s="47">
        <v>4441.79</v>
      </c>
      <c r="G29" s="47">
        <v>4555.29</v>
      </c>
      <c r="H29" s="47">
        <v>5237.34</v>
      </c>
      <c r="I29" s="47">
        <v>6438.4</v>
      </c>
      <c r="J29" s="47">
        <v>6209.46</v>
      </c>
      <c r="K29" s="47">
        <v>6890.47</v>
      </c>
    </row>
    <row r="30" spans="1:15" s="51" customFormat="1" x14ac:dyDescent="0.25">
      <c r="A30" s="51" t="s">
        <v>117</v>
      </c>
      <c r="B30" s="47">
        <v>9344.4500000000007</v>
      </c>
      <c r="C30" s="47">
        <v>10289.44</v>
      </c>
      <c r="D30" s="47">
        <v>11271.2</v>
      </c>
      <c r="E30" s="47">
        <v>12592.33</v>
      </c>
      <c r="F30" s="47">
        <v>15306.23</v>
      </c>
      <c r="G30" s="47">
        <v>13161.19</v>
      </c>
      <c r="H30" s="47">
        <v>15242.66</v>
      </c>
      <c r="I30" s="47">
        <v>19191.66</v>
      </c>
      <c r="J30" s="47">
        <v>20458.78</v>
      </c>
      <c r="K30" s="47">
        <v>34746.629999999997</v>
      </c>
    </row>
    <row r="31" spans="1:15" s="51" customFormat="1" x14ac:dyDescent="0.25">
      <c r="A31" s="51" t="s">
        <v>118</v>
      </c>
      <c r="B31" s="47">
        <v>6840.12</v>
      </c>
      <c r="C31" s="47">
        <v>5770.02</v>
      </c>
      <c r="D31" s="47">
        <v>6285.21</v>
      </c>
      <c r="E31" s="47">
        <v>7048.7</v>
      </c>
      <c r="F31" s="47">
        <v>12476.58</v>
      </c>
      <c r="G31" s="47">
        <v>13231.96</v>
      </c>
      <c r="H31" s="47">
        <v>14171.8</v>
      </c>
      <c r="I31" s="47">
        <v>19263.400000000001</v>
      </c>
      <c r="J31" s="47">
        <v>17166.46</v>
      </c>
      <c r="K31" s="47">
        <v>17957.73</v>
      </c>
    </row>
    <row r="32" spans="1:15" s="51" customFormat="1" x14ac:dyDescent="0.25"/>
    <row r="33" spans="1:11" x14ac:dyDescent="0.25">
      <c r="A33" s="51"/>
    </row>
    <row r="34" spans="1:11" x14ac:dyDescent="0.25">
      <c r="A34" s="51"/>
    </row>
    <row r="35" spans="1:11" x14ac:dyDescent="0.25">
      <c r="A35" s="51"/>
    </row>
    <row r="36" spans="1:11" x14ac:dyDescent="0.25">
      <c r="A36" s="51"/>
    </row>
    <row r="37" spans="1:11" x14ac:dyDescent="0.25">
      <c r="A37" s="51"/>
    </row>
    <row r="38" spans="1:11" x14ac:dyDescent="0.25">
      <c r="A38" s="51"/>
    </row>
    <row r="39" spans="1:11" x14ac:dyDescent="0.25">
      <c r="A39" s="51"/>
    </row>
    <row r="40" spans="1:11" x14ac:dyDescent="0.25">
      <c r="A40" s="45" t="s">
        <v>119</v>
      </c>
    </row>
    <row r="41" spans="1:11" s="50" customFormat="1" x14ac:dyDescent="0.25">
      <c r="A41" s="48" t="s">
        <v>104</v>
      </c>
      <c r="B41" s="49">
        <v>45016</v>
      </c>
      <c r="C41" s="49">
        <v>45107</v>
      </c>
      <c r="D41" s="49">
        <v>45199</v>
      </c>
      <c r="E41" s="49">
        <v>45291</v>
      </c>
      <c r="F41" s="49">
        <v>45382</v>
      </c>
      <c r="G41" s="49">
        <v>45473</v>
      </c>
      <c r="H41" s="49">
        <v>45565</v>
      </c>
      <c r="I41" s="49">
        <v>45657</v>
      </c>
      <c r="J41" s="49">
        <v>45747</v>
      </c>
      <c r="K41" s="49">
        <v>45838</v>
      </c>
    </row>
    <row r="42" spans="1:11" s="51" customFormat="1" x14ac:dyDescent="0.25">
      <c r="A42" s="51" t="s">
        <v>105</v>
      </c>
      <c r="B42" s="47">
        <v>17634.89</v>
      </c>
      <c r="C42" s="47">
        <v>17164.46</v>
      </c>
      <c r="D42" s="47">
        <v>17774.47</v>
      </c>
      <c r="E42" s="47">
        <v>17195.240000000002</v>
      </c>
      <c r="F42" s="47">
        <v>17037.8</v>
      </c>
      <c r="G42" s="47">
        <v>17777.810000000001</v>
      </c>
      <c r="H42" s="47">
        <v>19990.36</v>
      </c>
      <c r="I42" s="47">
        <v>18790.169999999998</v>
      </c>
      <c r="J42" s="47">
        <v>18765</v>
      </c>
      <c r="K42" s="47">
        <v>21494.79</v>
      </c>
    </row>
    <row r="43" spans="1:11" s="51" customFormat="1" x14ac:dyDescent="0.25">
      <c r="A43" s="51" t="s">
        <v>21</v>
      </c>
      <c r="B43" s="47">
        <v>11010.89</v>
      </c>
      <c r="C43" s="47">
        <v>10494.39</v>
      </c>
      <c r="D43" s="47">
        <v>11320.23</v>
      </c>
      <c r="E43" s="47">
        <v>10985.01</v>
      </c>
      <c r="F43" s="47">
        <v>10735.73</v>
      </c>
      <c r="G43" s="47">
        <v>11232.97</v>
      </c>
      <c r="H43" s="47">
        <v>13438.28</v>
      </c>
      <c r="I43" s="47">
        <v>12428.27</v>
      </c>
      <c r="J43" s="47">
        <v>12245.61</v>
      </c>
      <c r="K43" s="47">
        <v>14678.32</v>
      </c>
    </row>
    <row r="44" spans="1:11" s="51" customFormat="1" x14ac:dyDescent="0.25">
      <c r="A44" s="51" t="s">
        <v>113</v>
      </c>
      <c r="B44" s="47">
        <v>682.52</v>
      </c>
      <c r="C44" s="47">
        <v>722.3</v>
      </c>
      <c r="D44" s="47">
        <v>673.5</v>
      </c>
      <c r="E44" s="47">
        <v>820.26</v>
      </c>
      <c r="F44" s="47">
        <v>868</v>
      </c>
      <c r="G44" s="47">
        <v>771.13</v>
      </c>
      <c r="H44" s="47">
        <v>690.31</v>
      </c>
      <c r="I44" s="47">
        <v>803.4</v>
      </c>
      <c r="J44" s="47">
        <v>15391.28</v>
      </c>
      <c r="K44" s="47">
        <v>750.97</v>
      </c>
    </row>
    <row r="45" spans="1:11" s="51" customFormat="1" x14ac:dyDescent="0.25">
      <c r="A45" s="51" t="s">
        <v>114</v>
      </c>
      <c r="B45" s="47">
        <v>461.4</v>
      </c>
      <c r="C45" s="47">
        <v>442.46</v>
      </c>
      <c r="D45" s="47">
        <v>453.04</v>
      </c>
      <c r="E45" s="47">
        <v>384.04</v>
      </c>
      <c r="F45" s="47">
        <v>385.09</v>
      </c>
      <c r="G45" s="47">
        <v>403.13</v>
      </c>
      <c r="H45" s="47">
        <v>416.18</v>
      </c>
      <c r="I45" s="47">
        <v>415.98</v>
      </c>
      <c r="J45" s="47">
        <v>411.03</v>
      </c>
      <c r="K45" s="47">
        <v>422.96</v>
      </c>
    </row>
    <row r="46" spans="1:11" s="51" customFormat="1" x14ac:dyDescent="0.25">
      <c r="A46" s="51" t="s">
        <v>24</v>
      </c>
      <c r="B46" s="47">
        <v>12.15</v>
      </c>
      <c r="C46" s="47">
        <v>9.9</v>
      </c>
      <c r="D46" s="47">
        <v>9.8699999999999992</v>
      </c>
      <c r="E46" s="47">
        <v>11.94</v>
      </c>
      <c r="F46" s="47">
        <v>10.72</v>
      </c>
      <c r="G46" s="47">
        <v>9.6</v>
      </c>
      <c r="H46" s="47">
        <v>14.73</v>
      </c>
      <c r="I46" s="47">
        <v>9.82</v>
      </c>
      <c r="J46" s="47">
        <v>10.91</v>
      </c>
      <c r="K46" s="47">
        <v>16.47</v>
      </c>
    </row>
    <row r="47" spans="1:11" s="51" customFormat="1" x14ac:dyDescent="0.25">
      <c r="A47" s="51" t="s">
        <v>115</v>
      </c>
      <c r="B47" s="47">
        <v>6832.97</v>
      </c>
      <c r="C47" s="47">
        <v>6940.01</v>
      </c>
      <c r="D47" s="47">
        <v>6664.83</v>
      </c>
      <c r="E47" s="47">
        <v>6634.51</v>
      </c>
      <c r="F47" s="47">
        <v>6774.26</v>
      </c>
      <c r="G47" s="47">
        <v>6903.24</v>
      </c>
      <c r="H47" s="47">
        <v>6811.48</v>
      </c>
      <c r="I47" s="47">
        <v>6739.5</v>
      </c>
      <c r="J47" s="47">
        <v>21488.73</v>
      </c>
      <c r="K47" s="47">
        <v>7128.01</v>
      </c>
    </row>
    <row r="48" spans="1:11" s="51" customFormat="1" x14ac:dyDescent="0.25">
      <c r="A48" s="51" t="s">
        <v>116</v>
      </c>
      <c r="B48" s="47">
        <v>1607.95</v>
      </c>
      <c r="C48" s="47">
        <v>1759.89</v>
      </c>
      <c r="D48" s="47">
        <v>1700.31</v>
      </c>
      <c r="E48" s="47">
        <v>1227.99</v>
      </c>
      <c r="F48" s="47">
        <v>1583.55</v>
      </c>
      <c r="G48" s="47">
        <v>1726.25</v>
      </c>
      <c r="H48" s="47">
        <v>1757.05</v>
      </c>
      <c r="I48" s="47">
        <v>1726.32</v>
      </c>
      <c r="J48" s="47">
        <v>1680.85</v>
      </c>
      <c r="K48" s="47">
        <v>1784.6</v>
      </c>
    </row>
    <row r="49" spans="1:11" s="51" customFormat="1" x14ac:dyDescent="0.25">
      <c r="A49" s="51" t="s">
        <v>117</v>
      </c>
      <c r="B49" s="47">
        <v>5175.4799999999996</v>
      </c>
      <c r="C49" s="47">
        <v>5104.93</v>
      </c>
      <c r="D49" s="47">
        <v>4898.07</v>
      </c>
      <c r="E49" s="47">
        <v>5335.23</v>
      </c>
      <c r="F49" s="47">
        <v>5120.55</v>
      </c>
      <c r="G49" s="47">
        <v>5091.59</v>
      </c>
      <c r="H49" s="47">
        <v>4992.87</v>
      </c>
      <c r="I49" s="47">
        <v>4934.8</v>
      </c>
      <c r="J49" s="47">
        <v>19727.37</v>
      </c>
      <c r="K49" s="47">
        <v>5244.2</v>
      </c>
    </row>
    <row r="50" spans="1:11" x14ac:dyDescent="0.25">
      <c r="A50" s="51" t="s">
        <v>120</v>
      </c>
      <c r="B50" s="47">
        <v>6624</v>
      </c>
      <c r="C50" s="47">
        <v>6670.07</v>
      </c>
      <c r="D50" s="47">
        <v>6454.24</v>
      </c>
      <c r="E50" s="47">
        <v>6210.23</v>
      </c>
      <c r="F50" s="47">
        <v>6302.07</v>
      </c>
      <c r="G50" s="47">
        <v>6544.84</v>
      </c>
      <c r="H50" s="47">
        <v>6552.08</v>
      </c>
      <c r="I50" s="47">
        <v>6361.9</v>
      </c>
      <c r="J50" s="47">
        <v>6519.39</v>
      </c>
      <c r="K50" s="47">
        <v>6816.47</v>
      </c>
    </row>
    <row r="51" spans="1:11" x14ac:dyDescent="0.25">
      <c r="A51" s="51"/>
    </row>
    <row r="52" spans="1:11" x14ac:dyDescent="0.25">
      <c r="A52" s="51"/>
    </row>
    <row r="53" spans="1:11" x14ac:dyDescent="0.25">
      <c r="A53" s="51"/>
    </row>
    <row r="54" spans="1:11" x14ac:dyDescent="0.25">
      <c r="A54" s="51"/>
    </row>
    <row r="55" spans="1:11" x14ac:dyDescent="0.25">
      <c r="A55" s="45" t="s">
        <v>121</v>
      </c>
    </row>
    <row r="56" spans="1:11" s="50" customFormat="1" x14ac:dyDescent="0.25">
      <c r="A56" s="48" t="s">
        <v>104</v>
      </c>
      <c r="B56" s="49">
        <v>42460</v>
      </c>
      <c r="C56" s="49">
        <v>42825</v>
      </c>
      <c r="D56" s="49">
        <v>43190</v>
      </c>
      <c r="E56" s="49">
        <v>43555</v>
      </c>
      <c r="F56" s="49">
        <v>43921</v>
      </c>
      <c r="G56" s="49">
        <v>44286</v>
      </c>
      <c r="H56" s="49">
        <v>44651</v>
      </c>
      <c r="I56" s="49">
        <v>45016</v>
      </c>
      <c r="J56" s="49">
        <v>45382</v>
      </c>
      <c r="K56" s="49">
        <v>45747</v>
      </c>
    </row>
    <row r="57" spans="1:11" x14ac:dyDescent="0.25">
      <c r="A57" s="51" t="s">
        <v>122</v>
      </c>
      <c r="B57" s="47">
        <v>804.72</v>
      </c>
      <c r="C57" s="47">
        <v>1214.74</v>
      </c>
      <c r="D57" s="47">
        <v>1220.43</v>
      </c>
      <c r="E57" s="47">
        <v>1225.8599999999999</v>
      </c>
      <c r="F57" s="47">
        <v>1229.22</v>
      </c>
      <c r="G57" s="47">
        <v>1230.8800000000001</v>
      </c>
      <c r="H57" s="47">
        <v>1232.33</v>
      </c>
      <c r="I57" s="47">
        <v>1242.8</v>
      </c>
      <c r="J57" s="47">
        <v>1248.47</v>
      </c>
      <c r="K57" s="47">
        <v>1251.4100000000001</v>
      </c>
    </row>
    <row r="58" spans="1:11" x14ac:dyDescent="0.25">
      <c r="A58" s="51" t="s">
        <v>123</v>
      </c>
      <c r="B58" s="47">
        <v>41874.800000000003</v>
      </c>
      <c r="C58" s="47">
        <v>45198.19</v>
      </c>
      <c r="D58" s="47">
        <v>51289.68</v>
      </c>
      <c r="E58" s="47">
        <v>57915.01</v>
      </c>
      <c r="F58" s="47">
        <v>64044.04</v>
      </c>
      <c r="G58" s="47">
        <v>59116.46</v>
      </c>
      <c r="H58" s="47">
        <v>61223.24</v>
      </c>
      <c r="I58" s="47">
        <v>67912.460000000006</v>
      </c>
      <c r="J58" s="47">
        <v>73258.53</v>
      </c>
      <c r="K58" s="47">
        <v>68778.64</v>
      </c>
    </row>
    <row r="59" spans="1:11" x14ac:dyDescent="0.25">
      <c r="A59" s="51" t="s">
        <v>124</v>
      </c>
      <c r="B59" s="47">
        <v>83.78</v>
      </c>
      <c r="C59" s="47">
        <v>45.72</v>
      </c>
      <c r="D59" s="47">
        <v>35.92</v>
      </c>
      <c r="E59" s="47">
        <v>13.44</v>
      </c>
      <c r="F59" s="47">
        <v>277.45</v>
      </c>
      <c r="G59" s="47">
        <v>270.83</v>
      </c>
      <c r="H59" s="47">
        <v>249.44</v>
      </c>
      <c r="I59" s="47">
        <v>306.04000000000002</v>
      </c>
      <c r="J59" s="47">
        <v>303.43</v>
      </c>
      <c r="K59" s="47">
        <v>284.54000000000002</v>
      </c>
    </row>
    <row r="60" spans="1:11" x14ac:dyDescent="0.25">
      <c r="A60" s="51" t="s">
        <v>125</v>
      </c>
      <c r="B60" s="47">
        <v>8888.0400000000009</v>
      </c>
      <c r="C60" s="47">
        <v>9439.67</v>
      </c>
      <c r="D60" s="47">
        <v>11694.85</v>
      </c>
      <c r="E60" s="47">
        <v>12584.73</v>
      </c>
      <c r="F60" s="47">
        <v>11760.04</v>
      </c>
      <c r="G60" s="47">
        <v>13142.59</v>
      </c>
      <c r="H60" s="47">
        <v>14491.01</v>
      </c>
      <c r="I60" s="47">
        <v>16369.66</v>
      </c>
      <c r="J60" s="47">
        <v>16943.54</v>
      </c>
      <c r="K60" s="47">
        <v>17688.11</v>
      </c>
    </row>
    <row r="61" spans="1:11" s="45" customFormat="1" x14ac:dyDescent="0.25">
      <c r="A61" s="45" t="s">
        <v>126</v>
      </c>
      <c r="B61" s="47">
        <v>51651.34</v>
      </c>
      <c r="C61" s="47">
        <v>55898.32</v>
      </c>
      <c r="D61" s="47">
        <v>64240.88</v>
      </c>
      <c r="E61" s="47">
        <v>71739.039999999994</v>
      </c>
      <c r="F61" s="47">
        <v>77310.75</v>
      </c>
      <c r="G61" s="47">
        <v>73760.759999999995</v>
      </c>
      <c r="H61" s="47">
        <v>77196.02</v>
      </c>
      <c r="I61" s="47">
        <v>85830.96</v>
      </c>
      <c r="J61" s="47">
        <v>91753.97</v>
      </c>
      <c r="K61" s="47">
        <v>88002.7</v>
      </c>
    </row>
    <row r="62" spans="1:11" x14ac:dyDescent="0.25">
      <c r="A62" s="51" t="s">
        <v>127</v>
      </c>
      <c r="B62" s="47">
        <v>15106.63</v>
      </c>
      <c r="C62" s="47">
        <v>15893.48</v>
      </c>
      <c r="D62" s="47">
        <v>16523.96</v>
      </c>
      <c r="E62" s="47">
        <v>19374.189999999999</v>
      </c>
      <c r="F62" s="47">
        <v>21713.34</v>
      </c>
      <c r="G62" s="47">
        <v>23298.48</v>
      </c>
      <c r="H62" s="47">
        <v>24231.59</v>
      </c>
      <c r="I62" s="47">
        <v>25851.27</v>
      </c>
      <c r="J62" s="47">
        <v>27820.22</v>
      </c>
      <c r="K62" s="47">
        <v>21954.85</v>
      </c>
    </row>
    <row r="63" spans="1:11" x14ac:dyDescent="0.25">
      <c r="A63" s="51" t="s">
        <v>128</v>
      </c>
      <c r="B63" s="47">
        <v>2559.7199999999998</v>
      </c>
      <c r="C63" s="47">
        <v>3729.89</v>
      </c>
      <c r="D63" s="47">
        <v>5508.33</v>
      </c>
      <c r="E63" s="47">
        <v>4136.42</v>
      </c>
      <c r="F63" s="47">
        <v>3256.46</v>
      </c>
      <c r="G63" s="47">
        <v>4011.29</v>
      </c>
      <c r="H63" s="47">
        <v>3225.54</v>
      </c>
      <c r="I63" s="47">
        <v>3003.3</v>
      </c>
      <c r="J63" s="47">
        <v>2860.78</v>
      </c>
      <c r="K63" s="47">
        <v>1090.9100000000001</v>
      </c>
    </row>
    <row r="64" spans="1:11" x14ac:dyDescent="0.25">
      <c r="A64" s="51" t="s">
        <v>129</v>
      </c>
      <c r="B64" s="47">
        <v>11747.59</v>
      </c>
      <c r="C64" s="47">
        <v>17581.38</v>
      </c>
      <c r="D64" s="47">
        <v>22052.86</v>
      </c>
      <c r="E64" s="47">
        <v>25043.49</v>
      </c>
      <c r="F64" s="47">
        <v>28663.35</v>
      </c>
      <c r="G64" s="47">
        <v>24870.87</v>
      </c>
      <c r="H64" s="47">
        <v>24841.01</v>
      </c>
      <c r="I64" s="47">
        <v>29415.02</v>
      </c>
      <c r="J64" s="47">
        <v>31114.02</v>
      </c>
      <c r="K64" s="47">
        <v>34719.82</v>
      </c>
    </row>
    <row r="65" spans="1:17" x14ac:dyDescent="0.25">
      <c r="A65" s="51" t="s">
        <v>130</v>
      </c>
      <c r="B65" s="47">
        <v>22237.4</v>
      </c>
      <c r="C65" s="47">
        <v>18693.57</v>
      </c>
      <c r="D65" s="47">
        <v>20155.73</v>
      </c>
      <c r="E65" s="47">
        <v>23184.94</v>
      </c>
      <c r="F65" s="47">
        <v>23677.599999999999</v>
      </c>
      <c r="G65" s="47">
        <v>21580.12</v>
      </c>
      <c r="H65" s="47">
        <v>24897.88</v>
      </c>
      <c r="I65" s="47">
        <v>27561.37</v>
      </c>
      <c r="J65" s="47">
        <v>29958.95</v>
      </c>
      <c r="K65" s="47">
        <v>30237.119999999999</v>
      </c>
    </row>
    <row r="66" spans="1:17" s="45" customFormat="1" x14ac:dyDescent="0.25">
      <c r="A66" s="45" t="s">
        <v>126</v>
      </c>
      <c r="B66" s="47">
        <v>51651.34</v>
      </c>
      <c r="C66" s="47">
        <v>55898.32</v>
      </c>
      <c r="D66" s="47">
        <v>64240.88</v>
      </c>
      <c r="E66" s="47">
        <v>71739.039999999994</v>
      </c>
      <c r="F66" s="47">
        <v>77310.75</v>
      </c>
      <c r="G66" s="47">
        <v>73760.759999999995</v>
      </c>
      <c r="H66" s="47">
        <v>77196.02</v>
      </c>
      <c r="I66" s="47">
        <v>85830.96</v>
      </c>
      <c r="J66" s="47">
        <v>91753.97</v>
      </c>
      <c r="K66" s="47">
        <v>88002.7</v>
      </c>
    </row>
    <row r="67" spans="1:17" s="51" customFormat="1" x14ac:dyDescent="0.25">
      <c r="A67" s="51" t="s">
        <v>131</v>
      </c>
      <c r="B67" s="47">
        <v>1917.18</v>
      </c>
      <c r="C67" s="47">
        <v>2474.29</v>
      </c>
      <c r="D67" s="47">
        <v>2682.29</v>
      </c>
      <c r="E67" s="47">
        <v>4035.28</v>
      </c>
      <c r="F67" s="47">
        <v>2562.48</v>
      </c>
      <c r="G67" s="47">
        <v>2501.6999999999998</v>
      </c>
      <c r="H67" s="47">
        <v>2461.9</v>
      </c>
      <c r="I67" s="47">
        <v>2956.17</v>
      </c>
      <c r="J67" s="47">
        <v>4025.82</v>
      </c>
      <c r="K67" s="47">
        <v>4719.67</v>
      </c>
      <c r="M67" s="51">
        <f>G67-F67</f>
        <v>-60.7800000000002</v>
      </c>
      <c r="N67" s="51">
        <f t="shared" ref="N67:Q67" si="0">H67-G67</f>
        <v>-39.799999999999727</v>
      </c>
      <c r="O67" s="51">
        <f t="shared" si="0"/>
        <v>494.27</v>
      </c>
      <c r="P67" s="51">
        <f t="shared" si="0"/>
        <v>1069.6500000000001</v>
      </c>
      <c r="Q67" s="51">
        <f t="shared" si="0"/>
        <v>693.84999999999991</v>
      </c>
    </row>
    <row r="68" spans="1:17" x14ac:dyDescent="0.25">
      <c r="A68" s="51" t="s">
        <v>33</v>
      </c>
      <c r="B68" s="47">
        <v>9062.1</v>
      </c>
      <c r="C68" s="47">
        <v>8116.1</v>
      </c>
      <c r="D68" s="47">
        <v>7495.09</v>
      </c>
      <c r="E68" s="47">
        <v>7859.56</v>
      </c>
      <c r="F68" s="47">
        <v>8879.33</v>
      </c>
      <c r="G68" s="47">
        <v>10397.16</v>
      </c>
      <c r="H68" s="47">
        <v>10864.15</v>
      </c>
      <c r="I68" s="47">
        <v>11771.16</v>
      </c>
      <c r="J68" s="47">
        <v>14152.88</v>
      </c>
      <c r="K68" s="47">
        <v>15637.56</v>
      </c>
    </row>
    <row r="69" spans="1:17" x14ac:dyDescent="0.25">
      <c r="A69" s="46" t="s">
        <v>132</v>
      </c>
      <c r="B69" s="47">
        <v>6063.3</v>
      </c>
      <c r="C69" s="47">
        <v>2967.4</v>
      </c>
      <c r="D69" s="47">
        <v>2899.6</v>
      </c>
      <c r="E69" s="47">
        <v>4152.03</v>
      </c>
      <c r="F69" s="47">
        <v>7277.34</v>
      </c>
      <c r="G69" s="47">
        <v>4659.0200000000004</v>
      </c>
      <c r="H69" s="47">
        <v>4654.42</v>
      </c>
      <c r="I69" s="47">
        <v>4880.1899999999996</v>
      </c>
      <c r="J69" s="47">
        <v>7217.68</v>
      </c>
      <c r="K69" s="47">
        <v>4012.36</v>
      </c>
    </row>
    <row r="70" spans="1:17" x14ac:dyDescent="0.25">
      <c r="A70" s="46" t="s">
        <v>133</v>
      </c>
      <c r="B70" s="47">
        <v>8047206991</v>
      </c>
      <c r="C70" s="47">
        <v>12147383071</v>
      </c>
      <c r="D70" s="47">
        <v>12204294911</v>
      </c>
      <c r="E70" s="47">
        <v>12258631601</v>
      </c>
      <c r="F70" s="47">
        <v>12292231241</v>
      </c>
      <c r="G70" s="47">
        <v>12308844231</v>
      </c>
      <c r="H70" s="47">
        <v>12323255931</v>
      </c>
      <c r="I70" s="47">
        <v>12428017741</v>
      </c>
      <c r="J70" s="47">
        <v>12484700000</v>
      </c>
      <c r="K70" s="47">
        <v>12514119781</v>
      </c>
    </row>
    <row r="71" spans="1:17" x14ac:dyDescent="0.25">
      <c r="A71" s="46" t="s">
        <v>134</v>
      </c>
      <c r="C71" s="47">
        <v>4026657100</v>
      </c>
    </row>
    <row r="72" spans="1:17" x14ac:dyDescent="0.25">
      <c r="A72" s="46" t="s">
        <v>135</v>
      </c>
      <c r="B72" s="47">
        <v>1</v>
      </c>
      <c r="C72" s="47">
        <v>1</v>
      </c>
      <c r="D72" s="47">
        <v>1</v>
      </c>
      <c r="E72" s="47">
        <v>1</v>
      </c>
      <c r="F72" s="47">
        <v>1</v>
      </c>
      <c r="G72" s="47">
        <v>1</v>
      </c>
      <c r="H72" s="47">
        <v>1</v>
      </c>
      <c r="I72" s="47">
        <v>1</v>
      </c>
      <c r="J72" s="47">
        <v>1</v>
      </c>
      <c r="K72" s="47">
        <v>1</v>
      </c>
    </row>
    <row r="74" spans="1:17" x14ac:dyDescent="0.25">
      <c r="A74" s="51"/>
    </row>
    <row r="75" spans="1:17" x14ac:dyDescent="0.25">
      <c r="A75" s="51"/>
    </row>
    <row r="76" spans="1:17" x14ac:dyDescent="0.25">
      <c r="A76" s="51"/>
    </row>
    <row r="77" spans="1:17" x14ac:dyDescent="0.25">
      <c r="A77" s="51"/>
    </row>
    <row r="78" spans="1:17" x14ac:dyDescent="0.25">
      <c r="A78" s="51"/>
    </row>
    <row r="79" spans="1:17" x14ac:dyDescent="0.25">
      <c r="A79" s="51"/>
    </row>
    <row r="80" spans="1:17" x14ac:dyDescent="0.25">
      <c r="A80" s="45" t="s">
        <v>136</v>
      </c>
    </row>
    <row r="81" spans="1:11" s="50" customFormat="1" x14ac:dyDescent="0.25">
      <c r="A81" s="48" t="s">
        <v>104</v>
      </c>
      <c r="B81" s="49">
        <v>42460</v>
      </c>
      <c r="C81" s="49">
        <v>42825</v>
      </c>
      <c r="D81" s="49">
        <v>43190</v>
      </c>
      <c r="E81" s="49">
        <v>43555</v>
      </c>
      <c r="F81" s="49">
        <v>43921</v>
      </c>
      <c r="G81" s="49">
        <v>44286</v>
      </c>
      <c r="H81" s="49">
        <v>44651</v>
      </c>
      <c r="I81" s="49">
        <v>45016</v>
      </c>
      <c r="J81" s="49">
        <v>45382</v>
      </c>
      <c r="K81" s="49">
        <v>45747</v>
      </c>
    </row>
    <row r="82" spans="1:11" s="45" customFormat="1" x14ac:dyDescent="0.25">
      <c r="A82" s="51" t="s">
        <v>137</v>
      </c>
      <c r="B82" s="47">
        <v>9799.0400000000009</v>
      </c>
      <c r="C82" s="47">
        <v>10627.31</v>
      </c>
      <c r="D82" s="47">
        <v>13169.4</v>
      </c>
      <c r="E82" s="47">
        <v>12583.41</v>
      </c>
      <c r="F82" s="47">
        <v>14689.66</v>
      </c>
      <c r="G82" s="47">
        <v>12526.97</v>
      </c>
      <c r="H82" s="47">
        <v>15775.51</v>
      </c>
      <c r="I82" s="47">
        <v>18877.55</v>
      </c>
      <c r="J82" s="47">
        <v>17178.86</v>
      </c>
      <c r="K82" s="47">
        <v>17627.04</v>
      </c>
    </row>
    <row r="83" spans="1:11" s="51" customFormat="1" x14ac:dyDescent="0.25">
      <c r="A83" s="51" t="s">
        <v>138</v>
      </c>
      <c r="B83" s="47">
        <v>-3920.73</v>
      </c>
      <c r="C83" s="47">
        <v>-3250.93</v>
      </c>
      <c r="D83" s="47">
        <v>-7113.89</v>
      </c>
      <c r="E83" s="47">
        <v>-5545.68</v>
      </c>
      <c r="F83" s="47">
        <v>-6174.02</v>
      </c>
      <c r="G83" s="47">
        <v>5739.98</v>
      </c>
      <c r="H83" s="47">
        <v>-2238.4899999999998</v>
      </c>
      <c r="I83" s="47">
        <v>-5732.29</v>
      </c>
      <c r="J83" s="47">
        <v>1562.77</v>
      </c>
      <c r="K83" s="47">
        <v>-563.84</v>
      </c>
    </row>
    <row r="84" spans="1:11" s="51" customFormat="1" x14ac:dyDescent="0.25">
      <c r="A84" s="51" t="s">
        <v>139</v>
      </c>
      <c r="B84" s="47">
        <v>-5612.52</v>
      </c>
      <c r="C84" s="47">
        <v>-7301.03</v>
      </c>
      <c r="D84" s="47">
        <v>-6221.13</v>
      </c>
      <c r="E84" s="47">
        <v>-6868.64</v>
      </c>
      <c r="F84" s="47">
        <v>-8181.48</v>
      </c>
      <c r="G84" s="47">
        <v>-18633.830000000002</v>
      </c>
      <c r="H84" s="47">
        <v>-13580.5</v>
      </c>
      <c r="I84" s="47">
        <v>-13006.03</v>
      </c>
      <c r="J84" s="47">
        <v>-18550.96</v>
      </c>
      <c r="K84" s="47">
        <v>-17037.400000000001</v>
      </c>
    </row>
    <row r="85" spans="1:11" s="45" customFormat="1" x14ac:dyDescent="0.25">
      <c r="A85" s="51" t="s">
        <v>140</v>
      </c>
      <c r="B85" s="47">
        <v>265.79000000000002</v>
      </c>
      <c r="C85" s="47">
        <v>75.349999999999994</v>
      </c>
      <c r="D85" s="47">
        <v>-165.62</v>
      </c>
      <c r="E85" s="47">
        <v>169.09</v>
      </c>
      <c r="F85" s="47">
        <v>334.16</v>
      </c>
      <c r="G85" s="47">
        <v>-366.88</v>
      </c>
      <c r="H85" s="47">
        <v>-43.48</v>
      </c>
      <c r="I85" s="47">
        <v>139.22999999999999</v>
      </c>
      <c r="J85" s="47">
        <v>190.67</v>
      </c>
      <c r="K85" s="47">
        <v>25.8</v>
      </c>
    </row>
    <row r="86" spans="1:11" x14ac:dyDescent="0.25">
      <c r="A86" s="51"/>
    </row>
    <row r="87" spans="1:11" x14ac:dyDescent="0.25">
      <c r="A87" s="51"/>
    </row>
    <row r="88" spans="1:11" x14ac:dyDescent="0.25">
      <c r="A88" s="51"/>
    </row>
    <row r="89" spans="1:11" x14ac:dyDescent="0.25">
      <c r="A89" s="51"/>
    </row>
    <row r="90" spans="1:11" s="45" customFormat="1" x14ac:dyDescent="0.25">
      <c r="A90" s="45" t="s">
        <v>141</v>
      </c>
      <c r="B90" s="47">
        <v>205.13</v>
      </c>
      <c r="C90" s="47">
        <v>262.75</v>
      </c>
      <c r="D90" s="47">
        <v>239.5</v>
      </c>
      <c r="E90" s="47">
        <v>278.64</v>
      </c>
      <c r="F90" s="47">
        <v>160.94999999999999</v>
      </c>
      <c r="G90" s="47">
        <v>204.82</v>
      </c>
      <c r="H90" s="47">
        <v>234.96</v>
      </c>
      <c r="I90" s="47">
        <v>359.49</v>
      </c>
      <c r="J90" s="47">
        <v>401.53</v>
      </c>
      <c r="K90" s="47">
        <v>409.75</v>
      </c>
    </row>
    <row r="92" spans="1:11" s="45" customFormat="1" x14ac:dyDescent="0.25">
      <c r="A92" s="45" t="s">
        <v>142</v>
      </c>
    </row>
    <row r="93" spans="1:11" x14ac:dyDescent="0.25">
      <c r="A93" s="46" t="s">
        <v>143</v>
      </c>
      <c r="B93" s="52">
        <v>1207.08</v>
      </c>
      <c r="C93" s="52">
        <v>1214.74</v>
      </c>
      <c r="D93" s="52">
        <v>1220.43</v>
      </c>
      <c r="E93" s="52">
        <v>1225.8599999999999</v>
      </c>
      <c r="F93" s="52">
        <v>1229.22</v>
      </c>
      <c r="G93" s="52">
        <v>1230.8800000000001</v>
      </c>
      <c r="H93" s="52">
        <v>1232.33</v>
      </c>
      <c r="I93" s="52">
        <v>1242.8</v>
      </c>
      <c r="J93" s="52">
        <v>1248.47</v>
      </c>
      <c r="K93" s="52">
        <v>1251.4100000000001</v>
      </c>
    </row>
    <row r="95" spans="1:11" x14ac:dyDescent="0.25">
      <c r="A95" s="46" t="s">
        <v>102</v>
      </c>
      <c r="B95" s="46">
        <f>B93*B90</f>
        <v>247608.32039999997</v>
      </c>
      <c r="C95" s="46">
        <f t="shared" ref="C95:K95" si="1">C93*C90</f>
        <v>319172.935</v>
      </c>
      <c r="D95" s="46">
        <f t="shared" si="1"/>
        <v>292292.98500000004</v>
      </c>
      <c r="E95" s="46">
        <f t="shared" si="1"/>
        <v>341573.63039999997</v>
      </c>
      <c r="F95" s="46">
        <f t="shared" si="1"/>
        <v>197842.959</v>
      </c>
      <c r="G95" s="46">
        <f t="shared" si="1"/>
        <v>252108.84160000001</v>
      </c>
      <c r="H95" s="46">
        <f t="shared" si="1"/>
        <v>289548.25679999997</v>
      </c>
      <c r="I95" s="46">
        <f t="shared" si="1"/>
        <v>446774.17200000002</v>
      </c>
      <c r="J95" s="46">
        <f t="shared" si="1"/>
        <v>501298.15909999999</v>
      </c>
      <c r="K95" s="46">
        <f t="shared" si="1"/>
        <v>512765.24750000006</v>
      </c>
    </row>
    <row r="96" spans="1:11" x14ac:dyDescent="0.25">
      <c r="A96" s="46" t="s">
        <v>38</v>
      </c>
      <c r="B96" s="46">
        <f>B59</f>
        <v>83.78</v>
      </c>
      <c r="C96" s="46">
        <f t="shared" ref="C96:K96" si="2">C59</f>
        <v>45.72</v>
      </c>
      <c r="D96" s="46">
        <f t="shared" si="2"/>
        <v>35.92</v>
      </c>
      <c r="E96" s="46">
        <f t="shared" si="2"/>
        <v>13.44</v>
      </c>
      <c r="F96" s="46">
        <f t="shared" si="2"/>
        <v>277.45</v>
      </c>
      <c r="G96" s="46">
        <f t="shared" si="2"/>
        <v>270.83</v>
      </c>
      <c r="H96" s="46">
        <f t="shared" si="2"/>
        <v>249.44</v>
      </c>
      <c r="I96" s="46">
        <f t="shared" si="2"/>
        <v>306.04000000000002</v>
      </c>
      <c r="J96" s="46">
        <f t="shared" si="2"/>
        <v>303.43</v>
      </c>
      <c r="K96" s="46">
        <f t="shared" si="2"/>
        <v>284.54000000000002</v>
      </c>
    </row>
    <row r="97" spans="1:11" x14ac:dyDescent="0.25">
      <c r="A97" s="46" t="s">
        <v>31</v>
      </c>
      <c r="B97" s="46">
        <f>B69</f>
        <v>6063.3</v>
      </c>
      <c r="C97" s="46">
        <f t="shared" ref="C97:K97" si="3">C69</f>
        <v>2967.4</v>
      </c>
      <c r="D97" s="46">
        <f t="shared" si="3"/>
        <v>2899.6</v>
      </c>
      <c r="E97" s="46">
        <f t="shared" si="3"/>
        <v>4152.03</v>
      </c>
      <c r="F97" s="46">
        <f t="shared" si="3"/>
        <v>7277.34</v>
      </c>
      <c r="G97" s="46">
        <f t="shared" si="3"/>
        <v>4659.0200000000004</v>
      </c>
      <c r="H97" s="46">
        <f t="shared" si="3"/>
        <v>4654.42</v>
      </c>
      <c r="I97" s="46">
        <f t="shared" si="3"/>
        <v>4880.1899999999996</v>
      </c>
      <c r="J97" s="46">
        <f t="shared" si="3"/>
        <v>7217.68</v>
      </c>
      <c r="K97" s="46">
        <f t="shared" si="3"/>
        <v>4012.36</v>
      </c>
    </row>
    <row r="98" spans="1:11" x14ac:dyDescent="0.25">
      <c r="A98" s="46" t="s">
        <v>144</v>
      </c>
      <c r="B98" s="46">
        <f>B95+B96-B97</f>
        <v>241628.80039999998</v>
      </c>
      <c r="C98" s="46">
        <f t="shared" ref="C98:K98" si="4">C95+C96-C97</f>
        <v>316251.25499999995</v>
      </c>
      <c r="D98" s="46">
        <f t="shared" si="4"/>
        <v>289429.30500000005</v>
      </c>
      <c r="E98" s="46">
        <f t="shared" si="4"/>
        <v>337435.04039999994</v>
      </c>
      <c r="F98" s="46">
        <f t="shared" si="4"/>
        <v>190843.06900000002</v>
      </c>
      <c r="G98" s="46">
        <f t="shared" si="4"/>
        <v>247720.65160000001</v>
      </c>
      <c r="H98" s="46">
        <f t="shared" si="4"/>
        <v>285143.27679999999</v>
      </c>
      <c r="I98" s="46">
        <f t="shared" si="4"/>
        <v>442200.022</v>
      </c>
      <c r="J98" s="46">
        <f t="shared" si="4"/>
        <v>494383.90909999999</v>
      </c>
      <c r="K98" s="46">
        <f t="shared" si="4"/>
        <v>509037.42750000005</v>
      </c>
    </row>
    <row r="99" spans="1:11" x14ac:dyDescent="0.25">
      <c r="A99" s="46" t="s">
        <v>145</v>
      </c>
      <c r="B99" s="46">
        <f>SUM(B57:B58)</f>
        <v>42679.520000000004</v>
      </c>
      <c r="C99" s="46">
        <f t="shared" ref="C99:K99" si="5">SUM(C57:C58)</f>
        <v>46412.93</v>
      </c>
      <c r="D99" s="46">
        <f t="shared" si="5"/>
        <v>52510.11</v>
      </c>
      <c r="E99" s="46">
        <f t="shared" si="5"/>
        <v>59140.87</v>
      </c>
      <c r="F99" s="46">
        <f t="shared" si="5"/>
        <v>65273.26</v>
      </c>
      <c r="G99" s="46">
        <f t="shared" si="5"/>
        <v>60347.34</v>
      </c>
      <c r="H99" s="46">
        <f t="shared" si="5"/>
        <v>62455.57</v>
      </c>
      <c r="I99" s="46">
        <f t="shared" si="5"/>
        <v>69155.260000000009</v>
      </c>
      <c r="J99" s="46">
        <f t="shared" si="5"/>
        <v>74507</v>
      </c>
      <c r="K99" s="46">
        <f t="shared" si="5"/>
        <v>70030.05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900-000000000000}"/>
  </hyperlinks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42"/>
  <sheetViews>
    <sheetView showGridLines="0" workbookViewId="0">
      <selection activeCell="T16" sqref="T16"/>
    </sheetView>
  </sheetViews>
  <sheetFormatPr defaultRowHeight="15" x14ac:dyDescent="0.25"/>
  <cols>
    <col min="1" max="1" width="2.7109375" customWidth="1"/>
    <col min="2" max="2" width="24.85546875" bestFit="1" customWidth="1"/>
    <col min="3" max="7" width="12.85546875" customWidth="1"/>
    <col min="9" max="9" width="24.140625" bestFit="1" customWidth="1"/>
    <col min="10" max="15" width="9.85546875" customWidth="1"/>
  </cols>
  <sheetData>
    <row r="2" spans="2:17" x14ac:dyDescent="0.25">
      <c r="B2" s="97" t="s">
        <v>29</v>
      </c>
      <c r="C2" s="98"/>
      <c r="D2" s="98"/>
      <c r="E2" s="98"/>
      <c r="F2" s="98"/>
      <c r="G2" s="99"/>
    </row>
    <row r="3" spans="2:17" ht="5.25" customHeight="1" x14ac:dyDescent="0.25">
      <c r="B3" s="102"/>
      <c r="C3" s="103"/>
      <c r="D3" s="103"/>
      <c r="E3" s="103"/>
      <c r="F3" s="103"/>
      <c r="G3" s="104"/>
    </row>
    <row r="4" spans="2:17" x14ac:dyDescent="0.25">
      <c r="C4" s="105">
        <v>44256</v>
      </c>
      <c r="D4" s="105">
        <v>44621</v>
      </c>
      <c r="E4" s="105">
        <v>44986</v>
      </c>
      <c r="F4" s="105">
        <v>45352</v>
      </c>
      <c r="G4" s="105">
        <v>45717</v>
      </c>
    </row>
    <row r="5" spans="2:17" x14ac:dyDescent="0.25">
      <c r="B5" s="30" t="s">
        <v>41</v>
      </c>
      <c r="C5" s="100">
        <v>1231</v>
      </c>
      <c r="D5" s="100">
        <v>1232</v>
      </c>
      <c r="E5" s="100">
        <v>1243</v>
      </c>
      <c r="F5" s="100">
        <v>1248</v>
      </c>
      <c r="G5" s="100">
        <v>1251</v>
      </c>
      <c r="J5" s="69"/>
      <c r="K5" s="69"/>
      <c r="L5" s="69"/>
      <c r="M5" s="69"/>
      <c r="N5" s="69"/>
      <c r="O5" s="69"/>
      <c r="P5" s="69"/>
      <c r="Q5" s="69"/>
    </row>
    <row r="6" spans="2:17" x14ac:dyDescent="0.25">
      <c r="B6" s="30" t="s">
        <v>123</v>
      </c>
      <c r="C6" s="100">
        <v>59116</v>
      </c>
      <c r="D6" s="100">
        <v>61223</v>
      </c>
      <c r="E6" s="100">
        <v>67912</v>
      </c>
      <c r="F6" s="100">
        <v>73259</v>
      </c>
      <c r="G6" s="100">
        <v>68779</v>
      </c>
      <c r="J6" s="69"/>
      <c r="K6" s="69"/>
      <c r="L6" s="69"/>
      <c r="M6" s="69"/>
      <c r="N6" s="69"/>
      <c r="O6" s="69"/>
      <c r="P6" s="69"/>
      <c r="Q6" s="69"/>
    </row>
    <row r="7" spans="2:17" x14ac:dyDescent="0.25">
      <c r="B7" s="30" t="s">
        <v>124</v>
      </c>
      <c r="J7" s="69"/>
      <c r="K7" s="140" t="s">
        <v>124</v>
      </c>
      <c r="L7" s="102">
        <v>44256</v>
      </c>
      <c r="M7" s="102">
        <v>44621</v>
      </c>
      <c r="N7" s="102">
        <v>44986</v>
      </c>
      <c r="O7" s="102">
        <v>45352</v>
      </c>
      <c r="P7" s="102">
        <v>45717</v>
      </c>
      <c r="Q7" s="69"/>
    </row>
    <row r="8" spans="2:17" x14ac:dyDescent="0.25">
      <c r="B8" s="90" t="s">
        <v>243</v>
      </c>
      <c r="C8">
        <v>6</v>
      </c>
      <c r="D8">
        <v>5</v>
      </c>
      <c r="E8">
        <v>3</v>
      </c>
      <c r="F8">
        <v>2</v>
      </c>
      <c r="G8">
        <v>0</v>
      </c>
      <c r="J8" s="69"/>
      <c r="K8" s="69" t="s">
        <v>243</v>
      </c>
      <c r="L8" s="69">
        <v>6</v>
      </c>
      <c r="M8" s="69">
        <v>5</v>
      </c>
      <c r="N8" s="69">
        <v>3</v>
      </c>
      <c r="O8" s="69">
        <v>2</v>
      </c>
      <c r="P8" s="69">
        <v>0</v>
      </c>
      <c r="Q8" s="69"/>
    </row>
    <row r="9" spans="2:17" x14ac:dyDescent="0.25">
      <c r="B9" s="90" t="s">
        <v>244</v>
      </c>
      <c r="C9">
        <v>4</v>
      </c>
      <c r="D9">
        <v>1</v>
      </c>
      <c r="E9">
        <v>35</v>
      </c>
      <c r="F9">
        <v>10</v>
      </c>
      <c r="G9">
        <v>91</v>
      </c>
      <c r="J9" s="69"/>
      <c r="K9" s="69" t="s">
        <v>244</v>
      </c>
      <c r="L9" s="69">
        <v>4</v>
      </c>
      <c r="M9" s="69">
        <v>1</v>
      </c>
      <c r="N9" s="69">
        <v>35</v>
      </c>
      <c r="O9" s="69">
        <v>10</v>
      </c>
      <c r="P9" s="69">
        <v>91</v>
      </c>
      <c r="Q9" s="69"/>
    </row>
    <row r="10" spans="2:17" x14ac:dyDescent="0.25">
      <c r="B10" s="90" t="s">
        <v>245</v>
      </c>
      <c r="C10">
        <v>261</v>
      </c>
      <c r="D10">
        <v>244</v>
      </c>
      <c r="E10">
        <v>267</v>
      </c>
      <c r="F10">
        <v>292</v>
      </c>
      <c r="G10">
        <v>193</v>
      </c>
      <c r="J10" s="69"/>
      <c r="K10" s="69"/>
      <c r="L10" s="69"/>
      <c r="M10" s="69"/>
      <c r="N10" s="69"/>
      <c r="O10" s="69"/>
      <c r="P10" s="69"/>
      <c r="Q10" s="69"/>
    </row>
    <row r="11" spans="2:17" x14ac:dyDescent="0.25">
      <c r="C11">
        <v>0</v>
      </c>
      <c r="D11">
        <v>0</v>
      </c>
      <c r="E11">
        <v>0</v>
      </c>
      <c r="F11">
        <v>0</v>
      </c>
      <c r="G11">
        <v>0</v>
      </c>
      <c r="J11" s="69"/>
      <c r="K11" s="69" t="s">
        <v>235</v>
      </c>
      <c r="L11" s="69">
        <v>0</v>
      </c>
      <c r="M11" s="69">
        <v>0</v>
      </c>
      <c r="N11" s="69">
        <v>0</v>
      </c>
      <c r="O11" s="69">
        <v>8</v>
      </c>
      <c r="P11" s="69">
        <v>90</v>
      </c>
      <c r="Q11" s="69"/>
    </row>
    <row r="12" spans="2:17" x14ac:dyDescent="0.25">
      <c r="B12" s="30" t="s">
        <v>125</v>
      </c>
      <c r="C12" s="39"/>
      <c r="D12" s="39"/>
      <c r="E12" s="39"/>
      <c r="F12" s="39"/>
      <c r="G12" s="39"/>
      <c r="J12" s="69"/>
      <c r="K12" s="69" t="s">
        <v>236</v>
      </c>
      <c r="L12" s="69">
        <v>-2</v>
      </c>
      <c r="M12" s="69">
        <v>-1</v>
      </c>
      <c r="N12" s="69">
        <v>-1</v>
      </c>
      <c r="O12" s="69">
        <v>-2</v>
      </c>
      <c r="P12" s="69">
        <v>-54</v>
      </c>
      <c r="Q12" s="69"/>
    </row>
    <row r="13" spans="2:17" x14ac:dyDescent="0.25">
      <c r="B13" s="90" t="s">
        <v>246</v>
      </c>
      <c r="C13">
        <v>347</v>
      </c>
      <c r="D13">
        <v>366</v>
      </c>
      <c r="E13">
        <v>384</v>
      </c>
      <c r="F13">
        <v>383</v>
      </c>
      <c r="G13">
        <v>368</v>
      </c>
      <c r="J13" s="69"/>
      <c r="K13" s="69" t="s">
        <v>237</v>
      </c>
      <c r="L13" s="69">
        <v>-41</v>
      </c>
      <c r="M13" s="69">
        <v>-40</v>
      </c>
      <c r="N13" s="69">
        <v>-41</v>
      </c>
      <c r="O13" s="69">
        <v>-46</v>
      </c>
      <c r="P13" s="69">
        <v>-50</v>
      </c>
      <c r="Q13" s="69"/>
    </row>
    <row r="14" spans="2:17" x14ac:dyDescent="0.25">
      <c r="B14" s="90" t="s">
        <v>247</v>
      </c>
      <c r="C14" s="39">
        <v>4319</v>
      </c>
      <c r="D14" s="39">
        <v>4417</v>
      </c>
      <c r="E14" s="39">
        <v>4659</v>
      </c>
      <c r="F14" s="39">
        <v>4798</v>
      </c>
      <c r="G14" s="39">
        <v>4807</v>
      </c>
      <c r="J14" s="69"/>
      <c r="K14" s="69"/>
      <c r="L14" s="69"/>
      <c r="M14" s="69"/>
      <c r="N14" s="69"/>
      <c r="O14" s="69"/>
      <c r="P14" s="69"/>
      <c r="Q14" s="69"/>
    </row>
    <row r="15" spans="2:17" x14ac:dyDescent="0.25">
      <c r="B15" s="90" t="s">
        <v>248</v>
      </c>
      <c r="C15">
        <v>811</v>
      </c>
      <c r="D15" s="39">
        <v>1278</v>
      </c>
      <c r="E15" s="39">
        <v>1295</v>
      </c>
      <c r="F15">
        <v>886</v>
      </c>
      <c r="G15" s="39">
        <v>1264</v>
      </c>
    </row>
    <row r="16" spans="2:17" x14ac:dyDescent="0.25">
      <c r="B16" s="90" t="s">
        <v>249</v>
      </c>
      <c r="C16" s="39">
        <v>7666</v>
      </c>
      <c r="D16" s="39">
        <v>8429</v>
      </c>
      <c r="E16" s="39">
        <v>10032</v>
      </c>
      <c r="F16" s="39">
        <v>10877</v>
      </c>
      <c r="G16" s="39">
        <v>11249</v>
      </c>
    </row>
    <row r="17" spans="2:16" x14ac:dyDescent="0.25">
      <c r="B17" s="76" t="s">
        <v>39</v>
      </c>
      <c r="C17" s="101">
        <v>73761</v>
      </c>
      <c r="D17" s="101">
        <v>77196</v>
      </c>
      <c r="E17" s="101">
        <v>85831</v>
      </c>
      <c r="F17" s="101">
        <v>91754</v>
      </c>
      <c r="G17" s="101">
        <v>88003</v>
      </c>
    </row>
    <row r="18" spans="2:16" x14ac:dyDescent="0.25">
      <c r="B18" s="30"/>
      <c r="C18" s="100"/>
      <c r="D18" s="100"/>
      <c r="E18" s="100"/>
      <c r="F18" s="100"/>
      <c r="G18" s="100"/>
    </row>
    <row r="19" spans="2:16" x14ac:dyDescent="0.25">
      <c r="B19" s="30" t="s">
        <v>251</v>
      </c>
      <c r="C19" s="39"/>
      <c r="D19" s="39"/>
      <c r="E19" s="39"/>
      <c r="F19" s="39"/>
      <c r="G19" s="39"/>
      <c r="I19" s="30" t="s">
        <v>59</v>
      </c>
      <c r="J19" s="75">
        <v>43891</v>
      </c>
      <c r="K19" s="75">
        <f>L7</f>
        <v>44256</v>
      </c>
      <c r="L19" s="75">
        <f>M7</f>
        <v>44621</v>
      </c>
      <c r="M19" s="75">
        <f>N7</f>
        <v>44986</v>
      </c>
      <c r="N19" s="75">
        <f>O7</f>
        <v>45352</v>
      </c>
      <c r="O19" s="75">
        <f>P7</f>
        <v>45717</v>
      </c>
    </row>
    <row r="20" spans="2:16" x14ac:dyDescent="0.25">
      <c r="B20" s="90" t="s">
        <v>197</v>
      </c>
      <c r="C20" s="39">
        <v>2889</v>
      </c>
      <c r="D20" s="39">
        <v>2829</v>
      </c>
      <c r="E20" s="39">
        <v>2830</v>
      </c>
      <c r="F20" s="39">
        <v>2865</v>
      </c>
      <c r="G20" s="39">
        <v>1588</v>
      </c>
      <c r="I20" t="s">
        <v>177</v>
      </c>
      <c r="J20" s="141">
        <f>'Historical FS'!G65</f>
        <v>2562.48</v>
      </c>
      <c r="K20" s="141">
        <f>'Historical FS'!H65</f>
        <v>2501.6999999999998</v>
      </c>
      <c r="L20" s="141">
        <f>'Historical FS'!I65</f>
        <v>2461.9</v>
      </c>
      <c r="M20" s="141">
        <f>'Historical FS'!J65</f>
        <v>2956.17</v>
      </c>
      <c r="N20" s="141">
        <f>'Historical FS'!K65</f>
        <v>4025.82</v>
      </c>
      <c r="O20" s="141">
        <f>'Historical FS'!L65</f>
        <v>4719.67</v>
      </c>
    </row>
    <row r="21" spans="2:16" x14ac:dyDescent="0.25">
      <c r="B21" s="90" t="s">
        <v>198</v>
      </c>
      <c r="C21" s="39">
        <v>8387</v>
      </c>
      <c r="D21" s="39">
        <v>9100</v>
      </c>
      <c r="E21" s="39">
        <v>9789</v>
      </c>
      <c r="F21" s="39">
        <v>10944</v>
      </c>
      <c r="G21" s="39">
        <v>7550</v>
      </c>
      <c r="I21" t="s">
        <v>33</v>
      </c>
      <c r="J21" s="141">
        <f>'Historical FS'!G66</f>
        <v>8879.33</v>
      </c>
      <c r="K21" s="141">
        <f>'Historical FS'!H66</f>
        <v>10397.16</v>
      </c>
      <c r="L21" s="141">
        <f>'Historical FS'!I66</f>
        <v>10864.15</v>
      </c>
      <c r="M21" s="141">
        <f>'Historical FS'!J66</f>
        <v>11771.16</v>
      </c>
      <c r="N21" s="141">
        <f>'Historical FS'!K66</f>
        <v>14152.88</v>
      </c>
      <c r="O21" s="141">
        <f>'Historical FS'!L66</f>
        <v>15637.56</v>
      </c>
    </row>
    <row r="22" spans="2:16" x14ac:dyDescent="0.25">
      <c r="B22" s="90" t="s">
        <v>199</v>
      </c>
      <c r="C22" s="39">
        <v>15307</v>
      </c>
      <c r="D22" s="39">
        <v>16912</v>
      </c>
      <c r="E22" s="39">
        <v>18480</v>
      </c>
      <c r="F22" s="39">
        <v>20718</v>
      </c>
      <c r="G22" s="39">
        <v>19423</v>
      </c>
      <c r="I22" s="30" t="s">
        <v>339</v>
      </c>
      <c r="J22" s="142">
        <f>SUM(J20:J21)</f>
        <v>11441.81</v>
      </c>
      <c r="K22" s="142">
        <f t="shared" ref="K22:O22" si="0">SUM(K20:K21)</f>
        <v>12898.86</v>
      </c>
      <c r="L22" s="142">
        <f t="shared" si="0"/>
        <v>13326.05</v>
      </c>
      <c r="M22" s="142">
        <f t="shared" si="0"/>
        <v>14727.33</v>
      </c>
      <c r="N22" s="142">
        <f t="shared" si="0"/>
        <v>18178.7</v>
      </c>
      <c r="O22" s="142">
        <f t="shared" si="0"/>
        <v>20357.23</v>
      </c>
      <c r="P22" s="39"/>
    </row>
    <row r="23" spans="2:16" x14ac:dyDescent="0.25">
      <c r="B23" s="90" t="s">
        <v>200</v>
      </c>
      <c r="C23">
        <v>41</v>
      </c>
      <c r="D23">
        <v>44</v>
      </c>
      <c r="E23">
        <v>44</v>
      </c>
      <c r="F23">
        <v>53</v>
      </c>
      <c r="G23">
        <v>63</v>
      </c>
      <c r="I23" s="30" t="s">
        <v>342</v>
      </c>
      <c r="J23" s="142"/>
      <c r="K23" s="142">
        <f>K22-J22</f>
        <v>1457.0500000000011</v>
      </c>
      <c r="L23" s="142">
        <f t="shared" ref="L23:O23" si="1">L22-K22</f>
        <v>427.18999999999869</v>
      </c>
      <c r="M23" s="142">
        <f t="shared" si="1"/>
        <v>1401.2800000000007</v>
      </c>
      <c r="N23" s="142">
        <f t="shared" si="1"/>
        <v>3451.3700000000008</v>
      </c>
      <c r="O23" s="142">
        <f t="shared" si="1"/>
        <v>2178.5299999999988</v>
      </c>
    </row>
    <row r="24" spans="2:16" x14ac:dyDescent="0.25">
      <c r="B24" s="90" t="s">
        <v>201</v>
      </c>
      <c r="C24">
        <v>833</v>
      </c>
      <c r="D24">
        <v>907</v>
      </c>
      <c r="E24" s="39">
        <v>1000</v>
      </c>
      <c r="F24" s="39">
        <v>1068</v>
      </c>
      <c r="G24">
        <v>282</v>
      </c>
      <c r="I24" t="s">
        <v>222</v>
      </c>
      <c r="J24" s="68">
        <v>3630</v>
      </c>
      <c r="K24" s="39">
        <f>'Expanded BS'!C14</f>
        <v>4319</v>
      </c>
      <c r="L24" s="39">
        <f>'Expanded BS'!D14</f>
        <v>4417</v>
      </c>
      <c r="M24" s="39">
        <f>'Expanded BS'!E14</f>
        <v>4659</v>
      </c>
      <c r="N24" s="39">
        <f>'Expanded BS'!F14</f>
        <v>4798</v>
      </c>
      <c r="O24" s="39">
        <f>'Expanded BS'!G14</f>
        <v>4807</v>
      </c>
    </row>
    <row r="25" spans="2:16" x14ac:dyDescent="0.25">
      <c r="B25" s="90" t="s">
        <v>202</v>
      </c>
      <c r="C25">
        <v>2</v>
      </c>
      <c r="D25">
        <v>2</v>
      </c>
      <c r="E25">
        <v>2</v>
      </c>
      <c r="F25">
        <v>2</v>
      </c>
      <c r="G25">
        <v>2</v>
      </c>
      <c r="I25" t="s">
        <v>336</v>
      </c>
      <c r="J25" s="68">
        <v>703</v>
      </c>
      <c r="K25" s="39">
        <f>C15</f>
        <v>811</v>
      </c>
      <c r="L25" s="39">
        <f t="shared" ref="L25:O25" si="2">D15</f>
        <v>1278</v>
      </c>
      <c r="M25" s="39">
        <f t="shared" si="2"/>
        <v>1295</v>
      </c>
      <c r="N25" s="39">
        <f t="shared" si="2"/>
        <v>886</v>
      </c>
      <c r="O25" s="39">
        <f t="shared" si="2"/>
        <v>1264</v>
      </c>
    </row>
    <row r="26" spans="2:16" x14ac:dyDescent="0.25">
      <c r="B26" s="90" t="s">
        <v>203</v>
      </c>
      <c r="C26">
        <v>180</v>
      </c>
      <c r="D26">
        <v>179</v>
      </c>
      <c r="E26">
        <v>189</v>
      </c>
      <c r="F26">
        <v>192</v>
      </c>
      <c r="G26">
        <v>141</v>
      </c>
      <c r="I26" t="s">
        <v>249</v>
      </c>
      <c r="J26" s="141">
        <v>7050</v>
      </c>
      <c r="K26" s="39">
        <f>C16</f>
        <v>7666</v>
      </c>
      <c r="L26" s="39">
        <f t="shared" ref="L26:O26" si="3">D16</f>
        <v>8429</v>
      </c>
      <c r="M26" s="39">
        <f t="shared" si="3"/>
        <v>10032</v>
      </c>
      <c r="N26" s="39">
        <f t="shared" si="3"/>
        <v>10877</v>
      </c>
      <c r="O26" s="39">
        <f t="shared" si="3"/>
        <v>11249</v>
      </c>
    </row>
    <row r="27" spans="2:16" x14ac:dyDescent="0.25">
      <c r="B27" s="90" t="s">
        <v>204</v>
      </c>
      <c r="C27" s="39">
        <v>2734</v>
      </c>
      <c r="D27" s="39">
        <v>2744</v>
      </c>
      <c r="E27" s="39">
        <v>3490</v>
      </c>
      <c r="F27" s="39">
        <v>3505</v>
      </c>
      <c r="G27" s="39">
        <v>3622</v>
      </c>
      <c r="I27" s="30" t="s">
        <v>340</v>
      </c>
      <c r="J27" s="142">
        <f>SUM(J24:J26)</f>
        <v>11383</v>
      </c>
      <c r="K27" s="142">
        <f t="shared" ref="K27:O27" si="4">SUM(K24:K26)</f>
        <v>12796</v>
      </c>
      <c r="L27" s="142">
        <f t="shared" si="4"/>
        <v>14124</v>
      </c>
      <c r="M27" s="142">
        <f t="shared" si="4"/>
        <v>15986</v>
      </c>
      <c r="N27" s="142">
        <f t="shared" si="4"/>
        <v>16561</v>
      </c>
      <c r="O27" s="142">
        <f t="shared" si="4"/>
        <v>17320</v>
      </c>
    </row>
    <row r="28" spans="2:16" x14ac:dyDescent="0.25">
      <c r="B28" s="90" t="s">
        <v>205</v>
      </c>
      <c r="C28">
        <v>716</v>
      </c>
      <c r="D28">
        <v>719</v>
      </c>
      <c r="E28">
        <v>786</v>
      </c>
      <c r="F28">
        <v>841</v>
      </c>
      <c r="G28">
        <v>967</v>
      </c>
      <c r="I28" s="30" t="s">
        <v>343</v>
      </c>
      <c r="J28" s="142"/>
      <c r="K28" s="142">
        <f>K27-J27</f>
        <v>1413</v>
      </c>
      <c r="L28" s="142">
        <f t="shared" ref="L28:O28" si="5">L27-K27</f>
        <v>1328</v>
      </c>
      <c r="M28" s="142">
        <f t="shared" si="5"/>
        <v>1862</v>
      </c>
      <c r="N28" s="142">
        <f t="shared" si="5"/>
        <v>575</v>
      </c>
      <c r="O28" s="142">
        <f t="shared" si="5"/>
        <v>759</v>
      </c>
    </row>
    <row r="29" spans="2:16" x14ac:dyDescent="0.25">
      <c r="B29" s="30" t="s">
        <v>206</v>
      </c>
      <c r="C29" s="100">
        <v>31088</v>
      </c>
      <c r="D29" s="100">
        <v>33435</v>
      </c>
      <c r="E29" s="100">
        <v>36608</v>
      </c>
      <c r="F29" s="100">
        <v>40189</v>
      </c>
      <c r="G29" s="100">
        <v>33638</v>
      </c>
      <c r="I29" s="30"/>
      <c r="J29" s="142"/>
      <c r="K29" s="142"/>
      <c r="L29" s="142"/>
      <c r="M29" s="142"/>
      <c r="N29" s="142"/>
      <c r="O29" s="142"/>
    </row>
    <row r="30" spans="2:16" x14ac:dyDescent="0.25">
      <c r="B30" s="93" t="s">
        <v>207</v>
      </c>
      <c r="C30" s="100">
        <v>7790</v>
      </c>
      <c r="D30" s="100">
        <v>9204</v>
      </c>
      <c r="E30" s="100">
        <v>10757</v>
      </c>
      <c r="F30" s="100">
        <v>12368</v>
      </c>
      <c r="G30" s="100">
        <v>11683</v>
      </c>
      <c r="I30" t="s">
        <v>341</v>
      </c>
      <c r="J30" s="100">
        <f t="shared" ref="J30:O30" si="6">J22-J27</f>
        <v>58.809999999999491</v>
      </c>
      <c r="K30" s="100">
        <f t="shared" si="6"/>
        <v>102.86000000000058</v>
      </c>
      <c r="L30" s="100">
        <f t="shared" si="6"/>
        <v>-797.95000000000073</v>
      </c>
      <c r="M30" s="100">
        <f t="shared" si="6"/>
        <v>-1258.67</v>
      </c>
      <c r="N30" s="100">
        <f t="shared" si="6"/>
        <v>1617.7000000000007</v>
      </c>
      <c r="O30" s="100">
        <f t="shared" si="6"/>
        <v>3037.2299999999996</v>
      </c>
    </row>
    <row r="31" spans="2:16" x14ac:dyDescent="0.25">
      <c r="B31" s="106" t="s">
        <v>127</v>
      </c>
      <c r="C31" s="107">
        <f t="shared" ref="C31:G31" si="7">C29-C30</f>
        <v>23298</v>
      </c>
      <c r="D31" s="107">
        <f t="shared" si="7"/>
        <v>24231</v>
      </c>
      <c r="E31" s="107">
        <f t="shared" si="7"/>
        <v>25851</v>
      </c>
      <c r="F31" s="107">
        <f t="shared" si="7"/>
        <v>27821</v>
      </c>
      <c r="G31" s="107">
        <f t="shared" si="7"/>
        <v>21955</v>
      </c>
    </row>
    <row r="32" spans="2:16" x14ac:dyDescent="0.25">
      <c r="B32" s="30"/>
      <c r="C32" s="100"/>
      <c r="D32" s="100"/>
      <c r="E32" s="100"/>
      <c r="F32" s="100"/>
      <c r="G32" s="100"/>
      <c r="I32" t="s">
        <v>335</v>
      </c>
      <c r="K32">
        <f>K30-J30</f>
        <v>44.050000000001091</v>
      </c>
      <c r="L32">
        <f>L30-K30</f>
        <v>-900.81000000000131</v>
      </c>
      <c r="M32">
        <f>M30-L30</f>
        <v>-460.71999999999935</v>
      </c>
      <c r="N32">
        <f>N30-M30</f>
        <v>2876.3700000000008</v>
      </c>
      <c r="O32">
        <f>O30-N30</f>
        <v>1419.5299999999988</v>
      </c>
    </row>
    <row r="33" spans="2:7" x14ac:dyDescent="0.25">
      <c r="B33" s="93" t="s">
        <v>252</v>
      </c>
      <c r="C33" s="100">
        <v>4011</v>
      </c>
      <c r="D33" s="100">
        <v>3226</v>
      </c>
      <c r="E33" s="100">
        <v>3003</v>
      </c>
      <c r="F33" s="100">
        <v>2861</v>
      </c>
      <c r="G33" s="100">
        <v>1091</v>
      </c>
    </row>
    <row r="34" spans="2:7" x14ac:dyDescent="0.25">
      <c r="B34" s="93" t="s">
        <v>129</v>
      </c>
      <c r="C34" s="100">
        <v>24871</v>
      </c>
      <c r="D34" s="100">
        <v>24841</v>
      </c>
      <c r="E34" s="100">
        <v>29415</v>
      </c>
      <c r="F34" s="100">
        <v>31114</v>
      </c>
      <c r="G34" s="100">
        <v>34720</v>
      </c>
    </row>
    <row r="35" spans="2:7" x14ac:dyDescent="0.25">
      <c r="B35" s="30"/>
      <c r="C35" s="100"/>
      <c r="D35" s="100"/>
      <c r="E35" s="100"/>
      <c r="F35" s="100"/>
      <c r="G35" s="100"/>
    </row>
    <row r="36" spans="2:7" x14ac:dyDescent="0.25">
      <c r="B36" s="30" t="s">
        <v>130</v>
      </c>
      <c r="C36" s="39"/>
      <c r="D36" s="39"/>
      <c r="E36" s="39"/>
      <c r="F36" s="39"/>
      <c r="G36" s="39"/>
    </row>
    <row r="37" spans="2:7" x14ac:dyDescent="0.25">
      <c r="B37" s="90" t="s">
        <v>253</v>
      </c>
      <c r="C37" s="39">
        <v>10397</v>
      </c>
      <c r="D37" s="39">
        <v>10864</v>
      </c>
      <c r="E37" s="39">
        <v>11771</v>
      </c>
      <c r="F37" s="39">
        <v>14153</v>
      </c>
      <c r="G37" s="39">
        <v>15638</v>
      </c>
    </row>
    <row r="38" spans="2:7" x14ac:dyDescent="0.25">
      <c r="B38" s="90" t="s">
        <v>254</v>
      </c>
      <c r="C38" s="39">
        <v>2502</v>
      </c>
      <c r="D38" s="39">
        <v>2462</v>
      </c>
      <c r="E38" s="39">
        <v>2956</v>
      </c>
      <c r="F38" s="39">
        <v>4026</v>
      </c>
      <c r="G38" s="39">
        <v>4720</v>
      </c>
    </row>
    <row r="39" spans="2:7" x14ac:dyDescent="0.25">
      <c r="B39" s="90" t="s">
        <v>255</v>
      </c>
      <c r="C39" s="39">
        <v>4659</v>
      </c>
      <c r="D39" s="39">
        <v>4654</v>
      </c>
      <c r="E39" s="39">
        <v>4880</v>
      </c>
      <c r="F39" s="39">
        <v>7218</v>
      </c>
      <c r="G39" s="39">
        <v>4012</v>
      </c>
    </row>
    <row r="40" spans="2:7" x14ac:dyDescent="0.25">
      <c r="B40" s="90" t="s">
        <v>256</v>
      </c>
      <c r="C40">
        <v>7</v>
      </c>
      <c r="D40">
        <v>11</v>
      </c>
      <c r="E40">
        <v>13</v>
      </c>
      <c r="F40">
        <v>31</v>
      </c>
      <c r="G40">
        <v>10</v>
      </c>
    </row>
    <row r="41" spans="2:7" x14ac:dyDescent="0.25">
      <c r="B41" s="90" t="s">
        <v>257</v>
      </c>
      <c r="C41" s="39">
        <v>4015</v>
      </c>
      <c r="D41" s="39">
        <v>6906</v>
      </c>
      <c r="E41" s="39">
        <v>7941</v>
      </c>
      <c r="F41" s="39">
        <v>4531</v>
      </c>
      <c r="G41" s="39">
        <v>5858</v>
      </c>
    </row>
    <row r="42" spans="2:7" x14ac:dyDescent="0.25">
      <c r="B42" s="76" t="s">
        <v>35</v>
      </c>
      <c r="C42" s="101">
        <v>73761</v>
      </c>
      <c r="D42" s="101">
        <v>77196</v>
      </c>
      <c r="E42" s="101">
        <v>85831</v>
      </c>
      <c r="F42" s="101">
        <v>91754</v>
      </c>
      <c r="G42" s="101">
        <v>88003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0"/>
  <sheetViews>
    <sheetView showGridLines="0" workbookViewId="0">
      <selection activeCell="C39" sqref="C39"/>
    </sheetView>
  </sheetViews>
  <sheetFormatPr defaultRowHeight="15" x14ac:dyDescent="0.25"/>
  <cols>
    <col min="1" max="1" width="2.7109375" customWidth="1"/>
    <col min="2" max="2" width="36" customWidth="1"/>
    <col min="3" max="7" width="11.7109375" customWidth="1"/>
  </cols>
  <sheetData>
    <row r="1" spans="2:7" ht="9.75" customHeight="1" x14ac:dyDescent="0.25"/>
    <row r="2" spans="2:7" x14ac:dyDescent="0.25">
      <c r="B2" s="97" t="s">
        <v>45</v>
      </c>
      <c r="C2" s="98"/>
      <c r="D2" s="98"/>
      <c r="E2" s="98"/>
      <c r="F2" s="98"/>
      <c r="G2" s="99"/>
    </row>
    <row r="3" spans="2:7" x14ac:dyDescent="0.25">
      <c r="B3" s="102"/>
      <c r="C3" s="105">
        <v>44256</v>
      </c>
      <c r="D3" s="105">
        <v>44621</v>
      </c>
      <c r="E3" s="105">
        <v>44986</v>
      </c>
      <c r="F3" s="105">
        <v>45352</v>
      </c>
      <c r="G3" s="105">
        <v>45717</v>
      </c>
    </row>
    <row r="4" spans="2:7" x14ac:dyDescent="0.25">
      <c r="B4" s="30" t="s">
        <v>137</v>
      </c>
      <c r="C4" s="100">
        <f>SUM(C5:C10)</f>
        <v>12112</v>
      </c>
      <c r="D4" s="100">
        <f t="shared" ref="D4:G4" si="0">SUM(D5:D10)</f>
        <v>15676</v>
      </c>
      <c r="E4" s="100">
        <f t="shared" si="0"/>
        <v>17954</v>
      </c>
      <c r="F4" s="100">
        <f t="shared" si="0"/>
        <v>13840</v>
      </c>
      <c r="G4" s="100">
        <f t="shared" si="0"/>
        <v>14885</v>
      </c>
    </row>
    <row r="5" spans="2:7" x14ac:dyDescent="0.25">
      <c r="B5" t="s">
        <v>221</v>
      </c>
      <c r="C5" s="39">
        <v>17326</v>
      </c>
      <c r="D5" s="39">
        <v>20857</v>
      </c>
      <c r="E5" s="39">
        <v>26052</v>
      </c>
      <c r="F5" s="39">
        <v>26635</v>
      </c>
      <c r="G5" s="39">
        <v>26719</v>
      </c>
    </row>
    <row r="6" spans="2:7" x14ac:dyDescent="0.25">
      <c r="B6" t="s">
        <v>131</v>
      </c>
      <c r="C6">
        <v>-66</v>
      </c>
      <c r="D6">
        <v>-732</v>
      </c>
      <c r="E6">
        <v>-884</v>
      </c>
      <c r="F6">
        <v>-934</v>
      </c>
      <c r="G6" s="39">
        <v>-1023</v>
      </c>
    </row>
    <row r="7" spans="2:7" x14ac:dyDescent="0.25">
      <c r="B7" t="s">
        <v>33</v>
      </c>
      <c r="C7" s="39">
        <v>-1460</v>
      </c>
      <c r="D7">
        <v>-466</v>
      </c>
      <c r="E7" s="39">
        <v>-1098</v>
      </c>
      <c r="F7" s="39">
        <v>-2545</v>
      </c>
      <c r="G7" s="39">
        <v>-2975</v>
      </c>
    </row>
    <row r="8" spans="2:7" x14ac:dyDescent="0.25">
      <c r="B8" t="s">
        <v>222</v>
      </c>
      <c r="C8" s="39">
        <v>1112</v>
      </c>
      <c r="D8" s="39">
        <v>1099</v>
      </c>
      <c r="E8" s="39">
        <v>1058</v>
      </c>
      <c r="F8">
        <v>141</v>
      </c>
      <c r="G8" s="39">
        <v>1256</v>
      </c>
    </row>
    <row r="9" spans="2:7" x14ac:dyDescent="0.25">
      <c r="B9" t="s">
        <v>223</v>
      </c>
      <c r="C9">
        <v>-413</v>
      </c>
      <c r="D9">
        <v>-100</v>
      </c>
      <c r="E9">
        <v>-924</v>
      </c>
      <c r="F9" s="39">
        <v>-3337</v>
      </c>
      <c r="G9" s="39">
        <v>-2742</v>
      </c>
    </row>
    <row r="10" spans="2:7" x14ac:dyDescent="0.25">
      <c r="B10" t="s">
        <v>224</v>
      </c>
      <c r="C10" s="39">
        <v>-4387</v>
      </c>
      <c r="D10" s="39">
        <v>-4982</v>
      </c>
      <c r="E10" s="39">
        <v>-6250</v>
      </c>
      <c r="F10" s="39">
        <v>-6120</v>
      </c>
      <c r="G10" s="39">
        <v>-6350</v>
      </c>
    </row>
    <row r="11" spans="2:7" x14ac:dyDescent="0.25">
      <c r="B11" s="30" t="s">
        <v>138</v>
      </c>
      <c r="C11" s="100">
        <f>SUM(C12:C21)</f>
        <v>5741</v>
      </c>
      <c r="D11" s="100">
        <f t="shared" ref="D11:G11" si="1">SUM(D12:D21)</f>
        <v>-2238</v>
      </c>
      <c r="E11" s="100">
        <f t="shared" si="1"/>
        <v>-5732</v>
      </c>
      <c r="F11" s="100">
        <f t="shared" si="1"/>
        <v>1563</v>
      </c>
      <c r="G11" s="100">
        <f t="shared" si="1"/>
        <v>-564</v>
      </c>
    </row>
    <row r="12" spans="2:7" x14ac:dyDescent="0.25">
      <c r="B12" t="s">
        <v>225</v>
      </c>
      <c r="C12" s="39">
        <v>-1837</v>
      </c>
      <c r="D12" s="39">
        <v>-2142</v>
      </c>
      <c r="E12" s="39">
        <v>-2743</v>
      </c>
      <c r="F12" s="39">
        <v>-3563</v>
      </c>
      <c r="G12" s="39">
        <v>-2279</v>
      </c>
    </row>
    <row r="13" spans="2:7" x14ac:dyDescent="0.25">
      <c r="B13" t="s">
        <v>226</v>
      </c>
      <c r="C13">
        <v>3</v>
      </c>
      <c r="D13">
        <v>133</v>
      </c>
      <c r="E13">
        <v>49</v>
      </c>
      <c r="F13">
        <v>107</v>
      </c>
      <c r="G13">
        <v>175</v>
      </c>
    </row>
    <row r="14" spans="2:7" x14ac:dyDescent="0.25">
      <c r="B14" t="s">
        <v>227</v>
      </c>
      <c r="C14" s="39">
        <v>-57553</v>
      </c>
      <c r="D14" s="39">
        <v>-69776</v>
      </c>
      <c r="E14" s="39">
        <v>-80932</v>
      </c>
      <c r="F14" s="39">
        <v>-75107</v>
      </c>
      <c r="G14" s="39">
        <v>-66373</v>
      </c>
    </row>
    <row r="15" spans="2:7" x14ac:dyDescent="0.25">
      <c r="B15" t="s">
        <v>228</v>
      </c>
      <c r="C15" s="39">
        <v>62797</v>
      </c>
      <c r="D15" s="39">
        <v>70992</v>
      </c>
      <c r="E15" s="39">
        <v>77230</v>
      </c>
      <c r="F15" s="39">
        <v>77830</v>
      </c>
      <c r="G15" s="39">
        <v>67311</v>
      </c>
    </row>
    <row r="16" spans="2:7" x14ac:dyDescent="0.25">
      <c r="B16" t="s">
        <v>229</v>
      </c>
      <c r="C16" s="39">
        <v>1275</v>
      </c>
      <c r="D16" s="39">
        <v>1035</v>
      </c>
      <c r="E16" s="39">
        <v>1324</v>
      </c>
      <c r="F16" s="39">
        <v>1138</v>
      </c>
      <c r="G16" s="39">
        <v>1072</v>
      </c>
    </row>
    <row r="17" spans="2:7" x14ac:dyDescent="0.25">
      <c r="B17" t="s">
        <v>230</v>
      </c>
      <c r="C17">
        <v>7</v>
      </c>
      <c r="D17">
        <v>16</v>
      </c>
      <c r="E17">
        <v>19</v>
      </c>
      <c r="F17">
        <v>36</v>
      </c>
      <c r="G17">
        <v>38</v>
      </c>
    </row>
    <row r="18" spans="2:7" x14ac:dyDescent="0.25">
      <c r="B18" t="s">
        <v>250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2:7" x14ac:dyDescent="0.25">
      <c r="B19" t="s">
        <v>231</v>
      </c>
      <c r="C19">
        <v>-2</v>
      </c>
      <c r="D19">
        <v>-2</v>
      </c>
      <c r="E19">
        <v>-2</v>
      </c>
      <c r="F19">
        <v>-65</v>
      </c>
      <c r="G19">
        <v>-30</v>
      </c>
    </row>
    <row r="20" spans="2:7" x14ac:dyDescent="0.25">
      <c r="B20" t="s">
        <v>232</v>
      </c>
      <c r="C20">
        <v>0</v>
      </c>
      <c r="D20">
        <v>0</v>
      </c>
      <c r="E20">
        <v>56</v>
      </c>
      <c r="F20">
        <v>0</v>
      </c>
      <c r="G20">
        <v>0</v>
      </c>
    </row>
    <row r="21" spans="2:7" x14ac:dyDescent="0.25">
      <c r="B21" t="s">
        <v>233</v>
      </c>
      <c r="C21" s="39">
        <v>1051</v>
      </c>
      <c r="D21" s="39">
        <v>-2494</v>
      </c>
      <c r="E21">
        <v>-733</v>
      </c>
      <c r="F21" s="39">
        <v>1187</v>
      </c>
      <c r="G21">
        <v>-478</v>
      </c>
    </row>
    <row r="22" spans="2:7" x14ac:dyDescent="0.25">
      <c r="B22" s="30" t="s">
        <v>139</v>
      </c>
      <c r="C22" s="100">
        <f>SUM(C23:C29)</f>
        <v>-18633</v>
      </c>
      <c r="D22" s="100">
        <f t="shared" ref="D22:G22" si="2">SUM(D23:D29)</f>
        <v>-13581</v>
      </c>
      <c r="E22" s="100">
        <f t="shared" si="2"/>
        <v>-13007</v>
      </c>
      <c r="F22" s="100">
        <f t="shared" si="2"/>
        <v>-18551</v>
      </c>
      <c r="G22" s="100">
        <f t="shared" si="2"/>
        <v>-16985</v>
      </c>
    </row>
    <row r="23" spans="2:7" x14ac:dyDescent="0.25">
      <c r="B23" t="s">
        <v>234</v>
      </c>
      <c r="C23">
        <v>291</v>
      </c>
      <c r="D23">
        <v>292</v>
      </c>
      <c r="E23" s="39">
        <v>2477</v>
      </c>
      <c r="F23" s="39">
        <v>1443</v>
      </c>
      <c r="G23">
        <v>797</v>
      </c>
    </row>
    <row r="24" spans="2:7" x14ac:dyDescent="0.25">
      <c r="B24" t="s">
        <v>235</v>
      </c>
      <c r="C24">
        <v>0</v>
      </c>
      <c r="D24">
        <v>0</v>
      </c>
      <c r="E24">
        <v>0</v>
      </c>
      <c r="F24">
        <v>8</v>
      </c>
      <c r="G24">
        <v>90</v>
      </c>
    </row>
    <row r="25" spans="2:7" x14ac:dyDescent="0.25">
      <c r="B25" t="s">
        <v>236</v>
      </c>
      <c r="C25">
        <v>-2</v>
      </c>
      <c r="D25">
        <v>-1</v>
      </c>
      <c r="E25">
        <v>-1</v>
      </c>
      <c r="F25">
        <v>-2</v>
      </c>
      <c r="G25">
        <v>-2</v>
      </c>
    </row>
    <row r="26" spans="2:7" x14ac:dyDescent="0.25">
      <c r="B26" t="s">
        <v>237</v>
      </c>
      <c r="C26">
        <v>-41</v>
      </c>
      <c r="D26">
        <v>-40</v>
      </c>
      <c r="E26">
        <v>-41</v>
      </c>
      <c r="F26">
        <v>-46</v>
      </c>
      <c r="G26">
        <v>-50</v>
      </c>
    </row>
    <row r="27" spans="2:7" x14ac:dyDescent="0.25">
      <c r="B27" t="s">
        <v>238</v>
      </c>
      <c r="C27" s="39">
        <v>-18881</v>
      </c>
      <c r="D27" s="39">
        <v>-13788</v>
      </c>
      <c r="E27" s="39">
        <v>-15418</v>
      </c>
      <c r="F27" s="39">
        <v>-19899</v>
      </c>
      <c r="G27" s="39">
        <v>-17782</v>
      </c>
    </row>
    <row r="28" spans="2:7" x14ac:dyDescent="0.25">
      <c r="B28" t="s">
        <v>239</v>
      </c>
      <c r="C28">
        <v>-55</v>
      </c>
      <c r="D28">
        <v>-59</v>
      </c>
      <c r="E28">
        <v>-59</v>
      </c>
      <c r="F28">
        <v>-67</v>
      </c>
      <c r="G28">
        <v>-66</v>
      </c>
    </row>
    <row r="29" spans="2:7" x14ac:dyDescent="0.25">
      <c r="B29" t="s">
        <v>240</v>
      </c>
      <c r="C29">
        <v>55</v>
      </c>
      <c r="D29">
        <v>15</v>
      </c>
      <c r="E29">
        <v>35</v>
      </c>
      <c r="F29">
        <v>12</v>
      </c>
      <c r="G29">
        <v>28</v>
      </c>
    </row>
    <row r="30" spans="2:7" x14ac:dyDescent="0.25">
      <c r="B30" s="76" t="s">
        <v>140</v>
      </c>
      <c r="C30" s="101">
        <f>C4+C11+C22</f>
        <v>-780</v>
      </c>
      <c r="D30" s="101">
        <f t="shared" ref="D30:G30" si="3">D4+D11+D22</f>
        <v>-143</v>
      </c>
      <c r="E30" s="101">
        <f t="shared" si="3"/>
        <v>-785</v>
      </c>
      <c r="F30" s="101">
        <f t="shared" si="3"/>
        <v>-3148</v>
      </c>
      <c r="G30" s="101">
        <f t="shared" si="3"/>
        <v>-2664</v>
      </c>
    </row>
  </sheetData>
  <pageMargins left="0.7" right="0.7" top="0.75" bottom="0.75" header="0.3" footer="0.3"/>
  <ignoredErrors>
    <ignoredError sqref="C22 D22:G22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43"/>
  <sheetViews>
    <sheetView zoomScaleNormal="10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L38" sqref="L38"/>
    </sheetView>
  </sheetViews>
  <sheetFormatPr defaultColWidth="8.85546875" defaultRowHeight="15" x14ac:dyDescent="0.25"/>
  <cols>
    <col min="1" max="1" width="27.140625" style="47" bestFit="1" customWidth="1"/>
    <col min="2" max="6" width="13.42578125" style="47" customWidth="1"/>
    <col min="7" max="7" width="14.85546875" style="47" bestFit="1" customWidth="1"/>
    <col min="8" max="11" width="13.42578125" style="47" customWidth="1"/>
    <col min="12" max="12" width="13.28515625" style="47" customWidth="1"/>
    <col min="13" max="14" width="12.140625" style="47" customWidth="1"/>
    <col min="15" max="16384" width="8.85546875" style="47"/>
  </cols>
  <sheetData>
    <row r="1" spans="1:14" s="53" customFormat="1" x14ac:dyDescent="0.25">
      <c r="A1" s="53" t="str">
        <f>'[1]Data Sheet'!B1</f>
        <v>ITC LTD</v>
      </c>
      <c r="H1" s="47" t="str">
        <f>UPDATE</f>
        <v/>
      </c>
      <c r="J1" s="54"/>
      <c r="K1" s="54"/>
      <c r="M1" s="53" t="s">
        <v>146</v>
      </c>
    </row>
    <row r="3" spans="1:14" s="53" customFormat="1" x14ac:dyDescent="0.25">
      <c r="A3" s="55" t="s">
        <v>147</v>
      </c>
      <c r="B3" s="49">
        <f>'[1]Data Sheet'!B16</f>
        <v>42460</v>
      </c>
      <c r="C3" s="49">
        <f>'[1]Data Sheet'!C16</f>
        <v>42825</v>
      </c>
      <c r="D3" s="49">
        <f>'[1]Data Sheet'!D16</f>
        <v>43190</v>
      </c>
      <c r="E3" s="49">
        <f>'[1]Data Sheet'!E16</f>
        <v>43555</v>
      </c>
      <c r="F3" s="49">
        <f>'[1]Data Sheet'!F16</f>
        <v>43921</v>
      </c>
      <c r="G3" s="49">
        <f>'[1]Data Sheet'!G16</f>
        <v>44286</v>
      </c>
      <c r="H3" s="49">
        <f>'[1]Data Sheet'!H16</f>
        <v>44651</v>
      </c>
      <c r="I3" s="49">
        <f>'[1]Data Sheet'!I16</f>
        <v>45016</v>
      </c>
      <c r="J3" s="49">
        <f>'[1]Data Sheet'!J16</f>
        <v>45382</v>
      </c>
      <c r="K3" s="49">
        <f>'[1]Data Sheet'!K16</f>
        <v>45747</v>
      </c>
      <c r="L3" s="56" t="s">
        <v>148</v>
      </c>
      <c r="M3" s="56" t="s">
        <v>149</v>
      </c>
      <c r="N3" s="56" t="s">
        <v>150</v>
      </c>
    </row>
    <row r="4" spans="1:14" s="53" customFormat="1" x14ac:dyDescent="0.25">
      <c r="A4" s="53" t="s">
        <v>105</v>
      </c>
      <c r="B4" s="45">
        <f>'[1]Data Sheet'!B17</f>
        <v>39192.1</v>
      </c>
      <c r="C4" s="45">
        <f>'[1]Data Sheet'!C17</f>
        <v>42767.6</v>
      </c>
      <c r="D4" s="45">
        <f>'[1]Data Sheet'!D17</f>
        <v>43448.94</v>
      </c>
      <c r="E4" s="45">
        <f>'[1]Data Sheet'!E17</f>
        <v>48339.58</v>
      </c>
      <c r="F4" s="45">
        <f>'[1]Data Sheet'!F17</f>
        <v>49387.7</v>
      </c>
      <c r="G4" s="45">
        <f>'[1]Data Sheet'!G17</f>
        <v>49257.45</v>
      </c>
      <c r="H4" s="45">
        <f>'[1]Data Sheet'!H17</f>
        <v>60644.54</v>
      </c>
      <c r="I4" s="45">
        <f>'[1]Data Sheet'!I17</f>
        <v>70919.03</v>
      </c>
      <c r="J4" s="45">
        <f>'[1]Data Sheet'!J17</f>
        <v>67931.94</v>
      </c>
      <c r="K4" s="45">
        <f>'[1]Data Sheet'!K17</f>
        <v>75323.34</v>
      </c>
      <c r="L4" s="45">
        <f>SUM([1]Quarters!H4:K4)</f>
        <v>79040.320000000007</v>
      </c>
      <c r="M4" s="45">
        <f>$K4+M23*K4</f>
        <v>83518.968378580088</v>
      </c>
      <c r="N4" s="45">
        <f>$K4+N23*L4</f>
        <v>81245.655893575647</v>
      </c>
    </row>
    <row r="5" spans="1:14" x14ac:dyDescent="0.25">
      <c r="A5" s="47" t="s">
        <v>21</v>
      </c>
      <c r="B5" s="51">
        <f>SUM('[1]Data Sheet'!B18,'[1]Data Sheet'!B20:B24, -1*'[1]Data Sheet'!B19)</f>
        <v>24660.609999999997</v>
      </c>
      <c r="C5" s="51">
        <f>SUM('[1]Data Sheet'!C18,'[1]Data Sheet'!C20:C24, -1*'[1]Data Sheet'!C19)</f>
        <v>27298.09</v>
      </c>
      <c r="D5" s="51">
        <f>SUM('[1]Data Sheet'!D18,'[1]Data Sheet'!D20:D24, -1*'[1]Data Sheet'!D19)</f>
        <v>26928.35</v>
      </c>
      <c r="E5" s="51">
        <f>SUM('[1]Data Sheet'!E18,'[1]Data Sheet'!E20:E24, -1*'[1]Data Sheet'!E19)</f>
        <v>29802.19</v>
      </c>
      <c r="F5" s="51">
        <f>SUM('[1]Data Sheet'!F18,'[1]Data Sheet'!F20:F24, -1*'[1]Data Sheet'!F19)</f>
        <v>30044.16</v>
      </c>
      <c r="G5" s="51">
        <f>SUM('[1]Data Sheet'!G18,'[1]Data Sheet'!G20:G24, -1*'[1]Data Sheet'!G19)</f>
        <v>32192.670000000002</v>
      </c>
      <c r="H5" s="51">
        <f>SUM('[1]Data Sheet'!H18,'[1]Data Sheet'!H20:H24, -1*'[1]Data Sheet'!H19)</f>
        <v>40021.39</v>
      </c>
      <c r="I5" s="51">
        <f>SUM('[1]Data Sheet'!I18,'[1]Data Sheet'!I20:I24, -1*'[1]Data Sheet'!I19)</f>
        <v>45214.770000000004</v>
      </c>
      <c r="J5" s="51">
        <f>SUM('[1]Data Sheet'!J18,'[1]Data Sheet'!J20:J24, -1*'[1]Data Sheet'!J19)</f>
        <v>42744.41</v>
      </c>
      <c r="K5" s="51">
        <f>SUM('[1]Data Sheet'!K18,'[1]Data Sheet'!K20:K24, -1*'[1]Data Sheet'!K19)</f>
        <v>49483.89</v>
      </c>
      <c r="L5" s="51">
        <f>SUM([1]Quarters!H5:K5)</f>
        <v>52790.48</v>
      </c>
      <c r="M5" s="51">
        <f t="shared" ref="M5:N5" si="0">M4-M6</f>
        <v>53597.013652967857</v>
      </c>
      <c r="N5" s="51">
        <f t="shared" si="0"/>
        <v>54263.408505136205</v>
      </c>
    </row>
    <row r="6" spans="1:14" s="53" customFormat="1" x14ac:dyDescent="0.25">
      <c r="A6" s="53" t="s">
        <v>120</v>
      </c>
      <c r="B6" s="45">
        <f>B4-B5</f>
        <v>14531.490000000002</v>
      </c>
      <c r="C6" s="45">
        <f t="shared" ref="C6:K6" si="1">C4-C5</f>
        <v>15469.509999999998</v>
      </c>
      <c r="D6" s="45">
        <f t="shared" si="1"/>
        <v>16520.590000000004</v>
      </c>
      <c r="E6" s="45">
        <f t="shared" si="1"/>
        <v>18537.390000000003</v>
      </c>
      <c r="F6" s="45">
        <f t="shared" si="1"/>
        <v>19343.539999999997</v>
      </c>
      <c r="G6" s="45">
        <f t="shared" si="1"/>
        <v>17064.779999999995</v>
      </c>
      <c r="H6" s="45">
        <f t="shared" si="1"/>
        <v>20623.150000000001</v>
      </c>
      <c r="I6" s="45">
        <f t="shared" si="1"/>
        <v>25704.259999999995</v>
      </c>
      <c r="J6" s="45">
        <f t="shared" si="1"/>
        <v>25187.53</v>
      </c>
      <c r="K6" s="45">
        <f t="shared" si="1"/>
        <v>25839.449999999997</v>
      </c>
      <c r="L6" s="45">
        <f>SUM([1]Quarters!H6:K6)</f>
        <v>26249.84</v>
      </c>
      <c r="M6" s="45">
        <f>M4*M24</f>
        <v>29921.954725612231</v>
      </c>
      <c r="N6" s="45">
        <f>N4*N24</f>
        <v>26982.247388439442</v>
      </c>
    </row>
    <row r="7" spans="1:14" x14ac:dyDescent="0.25">
      <c r="A7" s="47" t="s">
        <v>113</v>
      </c>
      <c r="B7" s="51">
        <f>'[1]Data Sheet'!B25</f>
        <v>1483.11</v>
      </c>
      <c r="C7" s="51">
        <f>'[1]Data Sheet'!C25</f>
        <v>1758.63</v>
      </c>
      <c r="D7" s="51">
        <f>'[1]Data Sheet'!D25</f>
        <v>2239.81</v>
      </c>
      <c r="E7" s="51">
        <f>'[1]Data Sheet'!E25</f>
        <v>2080.44</v>
      </c>
      <c r="F7" s="51">
        <f>'[1]Data Sheet'!F25</f>
        <v>2417.3200000000002</v>
      </c>
      <c r="G7" s="51">
        <f>'[1]Data Sheet'!G25</f>
        <v>2576.9499999999998</v>
      </c>
      <c r="H7" s="51">
        <f>'[1]Data Sheet'!H25</f>
        <v>1909.72</v>
      </c>
      <c r="I7" s="51">
        <f>'[1]Data Sheet'!I25</f>
        <v>2097.64</v>
      </c>
      <c r="J7" s="51">
        <f>'[1]Data Sheet'!J25</f>
        <v>3330.45</v>
      </c>
      <c r="K7" s="51">
        <f>'[1]Data Sheet'!K25</f>
        <v>17794.88</v>
      </c>
      <c r="L7" s="51">
        <f>SUM([1]Quarters!H7:K7)</f>
        <v>17635.960000000003</v>
      </c>
      <c r="M7" s="51">
        <v>0</v>
      </c>
      <c r="N7" s="51">
        <v>0</v>
      </c>
    </row>
    <row r="8" spans="1:14" x14ac:dyDescent="0.25">
      <c r="A8" s="47" t="s">
        <v>114</v>
      </c>
      <c r="B8" s="51">
        <f>'[1]Data Sheet'!B26</f>
        <v>1077.4000000000001</v>
      </c>
      <c r="C8" s="51">
        <f>'[1]Data Sheet'!C26</f>
        <v>1152.79</v>
      </c>
      <c r="D8" s="51">
        <f>'[1]Data Sheet'!D26</f>
        <v>1236.28</v>
      </c>
      <c r="E8" s="51">
        <f>'[1]Data Sheet'!E26</f>
        <v>1396.61</v>
      </c>
      <c r="F8" s="51">
        <f>'[1]Data Sheet'!F26</f>
        <v>1644.91</v>
      </c>
      <c r="G8" s="51">
        <f>'[1]Data Sheet'!G26</f>
        <v>1645.59</v>
      </c>
      <c r="H8" s="51">
        <f>'[1]Data Sheet'!H26</f>
        <v>1732.41</v>
      </c>
      <c r="I8" s="51">
        <f>'[1]Data Sheet'!I26</f>
        <v>1809.01</v>
      </c>
      <c r="J8" s="51">
        <f>'[1]Data Sheet'!J26</f>
        <v>1518.05</v>
      </c>
      <c r="K8" s="51">
        <f>'[1]Data Sheet'!K26</f>
        <v>1646.32</v>
      </c>
      <c r="L8" s="51">
        <f>SUM([1]Quarters!H8:K8)</f>
        <v>1666.15</v>
      </c>
      <c r="M8" s="51">
        <f>+$L8</f>
        <v>1666.15</v>
      </c>
      <c r="N8" s="51">
        <f>+$L8</f>
        <v>1666.15</v>
      </c>
    </row>
    <row r="9" spans="1:14" x14ac:dyDescent="0.25">
      <c r="A9" s="47" t="s">
        <v>24</v>
      </c>
      <c r="B9" s="51">
        <f>'[1]Data Sheet'!B27</f>
        <v>78.13</v>
      </c>
      <c r="C9" s="51">
        <f>'[1]Data Sheet'!C27</f>
        <v>49.03</v>
      </c>
      <c r="D9" s="51">
        <f>'[1]Data Sheet'!D27</f>
        <v>115.01</v>
      </c>
      <c r="E9" s="51">
        <f>'[1]Data Sheet'!E27</f>
        <v>71.400000000000006</v>
      </c>
      <c r="F9" s="51">
        <f>'[1]Data Sheet'!F27</f>
        <v>81.38</v>
      </c>
      <c r="G9" s="51">
        <f>'[1]Data Sheet'!G27</f>
        <v>57.97</v>
      </c>
      <c r="H9" s="51">
        <f>'[1]Data Sheet'!H27</f>
        <v>59.99</v>
      </c>
      <c r="I9" s="51">
        <f>'[1]Data Sheet'!I27</f>
        <v>77.77</v>
      </c>
      <c r="J9" s="51">
        <f>'[1]Data Sheet'!J27</f>
        <v>39.11</v>
      </c>
      <c r="K9" s="51">
        <f>'[1]Data Sheet'!K27</f>
        <v>45.06</v>
      </c>
      <c r="L9" s="51">
        <f>SUM([1]Quarters!H9:K9)</f>
        <v>51.93</v>
      </c>
      <c r="M9" s="51">
        <f>+$L9</f>
        <v>51.93</v>
      </c>
      <c r="N9" s="51">
        <f>+$L9</f>
        <v>51.93</v>
      </c>
    </row>
    <row r="10" spans="1:14" x14ac:dyDescent="0.25">
      <c r="A10" s="47" t="s">
        <v>115</v>
      </c>
      <c r="B10" s="51">
        <f>'[1]Data Sheet'!B28</f>
        <v>14859.07</v>
      </c>
      <c r="C10" s="51">
        <f>'[1]Data Sheet'!C28</f>
        <v>16026.32</v>
      </c>
      <c r="D10" s="51">
        <f>'[1]Data Sheet'!D28</f>
        <v>17409.11</v>
      </c>
      <c r="E10" s="51">
        <f>'[1]Data Sheet'!E28</f>
        <v>19149.82</v>
      </c>
      <c r="F10" s="51">
        <f>'[1]Data Sheet'!F28</f>
        <v>20034.57</v>
      </c>
      <c r="G10" s="51">
        <f>'[1]Data Sheet'!G28</f>
        <v>17938.169999999998</v>
      </c>
      <c r="H10" s="51">
        <f>'[1]Data Sheet'!H28</f>
        <v>20740.47</v>
      </c>
      <c r="I10" s="51">
        <f>'[1]Data Sheet'!I28</f>
        <v>25915.119999999999</v>
      </c>
      <c r="J10" s="51">
        <f>'[1]Data Sheet'!J28</f>
        <v>26960.82</v>
      </c>
      <c r="K10" s="51">
        <f>'[1]Data Sheet'!K28</f>
        <v>41942.949999999997</v>
      </c>
      <c r="L10" s="51">
        <f>SUM([1]Quarters!H10:K10)</f>
        <v>42167.72</v>
      </c>
      <c r="M10" s="51">
        <f>M6+M7-SUM(M8:M9)</f>
        <v>28203.87472561223</v>
      </c>
      <c r="N10" s="51">
        <f>N6+N7-SUM(N8:N9)</f>
        <v>25264.16738843944</v>
      </c>
    </row>
    <row r="11" spans="1:14" x14ac:dyDescent="0.25">
      <c r="A11" s="47" t="s">
        <v>116</v>
      </c>
      <c r="B11" s="51">
        <f>'[1]Data Sheet'!B29</f>
        <v>5358.21</v>
      </c>
      <c r="C11" s="51">
        <f>'[1]Data Sheet'!C29</f>
        <v>5549.09</v>
      </c>
      <c r="D11" s="51">
        <f>'[1]Data Sheet'!D29</f>
        <v>5916.43</v>
      </c>
      <c r="E11" s="51">
        <f>'[1]Data Sheet'!E29</f>
        <v>6313.92</v>
      </c>
      <c r="F11" s="51">
        <f>'[1]Data Sheet'!F29</f>
        <v>4441.79</v>
      </c>
      <c r="G11" s="51">
        <f>'[1]Data Sheet'!G29</f>
        <v>4555.29</v>
      </c>
      <c r="H11" s="51">
        <f>'[1]Data Sheet'!H29</f>
        <v>5237.34</v>
      </c>
      <c r="I11" s="51">
        <f>'[1]Data Sheet'!I29</f>
        <v>6438.4</v>
      </c>
      <c r="J11" s="51">
        <f>'[1]Data Sheet'!J29</f>
        <v>6209.46</v>
      </c>
      <c r="K11" s="51">
        <f>'[1]Data Sheet'!K29</f>
        <v>6890.47</v>
      </c>
      <c r="L11" s="51">
        <f>SUM([1]Quarters!H11:K11)</f>
        <v>6948.82</v>
      </c>
      <c r="M11" s="57">
        <f>IF($L10&gt;0,$L11/$L10,0)</f>
        <v>0.16479003370350589</v>
      </c>
      <c r="N11" s="57">
        <f>IF($L10&gt;0,$L11/$L10,0)</f>
        <v>0.16479003370350589</v>
      </c>
    </row>
    <row r="12" spans="1:14" s="53" customFormat="1" x14ac:dyDescent="0.25">
      <c r="A12" s="53" t="s">
        <v>117</v>
      </c>
      <c r="B12" s="45">
        <f>'[1]Data Sheet'!B30</f>
        <v>9344.4500000000007</v>
      </c>
      <c r="C12" s="45">
        <f>'[1]Data Sheet'!C30</f>
        <v>10289.44</v>
      </c>
      <c r="D12" s="45">
        <f>'[1]Data Sheet'!D30</f>
        <v>11271.2</v>
      </c>
      <c r="E12" s="45">
        <f>'[1]Data Sheet'!E30</f>
        <v>12592.33</v>
      </c>
      <c r="F12" s="45">
        <f>'[1]Data Sheet'!F30</f>
        <v>15306.23</v>
      </c>
      <c r="G12" s="45">
        <f>'[1]Data Sheet'!G30</f>
        <v>13161.19</v>
      </c>
      <c r="H12" s="45">
        <f>'[1]Data Sheet'!H30</f>
        <v>15242.66</v>
      </c>
      <c r="I12" s="45">
        <f>'[1]Data Sheet'!I30</f>
        <v>19191.66</v>
      </c>
      <c r="J12" s="45">
        <f>'[1]Data Sheet'!J30</f>
        <v>20458.78</v>
      </c>
      <c r="K12" s="45">
        <f>'[1]Data Sheet'!K30</f>
        <v>34746.629999999997</v>
      </c>
      <c r="L12" s="45">
        <f>SUM([1]Quarters!H12:K12)</f>
        <v>34899.24</v>
      </c>
      <c r="M12" s="45">
        <f>M10-M11*M10</f>
        <v>23556.157259009131</v>
      </c>
      <c r="N12" s="45">
        <f>N10-N11*N10</f>
        <v>21100.884393007491</v>
      </c>
    </row>
    <row r="13" spans="1:14" x14ac:dyDescent="0.25">
      <c r="A13" s="47" t="s">
        <v>151</v>
      </c>
      <c r="B13" s="51">
        <f>IF('[1]Data Sheet'!B93&gt;0,B12/'[1]Data Sheet'!B93,0)</f>
        <v>7.7413675978394147</v>
      </c>
      <c r="C13" s="51">
        <f>IF('[1]Data Sheet'!C93&gt;0,C12/'[1]Data Sheet'!C93,0)</f>
        <v>8.4704875117309051</v>
      </c>
      <c r="D13" s="51">
        <f>IF('[1]Data Sheet'!D93&gt;0,D12/'[1]Data Sheet'!D93,0)</f>
        <v>9.2354334128135172</v>
      </c>
      <c r="E13" s="51">
        <f>IF('[1]Data Sheet'!E93&gt;0,E12/'[1]Data Sheet'!E93,0)</f>
        <v>10.272241528396393</v>
      </c>
      <c r="F13" s="51">
        <f>IF('[1]Data Sheet'!F93&gt;0,F12/'[1]Data Sheet'!F93,0)</f>
        <v>12.451985812141032</v>
      </c>
      <c r="G13" s="51">
        <f>IF('[1]Data Sheet'!G93&gt;0,G12/'[1]Data Sheet'!G93,0)</f>
        <v>10.692504549590536</v>
      </c>
      <c r="H13" s="51">
        <f>IF('[1]Data Sheet'!H93&gt;0,H12/'[1]Data Sheet'!H93,0)</f>
        <v>12.368975842509718</v>
      </c>
      <c r="I13" s="51">
        <f>IF('[1]Data Sheet'!I93&gt;0,I12/'[1]Data Sheet'!I93,0)</f>
        <v>15.442275506919859</v>
      </c>
      <c r="J13" s="51">
        <f>IF('[1]Data Sheet'!J93&gt;0,J12/'[1]Data Sheet'!J93,0)</f>
        <v>16.387081788108645</v>
      </c>
      <c r="K13" s="51">
        <f>IF('[1]Data Sheet'!K93&gt;0,K12/'[1]Data Sheet'!K93,0)</f>
        <v>27.765983970081745</v>
      </c>
      <c r="L13" s="51">
        <f>IF('[1]Data Sheet'!$B6&gt;0,'Profit &amp; Loss'!L12/'[1]Data Sheet'!$B6,0)</f>
        <v>27.870330210531332</v>
      </c>
      <c r="M13" s="51">
        <f>IF('[1]Data Sheet'!$B6&gt;0,'Profit &amp; Loss'!M12/'[1]Data Sheet'!$B6,0)</f>
        <v>18.811810265776252</v>
      </c>
      <c r="N13" s="51">
        <f>IF('[1]Data Sheet'!$B6&gt;0,'Profit &amp; Loss'!N12/'[1]Data Sheet'!$B6,0)</f>
        <v>16.851043626375986</v>
      </c>
    </row>
    <row r="14" spans="1:14" x14ac:dyDescent="0.25">
      <c r="A14" s="47" t="s">
        <v>152</v>
      </c>
      <c r="B14" s="51">
        <f>IF(B15&gt;0,B15/B13,"")</f>
        <v>26.49790200600356</v>
      </c>
      <c r="C14" s="51">
        <f t="shared" ref="C14:K14" si="2">IF(C15&gt;0,C15/C13,"")</f>
        <v>31.019466073955435</v>
      </c>
      <c r="D14" s="51">
        <f t="shared" si="2"/>
        <v>25.932729877918941</v>
      </c>
      <c r="E14" s="51">
        <f t="shared" si="2"/>
        <v>27.125530414148926</v>
      </c>
      <c r="F14" s="51">
        <f t="shared" si="2"/>
        <v>12.925649163771876</v>
      </c>
      <c r="G14" s="51">
        <f t="shared" si="2"/>
        <v>19.155474664525016</v>
      </c>
      <c r="H14" s="51">
        <f t="shared" si="2"/>
        <v>18.995913889045614</v>
      </c>
      <c r="I14" s="51">
        <f t="shared" si="2"/>
        <v>23.279600201337455</v>
      </c>
      <c r="J14" s="51">
        <f t="shared" si="2"/>
        <v>24.502837368601647</v>
      </c>
      <c r="K14" s="51">
        <f t="shared" si="2"/>
        <v>14.757265596692401</v>
      </c>
      <c r="L14" s="51">
        <f t="shared" ref="L14" si="3">IF(L13&gt;0,L15/L13,0)</f>
        <v>14.38806059960045</v>
      </c>
      <c r="M14" s="51">
        <f>M25</f>
        <v>19.231940941557987</v>
      </c>
      <c r="N14" s="51">
        <f>N25</f>
        <v>14.38806059960045</v>
      </c>
    </row>
    <row r="15" spans="1:14" s="53" customFormat="1" x14ac:dyDescent="0.25">
      <c r="A15" s="53" t="s">
        <v>153</v>
      </c>
      <c r="B15" s="45">
        <f>'[1]Data Sheet'!B90</f>
        <v>205.13</v>
      </c>
      <c r="C15" s="45">
        <f>'[1]Data Sheet'!C90</f>
        <v>262.75</v>
      </c>
      <c r="D15" s="45">
        <f>'[1]Data Sheet'!D90</f>
        <v>239.5</v>
      </c>
      <c r="E15" s="45">
        <f>'[1]Data Sheet'!E90</f>
        <v>278.64</v>
      </c>
      <c r="F15" s="45">
        <f>'[1]Data Sheet'!F90</f>
        <v>160.94999999999999</v>
      </c>
      <c r="G15" s="45">
        <f>'[1]Data Sheet'!G90</f>
        <v>204.82</v>
      </c>
      <c r="H15" s="45">
        <f>'[1]Data Sheet'!H90</f>
        <v>234.96</v>
      </c>
      <c r="I15" s="45">
        <f>'[1]Data Sheet'!I90</f>
        <v>359.49</v>
      </c>
      <c r="J15" s="45">
        <f>'[1]Data Sheet'!J90</f>
        <v>401.53</v>
      </c>
      <c r="K15" s="45">
        <f>'[1]Data Sheet'!K90</f>
        <v>409.75</v>
      </c>
      <c r="L15" s="45">
        <f>'[1]Data Sheet'!B8</f>
        <v>401</v>
      </c>
      <c r="M15" s="58">
        <f>M13*M14</f>
        <v>361.78762403520312</v>
      </c>
      <c r="N15" s="59">
        <f>N13*N14</f>
        <v>242.45383686280863</v>
      </c>
    </row>
    <row r="17" spans="1:14" s="53" customFormat="1" x14ac:dyDescent="0.25">
      <c r="A17" s="53" t="s">
        <v>154</v>
      </c>
    </row>
    <row r="18" spans="1:14" x14ac:dyDescent="0.25">
      <c r="A18" s="47" t="s">
        <v>155</v>
      </c>
      <c r="B18" s="60">
        <f>IF('[1]Data Sheet'!B30&gt;0, '[1]Data Sheet'!B31/'[1]Data Sheet'!B30, 0)</f>
        <v>0.73199813793214152</v>
      </c>
      <c r="C18" s="60">
        <f>IF('[1]Data Sheet'!C30&gt;0, '[1]Data Sheet'!C31/'[1]Data Sheet'!C30, 0)</f>
        <v>0.56077104293333746</v>
      </c>
      <c r="D18" s="60">
        <f>IF('[1]Data Sheet'!D30&gt;0, '[1]Data Sheet'!D31/'[1]Data Sheet'!D30, 0)</f>
        <v>0.55763450209383203</v>
      </c>
      <c r="E18" s="60">
        <f>IF('[1]Data Sheet'!E30&gt;0, '[1]Data Sheet'!E31/'[1]Data Sheet'!E30, 0)</f>
        <v>0.55976137855345276</v>
      </c>
      <c r="F18" s="60">
        <f>IF('[1]Data Sheet'!F30&gt;0, '[1]Data Sheet'!F31/'[1]Data Sheet'!F30, 0)</f>
        <v>0.8151308323473514</v>
      </c>
      <c r="G18" s="60">
        <f>IF('[1]Data Sheet'!G30&gt;0, '[1]Data Sheet'!G31/'[1]Data Sheet'!G30, 0)</f>
        <v>1.0053771733407084</v>
      </c>
      <c r="H18" s="60">
        <f>IF('[1]Data Sheet'!H30&gt;0, '[1]Data Sheet'!H31/'[1]Data Sheet'!H30, 0)</f>
        <v>0.92974585800641096</v>
      </c>
      <c r="I18" s="60">
        <f>IF('[1]Data Sheet'!I30&gt;0, '[1]Data Sheet'!I31/'[1]Data Sheet'!I30, 0)</f>
        <v>1.0037380820627295</v>
      </c>
      <c r="J18" s="60">
        <f>IF('[1]Data Sheet'!J30&gt;0, '[1]Data Sheet'!J31/'[1]Data Sheet'!J30, 0)</f>
        <v>0.83907544829163816</v>
      </c>
      <c r="K18" s="60">
        <f>IF('[1]Data Sheet'!K30&gt;0, '[1]Data Sheet'!K31/'[1]Data Sheet'!K30, 0)</f>
        <v>0.51681932895362803</v>
      </c>
    </row>
    <row r="19" spans="1:14" x14ac:dyDescent="0.25">
      <c r="A19" s="47" t="s">
        <v>156</v>
      </c>
      <c r="B19" s="60">
        <f t="shared" ref="B19:L19" si="4">IF(B6&gt;0,B6/B4,0)</f>
        <v>0.37077599822413199</v>
      </c>
      <c r="C19" s="60">
        <f t="shared" si="4"/>
        <v>0.36171096811605047</v>
      </c>
      <c r="D19" s="60">
        <f t="shared" si="4"/>
        <v>0.38022998950031928</v>
      </c>
      <c r="E19" s="60">
        <f t="shared" si="4"/>
        <v>0.38348264507056129</v>
      </c>
      <c r="F19" s="60">
        <f t="shared" si="4"/>
        <v>0.39166715599228147</v>
      </c>
      <c r="G19" s="60">
        <f t="shared" si="4"/>
        <v>0.34644058919006154</v>
      </c>
      <c r="H19" s="60">
        <f t="shared" si="4"/>
        <v>0.3400660636555245</v>
      </c>
      <c r="I19" s="60">
        <f t="shared" si="4"/>
        <v>0.36244517162741785</v>
      </c>
      <c r="J19" s="60">
        <f t="shared" si="4"/>
        <v>0.37077595605248426</v>
      </c>
      <c r="K19" s="60">
        <f t="shared" si="4"/>
        <v>0.34304705553418102</v>
      </c>
      <c r="L19" s="60">
        <f t="shared" si="4"/>
        <v>0.33210695503257071</v>
      </c>
    </row>
    <row r="20" spans="1:14" x14ac:dyDescent="0.25"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 spans="1:14" x14ac:dyDescent="0.25"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</row>
    <row r="22" spans="1:14" s="53" customFormat="1" x14ac:dyDescent="0.25">
      <c r="A22" s="55"/>
      <c r="B22" s="49"/>
      <c r="C22" s="49"/>
      <c r="D22" s="49"/>
      <c r="E22" s="49"/>
      <c r="F22" s="49"/>
      <c r="G22" s="49" t="s">
        <v>157</v>
      </c>
      <c r="H22" s="49" t="s">
        <v>158</v>
      </c>
      <c r="I22" s="49" t="s">
        <v>159</v>
      </c>
      <c r="J22" s="49" t="s">
        <v>160</v>
      </c>
      <c r="K22" s="49" t="s">
        <v>161</v>
      </c>
      <c r="L22" s="56" t="s">
        <v>162</v>
      </c>
      <c r="M22" s="56" t="s">
        <v>163</v>
      </c>
      <c r="N22" s="56" t="s">
        <v>164</v>
      </c>
    </row>
    <row r="23" spans="1:14" s="53" customFormat="1" x14ac:dyDescent="0.25">
      <c r="A23" s="47"/>
      <c r="B23" s="47"/>
      <c r="C23" s="47"/>
      <c r="D23" s="47"/>
      <c r="E23" s="47"/>
      <c r="F23" s="47"/>
      <c r="G23" s="47" t="s">
        <v>165</v>
      </c>
      <c r="H23" s="60">
        <f>IF(B4=0,"",POWER($K4/B4,1/9)-1)</f>
        <v>7.5290157386170398E-2</v>
      </c>
      <c r="I23" s="60">
        <f>IF(D4=0,"",POWER($K4/D4,1/7)-1)</f>
        <v>8.1772081914101014E-2</v>
      </c>
      <c r="J23" s="60">
        <f>IF(F4=0,"",POWER($K4/F4,1/5)-1)</f>
        <v>8.8083322106701667E-2</v>
      </c>
      <c r="K23" s="60">
        <f>IF(H4=0,"",POWER($K4/H4, 1/3)-1)</f>
        <v>7.4927782346726923E-2</v>
      </c>
      <c r="L23" s="60">
        <f>IF(ISERROR(MAX(IF(J4=0,"",(K4-J4)/J4),IF(K4=0,"",(L4-K4)/K4))),"",MAX(IF(J4=0,"",(K4-J4)/J4),IF(K4=0,"",(L4-K4)/K4)))</f>
        <v>0.10880596078957842</v>
      </c>
      <c r="M23" s="61">
        <f>MAX(K23:L23)</f>
        <v>0.10880596078957842</v>
      </c>
      <c r="N23" s="61">
        <f>MIN(H23:L23)</f>
        <v>7.4927782346726923E-2</v>
      </c>
    </row>
    <row r="24" spans="1:14" x14ac:dyDescent="0.25">
      <c r="G24" s="47" t="s">
        <v>156</v>
      </c>
      <c r="H24" s="60">
        <f>IF(SUM(B4:$K$4)=0,"",SUMPRODUCT(B19:$K$19,B4:$K$4)/SUM(B4:$K$4))</f>
        <v>0.36333561776087531</v>
      </c>
      <c r="I24" s="60">
        <f>IF(SUM(E4:$K$4)=0,"",SUMPRODUCT(E19:$K$19,E4:$K$4)/SUM(E4:$K$4))</f>
        <v>0.361068770445239</v>
      </c>
      <c r="J24" s="60">
        <f>IF(SUM(G4:$K$4)=0,"",SUMPRODUCT(G19:$K$19,G4:$K$4)/SUM(G4:$K$4))</f>
        <v>0.35306244239396706</v>
      </c>
      <c r="K24" s="60">
        <f>IF(SUM(I4:$K$4)=0, "", SUMPRODUCT(I19:$K$19,I4:$K$4)/SUM(I4:$K$4))</f>
        <v>0.35826537739283482</v>
      </c>
      <c r="L24" s="60">
        <f>L19</f>
        <v>0.33210695503257071</v>
      </c>
      <c r="M24" s="61">
        <f>MAX(K24:L24)</f>
        <v>0.35826537739283482</v>
      </c>
      <c r="N24" s="61">
        <f>MIN(H24:L24)</f>
        <v>0.33210695503257071</v>
      </c>
    </row>
    <row r="25" spans="1:14" x14ac:dyDescent="0.25">
      <c r="G25" s="47" t="s">
        <v>166</v>
      </c>
      <c r="H25" s="51">
        <f>IF(ISERROR(AVERAGEIF(B14:$L14,"&gt;0")),"",AVERAGEIF(B14:$L14,"&gt;0"))</f>
        <v>21.689129986872846</v>
      </c>
      <c r="I25" s="51">
        <f>IF(ISERROR(AVERAGEIF(E14:$L14,"&gt;0")),"",AVERAGEIF(E14:$L14,"&gt;0"))</f>
        <v>19.391291487215426</v>
      </c>
      <c r="J25" s="51">
        <f>IF(ISERROR(AVERAGEIF(G14:$L14,"&gt;0")),"",AVERAGEIF(G14:$L14,"&gt;0"))</f>
        <v>19.179858719967097</v>
      </c>
      <c r="K25" s="51">
        <f>IF(ISERROR(AVERAGEIF(I14:$L14,"&gt;0")),"",AVERAGEIF(I14:$L14,"&gt;0"))</f>
        <v>19.231940941557987</v>
      </c>
      <c r="L25" s="51">
        <f>L14</f>
        <v>14.38806059960045</v>
      </c>
      <c r="M25" s="45">
        <f>MAX(K25:L25)</f>
        <v>19.231940941557987</v>
      </c>
      <c r="N25" s="45">
        <f>MIN(H25:L25)</f>
        <v>14.38806059960045</v>
      </c>
    </row>
    <row r="27" spans="1:14" x14ac:dyDescent="0.25">
      <c r="A27" s="47" t="s">
        <v>167</v>
      </c>
      <c r="C27" s="62">
        <f>C4/B4-1</f>
        <v>9.1230120355888067E-2</v>
      </c>
      <c r="D27" s="62">
        <f t="shared" ref="D27:K27" si="5">D4/C4-1</f>
        <v>1.5931218960147486E-2</v>
      </c>
      <c r="E27" s="62">
        <f t="shared" si="5"/>
        <v>0.11256062863673999</v>
      </c>
      <c r="F27" s="62">
        <f t="shared" si="5"/>
        <v>2.1682439110972673E-2</v>
      </c>
      <c r="G27" s="62">
        <f t="shared" si="5"/>
        <v>-2.6372963308678443E-3</v>
      </c>
      <c r="H27" s="62">
        <f t="shared" si="5"/>
        <v>0.23117497962237188</v>
      </c>
      <c r="I27" s="62">
        <f t="shared" si="5"/>
        <v>0.1694215175842706</v>
      </c>
      <c r="J27" s="62">
        <f t="shared" si="5"/>
        <v>-4.2119724423754779E-2</v>
      </c>
      <c r="K27" s="62">
        <f t="shared" si="5"/>
        <v>0.10880596078957838</v>
      </c>
    </row>
    <row r="28" spans="1:14" x14ac:dyDescent="0.25">
      <c r="A28" s="47" t="s">
        <v>20</v>
      </c>
      <c r="B28" s="47">
        <f>'[1]Data Sheet'!B17-'[1]Data Sheet'!B18-'[1]Data Sheet'!B19-'[1]Data Sheet'!B20-'[1]Data Sheet'!B21</f>
        <v>23079.37</v>
      </c>
      <c r="C28" s="47">
        <f>'[1]Data Sheet'!C17-'[1]Data Sheet'!C18-'[1]Data Sheet'!C19-'[1]Data Sheet'!C20-'[1]Data Sheet'!C21</f>
        <v>25635.349999999995</v>
      </c>
      <c r="D28" s="47">
        <f>'[1]Data Sheet'!D17-'[1]Data Sheet'!D18-'[1]Data Sheet'!D19-'[1]Data Sheet'!D20-'[1]Data Sheet'!D21</f>
        <v>27297.86</v>
      </c>
      <c r="E28" s="47">
        <f>'[1]Data Sheet'!E17-'[1]Data Sheet'!E18-'[1]Data Sheet'!E19-'[1]Data Sheet'!E20-'[1]Data Sheet'!E21</f>
        <v>27895.130000000005</v>
      </c>
      <c r="F28" s="47">
        <f>'[1]Data Sheet'!F17-'[1]Data Sheet'!F18-'[1]Data Sheet'!F19-'[1]Data Sheet'!F20-'[1]Data Sheet'!F21</f>
        <v>27946.829999999998</v>
      </c>
      <c r="G28" s="47">
        <f>'[1]Data Sheet'!G17-'[1]Data Sheet'!G18-'[1]Data Sheet'!G19-'[1]Data Sheet'!G20-'[1]Data Sheet'!G21</f>
        <v>25548.729999999996</v>
      </c>
      <c r="H28" s="47">
        <f>'[1]Data Sheet'!H17-'[1]Data Sheet'!H18-'[1]Data Sheet'!H19-'[1]Data Sheet'!H20-'[1]Data Sheet'!H21</f>
        <v>30110.03</v>
      </c>
      <c r="I28" s="47">
        <f>'[1]Data Sheet'!I17-'[1]Data Sheet'!I18-'[1]Data Sheet'!I19-'[1]Data Sheet'!I20-'[1]Data Sheet'!I21</f>
        <v>37635.94</v>
      </c>
      <c r="J28" s="47">
        <f>'[1]Data Sheet'!J17-'[1]Data Sheet'!J18-'[1]Data Sheet'!J19-'[1]Data Sheet'!J20-'[1]Data Sheet'!J21</f>
        <v>37078.94</v>
      </c>
      <c r="K28" s="47">
        <f>'[1]Data Sheet'!K17-'[1]Data Sheet'!K18-'[1]Data Sheet'!K19-'[1]Data Sheet'!K20-'[1]Data Sheet'!K21</f>
        <v>38572.61</v>
      </c>
    </row>
    <row r="29" spans="1:14" x14ac:dyDescent="0.25">
      <c r="A29" s="47" t="s">
        <v>168</v>
      </c>
      <c r="B29" s="62"/>
      <c r="C29" s="62">
        <f>C28/B28-1</f>
        <v>0.11074739041836912</v>
      </c>
      <c r="D29" s="62">
        <f t="shared" ref="D29:K29" si="6">D28/C28-1</f>
        <v>6.485224504444087E-2</v>
      </c>
      <c r="E29" s="62">
        <f t="shared" si="6"/>
        <v>2.187973709294444E-2</v>
      </c>
      <c r="F29" s="62">
        <f t="shared" si="6"/>
        <v>1.8533701043872419E-3</v>
      </c>
      <c r="G29" s="62">
        <f t="shared" si="6"/>
        <v>-8.5809374444257291E-2</v>
      </c>
      <c r="H29" s="62">
        <f t="shared" si="6"/>
        <v>0.17853333609928956</v>
      </c>
      <c r="I29" s="62">
        <f t="shared" si="6"/>
        <v>0.24994694458956057</v>
      </c>
      <c r="J29" s="62">
        <f t="shared" si="6"/>
        <v>-1.4799683494021942E-2</v>
      </c>
      <c r="K29" s="62">
        <f t="shared" si="6"/>
        <v>4.0283514037887658E-2</v>
      </c>
    </row>
    <row r="30" spans="1:14" x14ac:dyDescent="0.25">
      <c r="A30" s="47" t="s">
        <v>169</v>
      </c>
      <c r="B30" s="62">
        <f>B6/B4</f>
        <v>0.37077599822413199</v>
      </c>
      <c r="C30" s="62">
        <f t="shared" ref="C30:K30" si="7">C6/C4</f>
        <v>0.36171096811605047</v>
      </c>
      <c r="D30" s="62">
        <f t="shared" si="7"/>
        <v>0.38022998950031928</v>
      </c>
      <c r="E30" s="62">
        <f t="shared" si="7"/>
        <v>0.38348264507056129</v>
      </c>
      <c r="F30" s="62">
        <f t="shared" si="7"/>
        <v>0.39166715599228147</v>
      </c>
      <c r="G30" s="62">
        <f t="shared" si="7"/>
        <v>0.34644058919006154</v>
      </c>
      <c r="H30" s="62">
        <f t="shared" si="7"/>
        <v>0.3400660636555245</v>
      </c>
      <c r="I30" s="62">
        <f t="shared" si="7"/>
        <v>0.36244517162741785</v>
      </c>
      <c r="J30" s="62">
        <f t="shared" si="7"/>
        <v>0.37077595605248426</v>
      </c>
      <c r="K30" s="62">
        <f t="shared" si="7"/>
        <v>0.34304705553418102</v>
      </c>
    </row>
    <row r="31" spans="1:14" x14ac:dyDescent="0.25">
      <c r="A31" s="47" t="s">
        <v>170</v>
      </c>
      <c r="B31" s="62">
        <f>(B6-B8)/B4</f>
        <v>0.34328576422289192</v>
      </c>
      <c r="C31" s="62">
        <f t="shared" ref="C31:K31" si="8">(C6-C8)/C4</f>
        <v>0.33475621732339428</v>
      </c>
      <c r="D31" s="62">
        <f t="shared" si="8"/>
        <v>0.35177636094229231</v>
      </c>
      <c r="E31" s="62">
        <f t="shared" si="8"/>
        <v>0.35459099975630737</v>
      </c>
      <c r="F31" s="62">
        <f t="shared" si="8"/>
        <v>0.35836108990700111</v>
      </c>
      <c r="G31" s="62">
        <f t="shared" si="8"/>
        <v>0.31303264785326884</v>
      </c>
      <c r="H31" s="62">
        <f t="shared" si="8"/>
        <v>0.3114994358931571</v>
      </c>
      <c r="I31" s="62">
        <f t="shared" si="8"/>
        <v>0.33693706752616326</v>
      </c>
      <c r="J31" s="62">
        <f t="shared" si="8"/>
        <v>0.34842932499793172</v>
      </c>
      <c r="K31" s="62">
        <f t="shared" si="8"/>
        <v>0.3211903508261848</v>
      </c>
    </row>
    <row r="32" spans="1:14" x14ac:dyDescent="0.25">
      <c r="A32" s="47" t="s">
        <v>171</v>
      </c>
      <c r="B32" s="62">
        <f>B12/B4</f>
        <v>0.23842687684507849</v>
      </c>
      <c r="C32" s="62">
        <f t="shared" ref="C32:K32" si="9">C12/C4</f>
        <v>0.2405896052151629</v>
      </c>
      <c r="D32" s="62">
        <f t="shared" si="9"/>
        <v>0.25941254263049918</v>
      </c>
      <c r="E32" s="62">
        <f t="shared" si="9"/>
        <v>0.26049729848707825</v>
      </c>
      <c r="F32" s="62">
        <f t="shared" si="9"/>
        <v>0.30991987883622846</v>
      </c>
      <c r="G32" s="62">
        <f t="shared" si="9"/>
        <v>0.26719186640802561</v>
      </c>
      <c r="H32" s="62">
        <f t="shared" si="9"/>
        <v>0.25134430898478244</v>
      </c>
      <c r="I32" s="62">
        <f t="shared" si="9"/>
        <v>0.27061368436652333</v>
      </c>
      <c r="J32" s="62">
        <f t="shared" si="9"/>
        <v>0.30116584334261615</v>
      </c>
      <c r="K32" s="62">
        <f t="shared" si="9"/>
        <v>0.46129964497060272</v>
      </c>
    </row>
    <row r="33" spans="1:11" x14ac:dyDescent="0.25">
      <c r="A33" s="47" t="s">
        <v>172</v>
      </c>
      <c r="B33" s="63">
        <f>B13</f>
        <v>7.7413675978394147</v>
      </c>
      <c r="C33" s="63">
        <f t="shared" ref="C33:K33" si="10">C13</f>
        <v>8.4704875117309051</v>
      </c>
      <c r="D33" s="63">
        <f t="shared" si="10"/>
        <v>9.2354334128135172</v>
      </c>
      <c r="E33" s="63">
        <f t="shared" si="10"/>
        <v>10.272241528396393</v>
      </c>
      <c r="F33" s="63">
        <f t="shared" si="10"/>
        <v>12.451985812141032</v>
      </c>
      <c r="G33" s="63">
        <f t="shared" si="10"/>
        <v>10.692504549590536</v>
      </c>
      <c r="H33" s="63">
        <f t="shared" si="10"/>
        <v>12.368975842509718</v>
      </c>
      <c r="I33" s="63">
        <f t="shared" si="10"/>
        <v>15.442275506919859</v>
      </c>
      <c r="J33" s="63">
        <f t="shared" si="10"/>
        <v>16.387081788108645</v>
      </c>
      <c r="K33" s="63">
        <f t="shared" si="10"/>
        <v>27.765983970081745</v>
      </c>
    </row>
    <row r="34" spans="1:11" x14ac:dyDescent="0.25">
      <c r="A34" s="47" t="s">
        <v>173</v>
      </c>
      <c r="B34" s="62"/>
      <c r="C34" s="62">
        <f>C13/B13-1</f>
        <v>9.4184897523143629E-2</v>
      </c>
      <c r="D34" s="62">
        <f t="shared" ref="D34:K34" si="11">D13/C13-1</f>
        <v>9.030718716286712E-2</v>
      </c>
      <c r="E34" s="62">
        <f t="shared" si="11"/>
        <v>0.11226415363943576</v>
      </c>
      <c r="F34" s="62">
        <f t="shared" si="11"/>
        <v>0.21219753037533184</v>
      </c>
      <c r="G34" s="62">
        <f t="shared" si="11"/>
        <v>-0.14130125821657724</v>
      </c>
      <c r="H34" s="62">
        <f t="shared" si="11"/>
        <v>0.15678939252669122</v>
      </c>
      <c r="I34" s="62">
        <f t="shared" si="11"/>
        <v>0.24846840219768396</v>
      </c>
      <c r="J34" s="62">
        <f t="shared" si="11"/>
        <v>6.1183099651693551E-2</v>
      </c>
      <c r="K34" s="62">
        <f t="shared" si="11"/>
        <v>0.69438246108164581</v>
      </c>
    </row>
    <row r="35" spans="1:11" x14ac:dyDescent="0.25">
      <c r="A35" s="47" t="s">
        <v>174</v>
      </c>
      <c r="B35" s="64">
        <f>B18*B13</f>
        <v>5.666666666666667</v>
      </c>
      <c r="C35" s="64">
        <f t="shared" ref="C35:K35" si="12">C18*C13</f>
        <v>4.7500041161071502</v>
      </c>
      <c r="D35" s="64">
        <f t="shared" si="12"/>
        <v>5.1499963127750057</v>
      </c>
      <c r="E35" s="64">
        <f t="shared" si="12"/>
        <v>5.7500040787691908</v>
      </c>
      <c r="F35" s="64">
        <f t="shared" si="12"/>
        <v>10.149997559427931</v>
      </c>
      <c r="G35" s="64">
        <f t="shared" si="12"/>
        <v>10.749999999999998</v>
      </c>
      <c r="H35" s="64">
        <f t="shared" si="12"/>
        <v>11.500004057354767</v>
      </c>
      <c r="I35" s="64">
        <f t="shared" si="12"/>
        <v>15.500000000000004</v>
      </c>
      <c r="J35" s="64">
        <f t="shared" si="12"/>
        <v>13.749997997549</v>
      </c>
      <c r="K35" s="64">
        <f t="shared" si="12"/>
        <v>14.349997203154841</v>
      </c>
    </row>
    <row r="36" spans="1:11" x14ac:dyDescent="0.25">
      <c r="A36" s="47" t="s">
        <v>175</v>
      </c>
      <c r="C36" s="62">
        <f>C35/B35-1</f>
        <v>-0.16176397951050292</v>
      </c>
      <c r="D36" s="62">
        <f t="shared" ref="D36:K36" si="13">D35/C35-1</f>
        <v>8.4208810537972356E-2</v>
      </c>
      <c r="E36" s="62">
        <f t="shared" si="13"/>
        <v>0.11650644574362401</v>
      </c>
      <c r="F36" s="62">
        <f t="shared" si="13"/>
        <v>0.76521571469921024</v>
      </c>
      <c r="G36" s="62">
        <f t="shared" si="13"/>
        <v>5.9113555156941722E-2</v>
      </c>
      <c r="H36" s="62">
        <f t="shared" si="13"/>
        <v>6.9767819288815591E-2</v>
      </c>
      <c r="I36" s="62">
        <f t="shared" si="13"/>
        <v>0.34782561142550739</v>
      </c>
      <c r="J36" s="62">
        <f t="shared" si="13"/>
        <v>-0.1129033549968389</v>
      </c>
      <c r="K36" s="62">
        <f t="shared" si="13"/>
        <v>4.3636312217121276E-2</v>
      </c>
    </row>
    <row r="38" spans="1:11" x14ac:dyDescent="0.25">
      <c r="A38" s="47" t="s">
        <v>187</v>
      </c>
      <c r="B38" s="73">
        <f>1-(B28/B4)</f>
        <v>0.41112188425728657</v>
      </c>
      <c r="C38" s="73">
        <f t="shared" ref="C38:K38" si="14">1-(C28/C4)</f>
        <v>0.40058946492204384</v>
      </c>
      <c r="D38" s="73">
        <f t="shared" si="14"/>
        <v>0.37172552425904981</v>
      </c>
      <c r="E38" s="73">
        <f t="shared" si="14"/>
        <v>0.42293396012129181</v>
      </c>
      <c r="F38" s="73">
        <f t="shared" si="14"/>
        <v>0.434133802545978</v>
      </c>
      <c r="G38" s="73">
        <f t="shared" si="14"/>
        <v>0.48132252075574355</v>
      </c>
      <c r="H38" s="73">
        <f t="shared" si="14"/>
        <v>0.50349973798135828</v>
      </c>
      <c r="I38" s="73">
        <f t="shared" si="14"/>
        <v>0.46931112847990164</v>
      </c>
      <c r="J38" s="73">
        <f t="shared" si="14"/>
        <v>0.45417516414222825</v>
      </c>
      <c r="K38" s="73">
        <f t="shared" si="14"/>
        <v>0.48790627181428758</v>
      </c>
    </row>
    <row r="39" spans="1:11" x14ac:dyDescent="0.25">
      <c r="A39" s="47" t="s">
        <v>189</v>
      </c>
      <c r="B39" s="73">
        <f>SUM('Data Sheet'!B22:B23)/'Data Sheet'!B17</f>
        <v>0.19653833298037104</v>
      </c>
      <c r="C39" s="73">
        <f>SUM('Data Sheet'!C22:C23)/'Data Sheet'!C17</f>
        <v>0.18264924849652539</v>
      </c>
      <c r="D39" s="73">
        <f>SUM('Data Sheet'!D22:D23)/'Data Sheet'!D17</f>
        <v>0.17758246806481354</v>
      </c>
      <c r="E39" s="73">
        <f>SUM('Data Sheet'!E22:E23)/'Data Sheet'!E17</f>
        <v>0.18047881260035772</v>
      </c>
      <c r="F39" s="73">
        <f>SUM('Data Sheet'!F22:F23)/'Data Sheet'!F17</f>
        <v>0.17786655381805591</v>
      </c>
      <c r="G39" s="73">
        <f>SUM('Data Sheet'!G22:G23)/'Data Sheet'!G17</f>
        <v>0.17662505874745851</v>
      </c>
      <c r="H39" s="73">
        <f>SUM('Data Sheet'!H22:H23)/'Data Sheet'!H17</f>
        <v>0.16075527986526075</v>
      </c>
      <c r="I39" s="73">
        <f>SUM('Data Sheet'!I22:I23)/'Data Sheet'!I17</f>
        <v>0.15990489435628208</v>
      </c>
      <c r="J39" s="73">
        <f>SUM('Data Sheet'!J22:J23)/'Data Sheet'!J17</f>
        <v>0.15988031550401768</v>
      </c>
      <c r="K39" s="73">
        <f>SUM('Data Sheet'!K22:K23)/'Data Sheet'!K17</f>
        <v>0.15882288278772555</v>
      </c>
    </row>
    <row r="40" spans="1:11" x14ac:dyDescent="0.25">
      <c r="A40" s="47" t="s">
        <v>304</v>
      </c>
      <c r="C40" s="73">
        <f>'Data Sheet'!C24/'Data Sheet'!B24-1</f>
        <v>-5.3936839039073092E-2</v>
      </c>
      <c r="D40" s="73">
        <f>'Data Sheet'!D24/'Data Sheet'!C24-1</f>
        <v>-0.13962180238276467</v>
      </c>
      <c r="E40" s="73">
        <f>'Data Sheet'!E24/'Data Sheet'!D24-1</f>
        <v>3.3668661404799183E-2</v>
      </c>
      <c r="F40" s="73">
        <f>'Data Sheet'!F24/'Data Sheet'!E24-1</f>
        <v>0.1781795451267012</v>
      </c>
      <c r="G40" s="73">
        <f>'Data Sheet'!G24/'Data Sheet'!F24-1</f>
        <v>-0.12304000391795156</v>
      </c>
      <c r="H40" s="73">
        <f>'Data Sheet'!H24/'Data Sheet'!G24-1</f>
        <v>3.3097850873518908E-2</v>
      </c>
      <c r="I40" s="73">
        <f>'Data Sheet'!I24/'Data Sheet'!H24-1</f>
        <v>0.17893598810757227</v>
      </c>
      <c r="J40" s="73">
        <f>'Data Sheet'!J24/'Data Sheet'!I24-1</f>
        <v>0.3495521794950176</v>
      </c>
      <c r="K40" s="73">
        <f>'Data Sheet'!K24/'Data Sheet'!J24-1</f>
        <v>0.25788660056512835</v>
      </c>
    </row>
    <row r="41" spans="1:11" x14ac:dyDescent="0.25">
      <c r="A41" s="47" t="s">
        <v>305</v>
      </c>
      <c r="C41" s="73">
        <f>'Historical FS'!D20/'Historical FS'!C20-1</f>
        <v>0.18577179035944758</v>
      </c>
      <c r="D41" s="73">
        <f>'Historical FS'!E20/'Historical FS'!D20-1</f>
        <v>0.27361070833546552</v>
      </c>
      <c r="E41" s="73">
        <f>'Historical FS'!F20/'Historical FS'!E20-1</f>
        <v>-7.1153356757939212E-2</v>
      </c>
      <c r="F41" s="73">
        <f>'Historical FS'!G20/'Historical FS'!F20-1</f>
        <v>0.16192728461287031</v>
      </c>
      <c r="G41" s="73">
        <f>'Historical FS'!H20/'Historical FS'!G20-1</f>
        <v>6.6035940628464518E-2</v>
      </c>
      <c r="H41" s="73">
        <f>'Historical FS'!I20/'Historical FS'!H20-1</f>
        <v>-0.25892236946778158</v>
      </c>
      <c r="I41" s="73">
        <f>'Historical FS'!J20/'Historical FS'!I20-1</f>
        <v>9.8401859958527904E-2</v>
      </c>
      <c r="J41" s="73">
        <f>'Historical FS'!K20/'Historical FS'!J20-1</f>
        <v>0.58771285825975861</v>
      </c>
      <c r="K41" s="73">
        <f>'Historical FS'!L20/'Historical FS'!K20-1</f>
        <v>3.7097088981969506E-2</v>
      </c>
    </row>
    <row r="42" spans="1:11" x14ac:dyDescent="0.25">
      <c r="B42" s="47">
        <v>100</v>
      </c>
      <c r="C42" s="47">
        <f>B42*(1+C41)</f>
        <v>118.57717903594475</v>
      </c>
      <c r="D42" s="47">
        <f t="shared" ref="D42:K42" si="15">C42*(1+D41)</f>
        <v>151.02116498439091</v>
      </c>
      <c r="E42" s="47">
        <f t="shared" si="15"/>
        <v>140.27550215425694</v>
      </c>
      <c r="F42" s="47">
        <f t="shared" si="15"/>
        <v>162.9899333158026</v>
      </c>
      <c r="G42" s="47">
        <f t="shared" si="15"/>
        <v>173.75312687528233</v>
      </c>
      <c r="H42" s="47">
        <f t="shared" si="15"/>
        <v>128.76455556229814</v>
      </c>
      <c r="I42" s="47">
        <f t="shared" si="15"/>
        <v>141.43522732636148</v>
      </c>
      <c r="J42" s="47">
        <f t="shared" si="15"/>
        <v>224.55852903695612</v>
      </c>
      <c r="K42" s="47">
        <f t="shared" si="15"/>
        <v>232.88899677030025</v>
      </c>
    </row>
    <row r="43" spans="1:11" x14ac:dyDescent="0.25">
      <c r="K43" s="47">
        <f>_xlfn.RRI(4,G42,K42)</f>
        <v>7.5979718583757849E-2</v>
      </c>
    </row>
  </sheetData>
  <hyperlinks>
    <hyperlink ref="M1" r:id="rId1" xr:uid="{00000000-0004-0000-0A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24"/>
  <sheetViews>
    <sheetView zoomScaleNormal="100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C17" sqref="C17"/>
    </sheetView>
  </sheetViews>
  <sheetFormatPr defaultColWidth="8.85546875" defaultRowHeight="15" x14ac:dyDescent="0.25"/>
  <cols>
    <col min="1" max="1" width="22.85546875" style="47" bestFit="1" customWidth="1"/>
    <col min="2" max="2" width="13.42578125" style="47" customWidth="1"/>
    <col min="3" max="11" width="15.42578125" style="47" customWidth="1"/>
    <col min="12" max="16384" width="8.85546875" style="47"/>
  </cols>
  <sheetData>
    <row r="1" spans="1:11" s="53" customFormat="1" x14ac:dyDescent="0.25">
      <c r="A1" s="53" t="str">
        <f>'[1]Profit &amp; Loss'!A1</f>
        <v>ITC LTD</v>
      </c>
      <c r="E1" s="47" t="str">
        <f>UPDATE</f>
        <v/>
      </c>
      <c r="G1" s="47"/>
      <c r="J1" s="53" t="s">
        <v>146</v>
      </c>
    </row>
    <row r="2" spans="1:11" x14ac:dyDescent="0.25">
      <c r="G2" s="53"/>
      <c r="H2" s="53"/>
    </row>
    <row r="3" spans="1:11" x14ac:dyDescent="0.25">
      <c r="A3" s="55" t="s">
        <v>147</v>
      </c>
      <c r="B3" s="49">
        <f>'[1]Data Sheet'!B56</f>
        <v>42460</v>
      </c>
      <c r="C3" s="49">
        <f>'[1]Data Sheet'!C56</f>
        <v>42825</v>
      </c>
      <c r="D3" s="49">
        <f>'[1]Data Sheet'!D56</f>
        <v>43190</v>
      </c>
      <c r="E3" s="49">
        <f>'[1]Data Sheet'!E56</f>
        <v>43555</v>
      </c>
      <c r="F3" s="49">
        <f>'[1]Data Sheet'!F56</f>
        <v>43921</v>
      </c>
      <c r="G3" s="49">
        <f>'[1]Data Sheet'!G56</f>
        <v>44286</v>
      </c>
      <c r="H3" s="49">
        <f>'[1]Data Sheet'!H56</f>
        <v>44651</v>
      </c>
      <c r="I3" s="49">
        <f>'[1]Data Sheet'!I56</f>
        <v>45016</v>
      </c>
      <c r="J3" s="49">
        <f>'[1]Data Sheet'!J56</f>
        <v>45382</v>
      </c>
      <c r="K3" s="49">
        <f>'[1]Data Sheet'!K56</f>
        <v>45747</v>
      </c>
    </row>
    <row r="4" spans="1:11" x14ac:dyDescent="0.25">
      <c r="A4" s="47" t="s">
        <v>122</v>
      </c>
      <c r="B4" s="65">
        <f>'[1]Data Sheet'!B57</f>
        <v>804.72</v>
      </c>
      <c r="C4" s="65">
        <f>'[1]Data Sheet'!C57</f>
        <v>1214.74</v>
      </c>
      <c r="D4" s="65">
        <f>'[1]Data Sheet'!D57</f>
        <v>1220.43</v>
      </c>
      <c r="E4" s="65">
        <f>'[1]Data Sheet'!E57</f>
        <v>1225.8599999999999</v>
      </c>
      <c r="F4" s="65">
        <f>'[1]Data Sheet'!F57</f>
        <v>1229.22</v>
      </c>
      <c r="G4" s="65">
        <f>'[1]Data Sheet'!G57</f>
        <v>1230.8800000000001</v>
      </c>
      <c r="H4" s="65">
        <f>'[1]Data Sheet'!H57</f>
        <v>1232.33</v>
      </c>
      <c r="I4" s="65">
        <f>'[1]Data Sheet'!I57</f>
        <v>1242.8</v>
      </c>
      <c r="J4" s="65">
        <f>'[1]Data Sheet'!J57</f>
        <v>1248.47</v>
      </c>
      <c r="K4" s="65">
        <f>'[1]Data Sheet'!K57</f>
        <v>1251.4100000000001</v>
      </c>
    </row>
    <row r="5" spans="1:11" x14ac:dyDescent="0.25">
      <c r="A5" s="47" t="s">
        <v>123</v>
      </c>
      <c r="B5" s="65">
        <f>'[1]Data Sheet'!B58</f>
        <v>41874.800000000003</v>
      </c>
      <c r="C5" s="65">
        <f>'[1]Data Sheet'!C58</f>
        <v>45198.19</v>
      </c>
      <c r="D5" s="65">
        <f>'[1]Data Sheet'!D58</f>
        <v>51289.68</v>
      </c>
      <c r="E5" s="65">
        <f>'[1]Data Sheet'!E58</f>
        <v>57915.01</v>
      </c>
      <c r="F5" s="65">
        <f>'[1]Data Sheet'!F58</f>
        <v>64044.04</v>
      </c>
      <c r="G5" s="65">
        <f>'[1]Data Sheet'!G58</f>
        <v>59116.46</v>
      </c>
      <c r="H5" s="65">
        <f>'[1]Data Sheet'!H58</f>
        <v>61223.24</v>
      </c>
      <c r="I5" s="65">
        <f>'[1]Data Sheet'!I58</f>
        <v>67912.460000000006</v>
      </c>
      <c r="J5" s="65">
        <f>'[1]Data Sheet'!J58</f>
        <v>73258.53</v>
      </c>
      <c r="K5" s="65">
        <f>'[1]Data Sheet'!K58</f>
        <v>68778.64</v>
      </c>
    </row>
    <row r="6" spans="1:11" x14ac:dyDescent="0.25">
      <c r="A6" s="47" t="s">
        <v>124</v>
      </c>
      <c r="B6" s="65">
        <f>'[1]Data Sheet'!B59</f>
        <v>83.78</v>
      </c>
      <c r="C6" s="65">
        <f>'[1]Data Sheet'!C59</f>
        <v>45.72</v>
      </c>
      <c r="D6" s="65">
        <f>'[1]Data Sheet'!D59</f>
        <v>35.92</v>
      </c>
      <c r="E6" s="65">
        <f>'[1]Data Sheet'!E59</f>
        <v>13.44</v>
      </c>
      <c r="F6" s="65">
        <f>'[1]Data Sheet'!F59</f>
        <v>277.45</v>
      </c>
      <c r="G6" s="65">
        <f>'[1]Data Sheet'!G59</f>
        <v>270.83</v>
      </c>
      <c r="H6" s="65">
        <f>'[1]Data Sheet'!H59</f>
        <v>249.44</v>
      </c>
      <c r="I6" s="65">
        <f>'[1]Data Sheet'!I59</f>
        <v>306.04000000000002</v>
      </c>
      <c r="J6" s="65">
        <f>'[1]Data Sheet'!J59</f>
        <v>303.43</v>
      </c>
      <c r="K6" s="65">
        <f>'[1]Data Sheet'!K59</f>
        <v>284.54000000000002</v>
      </c>
    </row>
    <row r="7" spans="1:11" x14ac:dyDescent="0.25">
      <c r="A7" s="47" t="s">
        <v>125</v>
      </c>
      <c r="B7" s="65">
        <f>'[1]Data Sheet'!B60</f>
        <v>8888.0400000000009</v>
      </c>
      <c r="C7" s="65">
        <f>'[1]Data Sheet'!C60</f>
        <v>9439.67</v>
      </c>
      <c r="D7" s="65">
        <f>'[1]Data Sheet'!D60</f>
        <v>11694.85</v>
      </c>
      <c r="E7" s="65">
        <f>'[1]Data Sheet'!E60</f>
        <v>12584.73</v>
      </c>
      <c r="F7" s="65">
        <f>'[1]Data Sheet'!F60</f>
        <v>11760.04</v>
      </c>
      <c r="G7" s="65">
        <f>'[1]Data Sheet'!G60</f>
        <v>13142.59</v>
      </c>
      <c r="H7" s="65">
        <f>'[1]Data Sheet'!H60</f>
        <v>14491.01</v>
      </c>
      <c r="I7" s="65">
        <f>'[1]Data Sheet'!I60</f>
        <v>16369.66</v>
      </c>
      <c r="J7" s="65">
        <f>'[1]Data Sheet'!J60</f>
        <v>16943.54</v>
      </c>
      <c r="K7" s="65">
        <f>'[1]Data Sheet'!K60</f>
        <v>17688.11</v>
      </c>
    </row>
    <row r="8" spans="1:11" s="53" customFormat="1" x14ac:dyDescent="0.25">
      <c r="A8" s="53" t="s">
        <v>126</v>
      </c>
      <c r="B8" s="66">
        <f>'[1]Data Sheet'!B61</f>
        <v>51651.34</v>
      </c>
      <c r="C8" s="66">
        <f>'[1]Data Sheet'!C61</f>
        <v>55898.32</v>
      </c>
      <c r="D8" s="66">
        <f>'[1]Data Sheet'!D61</f>
        <v>64240.88</v>
      </c>
      <c r="E8" s="66">
        <f>'[1]Data Sheet'!E61</f>
        <v>71739.039999999994</v>
      </c>
      <c r="F8" s="66">
        <f>'[1]Data Sheet'!F61</f>
        <v>77310.75</v>
      </c>
      <c r="G8" s="66">
        <f>'[1]Data Sheet'!G61</f>
        <v>73760.759999999995</v>
      </c>
      <c r="H8" s="66">
        <f>'[1]Data Sheet'!H61</f>
        <v>77196.02</v>
      </c>
      <c r="I8" s="66">
        <f>'[1]Data Sheet'!I61</f>
        <v>85830.96</v>
      </c>
      <c r="J8" s="66">
        <f>'[1]Data Sheet'!J61</f>
        <v>91753.97</v>
      </c>
      <c r="K8" s="66">
        <f>'[1]Data Sheet'!K61</f>
        <v>88002.7</v>
      </c>
    </row>
    <row r="9" spans="1:11" s="53" customFormat="1" x14ac:dyDescent="0.25">
      <c r="B9" s="66"/>
      <c r="C9" s="66"/>
      <c r="D9" s="66"/>
      <c r="E9" s="66"/>
      <c r="F9" s="66"/>
      <c r="G9" s="66"/>
      <c r="H9" s="66"/>
      <c r="I9" s="66"/>
      <c r="J9" s="66"/>
      <c r="K9" s="66"/>
    </row>
    <row r="10" spans="1:11" x14ac:dyDescent="0.25">
      <c r="A10" s="47" t="s">
        <v>127</v>
      </c>
      <c r="B10" s="65">
        <f>'[1]Data Sheet'!B62</f>
        <v>15106.63</v>
      </c>
      <c r="C10" s="65">
        <f>'[1]Data Sheet'!C62</f>
        <v>15893.48</v>
      </c>
      <c r="D10" s="65">
        <f>'[1]Data Sheet'!D62</f>
        <v>16523.96</v>
      </c>
      <c r="E10" s="65">
        <f>'[1]Data Sheet'!E62</f>
        <v>19374.189999999999</v>
      </c>
      <c r="F10" s="65">
        <f>'[1]Data Sheet'!F62</f>
        <v>21713.34</v>
      </c>
      <c r="G10" s="65">
        <f>'[1]Data Sheet'!G62</f>
        <v>23298.48</v>
      </c>
      <c r="H10" s="65">
        <f>'[1]Data Sheet'!H62</f>
        <v>24231.59</v>
      </c>
      <c r="I10" s="65">
        <f>'[1]Data Sheet'!I62</f>
        <v>25851.27</v>
      </c>
      <c r="J10" s="65">
        <f>'[1]Data Sheet'!J62</f>
        <v>27820.22</v>
      </c>
      <c r="K10" s="65">
        <f>'[1]Data Sheet'!K62</f>
        <v>21954.85</v>
      </c>
    </row>
    <row r="11" spans="1:11" x14ac:dyDescent="0.25">
      <c r="A11" s="47" t="s">
        <v>128</v>
      </c>
      <c r="B11" s="65">
        <f>'[1]Data Sheet'!B63</f>
        <v>2559.7199999999998</v>
      </c>
      <c r="C11" s="65">
        <f>'[1]Data Sheet'!C63</f>
        <v>3729.89</v>
      </c>
      <c r="D11" s="65">
        <f>'[1]Data Sheet'!D63</f>
        <v>5508.33</v>
      </c>
      <c r="E11" s="65">
        <f>'[1]Data Sheet'!E63</f>
        <v>4136.42</v>
      </c>
      <c r="F11" s="65">
        <f>'[1]Data Sheet'!F63</f>
        <v>3256.46</v>
      </c>
      <c r="G11" s="65">
        <f>'[1]Data Sheet'!G63</f>
        <v>4011.29</v>
      </c>
      <c r="H11" s="65">
        <f>'[1]Data Sheet'!H63</f>
        <v>3225.54</v>
      </c>
      <c r="I11" s="65">
        <f>'[1]Data Sheet'!I63</f>
        <v>3003.3</v>
      </c>
      <c r="J11" s="65">
        <f>'[1]Data Sheet'!J63</f>
        <v>2860.78</v>
      </c>
      <c r="K11" s="65">
        <f>'[1]Data Sheet'!K63</f>
        <v>1090.9100000000001</v>
      </c>
    </row>
    <row r="12" spans="1:11" x14ac:dyDescent="0.25">
      <c r="A12" s="47" t="s">
        <v>129</v>
      </c>
      <c r="B12" s="65">
        <f>'[1]Data Sheet'!B64</f>
        <v>11747.59</v>
      </c>
      <c r="C12" s="65">
        <f>'[1]Data Sheet'!C64</f>
        <v>17581.38</v>
      </c>
      <c r="D12" s="65">
        <f>'[1]Data Sheet'!D64</f>
        <v>22052.86</v>
      </c>
      <c r="E12" s="65">
        <f>'[1]Data Sheet'!E64</f>
        <v>25043.49</v>
      </c>
      <c r="F12" s="65">
        <f>'[1]Data Sheet'!F64</f>
        <v>28663.35</v>
      </c>
      <c r="G12" s="65">
        <f>'[1]Data Sheet'!G64</f>
        <v>24870.87</v>
      </c>
      <c r="H12" s="65">
        <f>'[1]Data Sheet'!H64</f>
        <v>24841.01</v>
      </c>
      <c r="I12" s="65">
        <f>'[1]Data Sheet'!I64</f>
        <v>29415.02</v>
      </c>
      <c r="J12" s="65">
        <f>'[1]Data Sheet'!J64</f>
        <v>31114.02</v>
      </c>
      <c r="K12" s="65">
        <f>'[1]Data Sheet'!K64</f>
        <v>34719.82</v>
      </c>
    </row>
    <row r="13" spans="1:11" x14ac:dyDescent="0.25">
      <c r="A13" s="47" t="s">
        <v>130</v>
      </c>
      <c r="B13" s="65">
        <f>'[1]Data Sheet'!B65</f>
        <v>22237.4</v>
      </c>
      <c r="C13" s="65">
        <f>'[1]Data Sheet'!C65</f>
        <v>18693.57</v>
      </c>
      <c r="D13" s="65">
        <f>'[1]Data Sheet'!D65</f>
        <v>20155.73</v>
      </c>
      <c r="E13" s="65">
        <f>'[1]Data Sheet'!E65</f>
        <v>23184.94</v>
      </c>
      <c r="F13" s="65">
        <f>'[1]Data Sheet'!F65</f>
        <v>23677.599999999999</v>
      </c>
      <c r="G13" s="65">
        <f>'[1]Data Sheet'!G65</f>
        <v>21580.12</v>
      </c>
      <c r="H13" s="65">
        <f>'[1]Data Sheet'!H65</f>
        <v>24897.88</v>
      </c>
      <c r="I13" s="65">
        <f>'[1]Data Sheet'!I65</f>
        <v>27561.37</v>
      </c>
      <c r="J13" s="65">
        <f>'[1]Data Sheet'!J65</f>
        <v>29958.95</v>
      </c>
      <c r="K13" s="65">
        <f>'[1]Data Sheet'!K65</f>
        <v>30237.119999999999</v>
      </c>
    </row>
    <row r="14" spans="1:11" s="53" customFormat="1" x14ac:dyDescent="0.25">
      <c r="A14" s="53" t="s">
        <v>126</v>
      </c>
      <c r="B14" s="65">
        <f>'[1]Data Sheet'!B66</f>
        <v>51651.34</v>
      </c>
      <c r="C14" s="65">
        <f>'[1]Data Sheet'!C66</f>
        <v>55898.32</v>
      </c>
      <c r="D14" s="65">
        <f>'[1]Data Sheet'!D66</f>
        <v>64240.88</v>
      </c>
      <c r="E14" s="65">
        <f>'[1]Data Sheet'!E66</f>
        <v>71739.039999999994</v>
      </c>
      <c r="F14" s="65">
        <f>'[1]Data Sheet'!F66</f>
        <v>77310.75</v>
      </c>
      <c r="G14" s="65">
        <f>'[1]Data Sheet'!G66</f>
        <v>73760.759999999995</v>
      </c>
      <c r="H14" s="65">
        <f>'[1]Data Sheet'!H66</f>
        <v>77196.02</v>
      </c>
      <c r="I14" s="65">
        <f>'[1]Data Sheet'!I66</f>
        <v>85830.96</v>
      </c>
      <c r="J14" s="65">
        <f>'[1]Data Sheet'!J66</f>
        <v>91753.97</v>
      </c>
      <c r="K14" s="65">
        <f>'[1]Data Sheet'!K66</f>
        <v>88002.7</v>
      </c>
    </row>
    <row r="15" spans="1:11" x14ac:dyDescent="0.25">
      <c r="B15" s="46"/>
      <c r="C15" s="46"/>
      <c r="D15" s="46"/>
      <c r="E15" s="46"/>
      <c r="F15" s="46"/>
      <c r="G15" s="46"/>
      <c r="H15" s="46"/>
      <c r="I15" s="46"/>
      <c r="J15" s="46"/>
      <c r="K15" s="46"/>
    </row>
    <row r="16" spans="1:11" x14ac:dyDescent="0.25">
      <c r="A16" s="47" t="s">
        <v>176</v>
      </c>
      <c r="B16" s="46">
        <f>B13-B7</f>
        <v>13349.36</v>
      </c>
      <c r="C16" s="46">
        <f t="shared" ref="C16:K16" si="0">C13-C7</f>
        <v>9253.9</v>
      </c>
      <c r="D16" s="46">
        <f t="shared" si="0"/>
        <v>8460.8799999999992</v>
      </c>
      <c r="E16" s="46">
        <f t="shared" si="0"/>
        <v>10600.21</v>
      </c>
      <c r="F16" s="46">
        <f t="shared" si="0"/>
        <v>11917.559999999998</v>
      </c>
      <c r="G16" s="46">
        <f t="shared" si="0"/>
        <v>8437.5299999999988</v>
      </c>
      <c r="H16" s="46">
        <f t="shared" si="0"/>
        <v>10406.870000000001</v>
      </c>
      <c r="I16" s="46">
        <f t="shared" si="0"/>
        <v>11191.71</v>
      </c>
      <c r="J16" s="46">
        <f t="shared" si="0"/>
        <v>13015.41</v>
      </c>
      <c r="K16" s="46">
        <f t="shared" si="0"/>
        <v>12549.009999999998</v>
      </c>
    </row>
    <row r="17" spans="1:11" x14ac:dyDescent="0.25">
      <c r="A17" s="47" t="s">
        <v>177</v>
      </c>
      <c r="B17" s="46">
        <f>'[1]Data Sheet'!B67</f>
        <v>1917.18</v>
      </c>
      <c r="C17" s="46">
        <f>'[1]Data Sheet'!C67</f>
        <v>2474.29</v>
      </c>
      <c r="D17" s="46">
        <f>'[1]Data Sheet'!D67</f>
        <v>2682.29</v>
      </c>
      <c r="E17" s="46">
        <f>'[1]Data Sheet'!E67</f>
        <v>4035.28</v>
      </c>
      <c r="F17" s="46">
        <f>'[1]Data Sheet'!F67</f>
        <v>2562.48</v>
      </c>
      <c r="G17" s="46">
        <f>'[1]Data Sheet'!G67</f>
        <v>2501.6999999999998</v>
      </c>
      <c r="H17" s="46">
        <f>'[1]Data Sheet'!H67</f>
        <v>2461.9</v>
      </c>
      <c r="I17" s="46">
        <f>'[1]Data Sheet'!I67</f>
        <v>2956.17</v>
      </c>
      <c r="J17" s="46">
        <f>'[1]Data Sheet'!J67</f>
        <v>4025.82</v>
      </c>
      <c r="K17" s="46">
        <f>'[1]Data Sheet'!K67</f>
        <v>4719.67</v>
      </c>
    </row>
    <row r="18" spans="1:11" x14ac:dyDescent="0.25">
      <c r="A18" s="47" t="s">
        <v>33</v>
      </c>
      <c r="B18" s="46">
        <f>'[1]Data Sheet'!B68</f>
        <v>9062.1</v>
      </c>
      <c r="C18" s="46">
        <f>'[1]Data Sheet'!C68</f>
        <v>8116.1</v>
      </c>
      <c r="D18" s="46">
        <f>'[1]Data Sheet'!D68</f>
        <v>7495.09</v>
      </c>
      <c r="E18" s="46">
        <f>'[1]Data Sheet'!E68</f>
        <v>7859.56</v>
      </c>
      <c r="F18" s="46">
        <f>'[1]Data Sheet'!F68</f>
        <v>8879.33</v>
      </c>
      <c r="G18" s="46">
        <f>'[1]Data Sheet'!G68</f>
        <v>10397.16</v>
      </c>
      <c r="H18" s="46">
        <f>'[1]Data Sheet'!H68</f>
        <v>10864.15</v>
      </c>
      <c r="I18" s="46">
        <f>'[1]Data Sheet'!I68</f>
        <v>11771.16</v>
      </c>
      <c r="J18" s="46">
        <f>'[1]Data Sheet'!J68</f>
        <v>14152.88</v>
      </c>
      <c r="K18" s="46">
        <f>'[1]Data Sheet'!K68</f>
        <v>15637.56</v>
      </c>
    </row>
    <row r="20" spans="1:11" x14ac:dyDescent="0.25">
      <c r="A20" s="47" t="s">
        <v>178</v>
      </c>
      <c r="B20" s="46">
        <f>IF('[1]Profit &amp; Loss'!B4&gt;0,'Balance Sheet'!B17/('[1]Profit &amp; Loss'!B4/365),0)</f>
        <v>17.854891674597688</v>
      </c>
      <c r="C20" s="46">
        <f>IF('[1]Profit &amp; Loss'!C4&gt;0,'Balance Sheet'!C17/('[1]Profit &amp; Loss'!C4/365),0)</f>
        <v>21.116823249375695</v>
      </c>
      <c r="D20" s="46">
        <f>IF('[1]Profit &amp; Loss'!D4&gt;0,'Balance Sheet'!D17/('[1]Profit &amp; Loss'!D4/365),0)</f>
        <v>22.533020368275956</v>
      </c>
      <c r="E20" s="46">
        <f>IF('[1]Profit &amp; Loss'!E4&gt;0,'Balance Sheet'!E17/('[1]Profit &amp; Loss'!E4/365),0)</f>
        <v>30.469383474163411</v>
      </c>
      <c r="F20" s="46">
        <f>IF('[1]Profit &amp; Loss'!F4&gt;0,'Balance Sheet'!F17/('[1]Profit &amp; Loss'!F4/365),0)</f>
        <v>18.938018980434403</v>
      </c>
      <c r="G20" s="46">
        <f>IF('[1]Profit &amp; Loss'!G4&gt;0,'Balance Sheet'!G17/('[1]Profit &amp; Loss'!G4/365),0)</f>
        <v>18.537713584442557</v>
      </c>
      <c r="H20" s="46">
        <f>IF('[1]Profit &amp; Loss'!H4&gt;0,'Balance Sheet'!H17/('[1]Profit &amp; Loss'!H4/365),0)</f>
        <v>14.817385044061677</v>
      </c>
      <c r="I20" s="46">
        <f>IF('[1]Profit &amp; Loss'!I4&gt;0,'Balance Sheet'!I17/('[1]Profit &amp; Loss'!I4/365),0)</f>
        <v>15.214563002342249</v>
      </c>
      <c r="J20" s="46">
        <f>IF('[1]Profit &amp; Loss'!J4&gt;0,'Balance Sheet'!J17/('[1]Profit &amp; Loss'!J4/365),0)</f>
        <v>21.630830799179297</v>
      </c>
      <c r="K20" s="46">
        <f>IF('[1]Profit &amp; Loss'!K4&gt;0,'Balance Sheet'!K17/('[1]Profit &amp; Loss'!K4/365),0)</f>
        <v>22.870461532906003</v>
      </c>
    </row>
    <row r="21" spans="1:11" x14ac:dyDescent="0.25">
      <c r="A21" s="47" t="s">
        <v>179</v>
      </c>
      <c r="B21" s="46">
        <f>IF('Balance Sheet'!B18&gt;0,'[1]Profit &amp; Loss'!B4/'Balance Sheet'!B18,0)</f>
        <v>4.3248364065724276</v>
      </c>
      <c r="C21" s="46">
        <f>IF('Balance Sheet'!C18&gt;0,'[1]Profit &amp; Loss'!C4/'Balance Sheet'!C18,0)</f>
        <v>5.2694767191138601</v>
      </c>
      <c r="D21" s="46">
        <f>IF('Balance Sheet'!D18&gt;0,'[1]Profit &amp; Loss'!D4/'Balance Sheet'!D18,0)</f>
        <v>5.7969870942176813</v>
      </c>
      <c r="E21" s="46">
        <f>IF('Balance Sheet'!E18&gt;0,'[1]Profit &amp; Loss'!E4/'Balance Sheet'!E18,0)</f>
        <v>6.1504180895622653</v>
      </c>
      <c r="F21" s="46">
        <f>IF('Balance Sheet'!F18&gt;0,'[1]Profit &amp; Loss'!F4/'Balance Sheet'!F18,0)</f>
        <v>5.5620975906965953</v>
      </c>
      <c r="G21" s="46">
        <f>IF('Balance Sheet'!G18&gt;0,'[1]Profit &amp; Loss'!G4/'Balance Sheet'!G18,0)</f>
        <v>4.7375869949101483</v>
      </c>
      <c r="H21" s="46">
        <f>IF('Balance Sheet'!H18&gt;0,'[1]Profit &amp; Loss'!H4/'Balance Sheet'!H18,0)</f>
        <v>5.5820786715941884</v>
      </c>
      <c r="I21" s="46">
        <f>IF('Balance Sheet'!I18&gt;0,'[1]Profit &amp; Loss'!I4/'Balance Sheet'!I18,0)</f>
        <v>6.0248123379514</v>
      </c>
      <c r="J21" s="46">
        <f>IF('Balance Sheet'!J18&gt;0,'[1]Profit &amp; Loss'!J4/'Balance Sheet'!J18,0)</f>
        <v>4.7998668822176125</v>
      </c>
      <c r="K21" s="46">
        <f>IF('Balance Sheet'!K18&gt;0,'[1]Profit &amp; Loss'!K4/'Balance Sheet'!K18,0)</f>
        <v>4.8168218059594974</v>
      </c>
    </row>
    <row r="23" spans="1:11" s="53" customFormat="1" x14ac:dyDescent="0.25">
      <c r="A23" s="53" t="s">
        <v>180</v>
      </c>
      <c r="B23" s="67">
        <f>IF(SUM('Balance Sheet'!B4:B5)&gt;0,'[1]Profit &amp; Loss'!B12/SUM('Balance Sheet'!B4:B5),"")</f>
        <v>0.21894458981731754</v>
      </c>
      <c r="C23" s="67">
        <f>IF(SUM('Balance Sheet'!C4:C5)&gt;0,'[1]Profit &amp; Loss'!C12/SUM('Balance Sheet'!C4:C5),"")</f>
        <v>0.2216933944915781</v>
      </c>
      <c r="D23" s="67">
        <f>IF(SUM('Balance Sheet'!D4:D5)&gt;0,'[1]Profit &amp; Loss'!D12/SUM('Balance Sheet'!D4:D5),"")</f>
        <v>0.21464818870118538</v>
      </c>
      <c r="E23" s="67">
        <f>IF(SUM('Balance Sheet'!E4:E5)&gt;0,'[1]Profit &amp; Loss'!E12/SUM('Balance Sheet'!E4:E5),"")</f>
        <v>0.21292094620860327</v>
      </c>
      <c r="F23" s="67">
        <f>IF(SUM('Balance Sheet'!F4:F5)&gt;0,'[1]Profit &amp; Loss'!F12/SUM('Balance Sheet'!F4:F5),"")</f>
        <v>0.23449464604648212</v>
      </c>
      <c r="G23" s="67">
        <f>IF(SUM('Balance Sheet'!G4:G5)&gt;0,'[1]Profit &amp; Loss'!G12/SUM('Balance Sheet'!G4:G5),"")</f>
        <v>0.21809063995198466</v>
      </c>
      <c r="H23" s="67">
        <f>IF(SUM('Balance Sheet'!H4:H5)&gt;0,'[1]Profit &amp; Loss'!H12/SUM('Balance Sheet'!H4:H5),"")</f>
        <v>0.24405605456807136</v>
      </c>
      <c r="I23" s="67">
        <f>IF(SUM('Balance Sheet'!I4:I5)&gt;0,'[1]Profit &amp; Loss'!I12/SUM('Balance Sheet'!I4:I5),"")</f>
        <v>0.2775155497933201</v>
      </c>
      <c r="J23" s="67">
        <f>IF(SUM('Balance Sheet'!J4:J5)&gt;0,'[1]Profit &amp; Loss'!J12/SUM('Balance Sheet'!J4:J5),"")</f>
        <v>0.27458869636409999</v>
      </c>
      <c r="K23" s="67">
        <f>IF(SUM('Balance Sheet'!K4:K5)&gt;0,'[1]Profit &amp; Loss'!K12/SUM('Balance Sheet'!K4:K5),"")</f>
        <v>0.49616743098141436</v>
      </c>
    </row>
    <row r="24" spans="1:11" s="53" customFormat="1" x14ac:dyDescent="0.25">
      <c r="A24" s="53" t="s">
        <v>181</v>
      </c>
      <c r="B24" s="67"/>
      <c r="C24" s="67">
        <f>IF((B4+B5+B6+C4+C5+C6)&gt;0,('[1]Profit &amp; Loss'!C10+'[1]Profit &amp; Loss'!C9)*2/(B4+B5+B6+C4+C5+C6),"")</f>
        <v>0.36034518411668875</v>
      </c>
      <c r="D24" s="67">
        <f>IF((C4+C5+C6+D4+D5+D6)&gt;0,('[1]Profit &amp; Loss'!D10+'[1]Profit &amp; Loss'!D9)*2/(C4+C5+C6+D4+D5+D6),"")</f>
        <v>0.35400589143866729</v>
      </c>
      <c r="E24" s="67">
        <f>IF((D4+D5+D6+E4+E5+E6)&gt;0,('[1]Profit &amp; Loss'!E10+'[1]Profit &amp; Loss'!E9)*2/(D4+D5+D6+E4+E5+E6),"")</f>
        <v>0.34415687544012852</v>
      </c>
      <c r="F24" s="67">
        <f>IF((E4+E5+E6+F4+F5+F6)&gt;0,('[1]Profit &amp; Loss'!F10+'[1]Profit &amp; Loss'!F9)*2/(E4+E5+E6+F4+F5+F6),"")</f>
        <v>0.32261652337652486</v>
      </c>
      <c r="G24" s="67">
        <f>IF((F4+F5+F6+G4+G5+G6)&gt;0,('[1]Profit &amp; Loss'!G10+'[1]Profit &amp; Loss'!G9)*2/(F4+F5+F6+G4+G5+G6),"")</f>
        <v>0.28527066262298589</v>
      </c>
      <c r="H24" s="67">
        <f>IF((G4+G5+G6+H4+H5+H6)&gt;0,('[1]Profit &amp; Loss'!H10+'[1]Profit &amp; Loss'!H9)*2/(G4+G5+G6+H4+H5+H6),"")</f>
        <v>0.33733252742915004</v>
      </c>
      <c r="I24" s="67">
        <f>IF((H4+H5+H6+I4+I5+I6)&gt;0,('[1]Profit &amp; Loss'!I10+'[1]Profit &amp; Loss'!I9)*2/(H4+H5+H6+I4+I5+I6),"")</f>
        <v>0.39333609298769096</v>
      </c>
      <c r="J24" s="67">
        <f>IF((I4+I5+I6+J4+J5+J6)&gt;0,('[1]Profit &amp; Loss'!J10+'[1]Profit &amp; Loss'!J9)*2/(I4+I5+I6+J4+J5+J6),"")</f>
        <v>0.3742927321936183</v>
      </c>
      <c r="K24" s="67">
        <f>IF((J4+J5+J6+K4+K5+K6)&gt;0,('[1]Profit &amp; Loss'!K10+'[1]Profit &amp; Loss'!K9)*2/(J4+J5+J6+K4+K5+K6),"")</f>
        <v>0.57864605289976878</v>
      </c>
    </row>
  </sheetData>
  <hyperlinks>
    <hyperlink ref="J1" r:id="rId1" xr:uid="{00000000-0004-0000-0B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82"/>
  <sheetViews>
    <sheetView showGridLines="0" workbookViewId="0">
      <pane xSplit="1" ySplit="5" topLeftCell="B28" activePane="bottomRight" state="frozen"/>
      <selection pane="topRight" activeCell="B1" sqref="B1"/>
      <selection pane="bottomLeft" activeCell="A4" sqref="A4"/>
      <selection pane="bottomRight" activeCell="O46" sqref="O46"/>
    </sheetView>
  </sheetViews>
  <sheetFormatPr defaultRowHeight="15" x14ac:dyDescent="0.25"/>
  <cols>
    <col min="1" max="1" width="1.85546875" customWidth="1"/>
    <col min="2" max="2" width="28.42578125" bestFit="1" customWidth="1"/>
    <col min="3" max="13" width="13.140625" customWidth="1"/>
  </cols>
  <sheetData>
    <row r="1" spans="1:13" ht="9.75" customHeight="1" x14ac:dyDescent="0.25"/>
    <row r="2" spans="1:13" ht="18.75" x14ac:dyDescent="0.3">
      <c r="B2" s="116" t="s">
        <v>273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x14ac:dyDescent="0.25">
      <c r="B3" s="117" t="str">
        <f>'[2]Data Sheet'!B1</f>
        <v>ITC LTD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ht="4.5" customHeight="1" x14ac:dyDescent="0.25"/>
    <row r="5" spans="1:13" x14ac:dyDescent="0.25">
      <c r="B5" s="29" t="s">
        <v>274</v>
      </c>
      <c r="C5" s="118">
        <f>'[2]Data Sheet'!B16</f>
        <v>42460</v>
      </c>
      <c r="D5" s="118">
        <f>'[2]Data Sheet'!C16</f>
        <v>42825</v>
      </c>
      <c r="E5" s="118">
        <f>'[2]Data Sheet'!D16</f>
        <v>43190</v>
      </c>
      <c r="F5" s="118">
        <f>'[2]Data Sheet'!E16</f>
        <v>43555</v>
      </c>
      <c r="G5" s="118">
        <f>'[2]Data Sheet'!F16</f>
        <v>43921</v>
      </c>
      <c r="H5" s="118">
        <f>'[2]Data Sheet'!G16</f>
        <v>44286</v>
      </c>
      <c r="I5" s="118">
        <f>'[2]Data Sheet'!H16</f>
        <v>44651</v>
      </c>
      <c r="J5" s="118">
        <f>'[2]Data Sheet'!I16</f>
        <v>45016</v>
      </c>
      <c r="K5" s="118">
        <f>'[2]Data Sheet'!J16</f>
        <v>45382</v>
      </c>
      <c r="L5" s="118">
        <f>'[2]Data Sheet'!K16</f>
        <v>45747</v>
      </c>
      <c r="M5" s="118" t="s">
        <v>275</v>
      </c>
    </row>
    <row r="6" spans="1:13" ht="4.5" customHeight="1" x14ac:dyDescent="0.25"/>
    <row r="7" spans="1:13" x14ac:dyDescent="0.25">
      <c r="A7" t="s">
        <v>73</v>
      </c>
      <c r="B7" s="119" t="s">
        <v>17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</row>
    <row r="8" spans="1:13" x14ac:dyDescent="0.25">
      <c r="B8" t="s">
        <v>105</v>
      </c>
      <c r="C8" s="120">
        <f>IFERROR('[2]Data Sheet'!B17,0)</f>
        <v>39192.1</v>
      </c>
      <c r="D8" s="120">
        <f>IFERROR('[2]Data Sheet'!C17,0)</f>
        <v>42767.6</v>
      </c>
      <c r="E8" s="120">
        <f>IFERROR('[2]Data Sheet'!D17,0)</f>
        <v>43448.94</v>
      </c>
      <c r="F8" s="120">
        <f>IFERROR('[2]Data Sheet'!E17,0)</f>
        <v>48339.58</v>
      </c>
      <c r="G8" s="120">
        <f>IFERROR('[2]Data Sheet'!F17,0)</f>
        <v>49387.7</v>
      </c>
      <c r="H8" s="120">
        <f>IFERROR('[2]Data Sheet'!G17,0)</f>
        <v>49257.45</v>
      </c>
      <c r="I8" s="120">
        <f>IFERROR('[2]Data Sheet'!H17,0)</f>
        <v>60644.54</v>
      </c>
      <c r="J8" s="120">
        <f>IFERROR('[2]Data Sheet'!I17,0)</f>
        <v>70919.03</v>
      </c>
      <c r="K8" s="120">
        <f>IFERROR('[2]Data Sheet'!J17,0)</f>
        <v>67931.94</v>
      </c>
      <c r="L8" s="120">
        <f>IFERROR('[2]Data Sheet'!K17,0)</f>
        <v>75323.34</v>
      </c>
      <c r="M8" s="120">
        <f>IFERROR(SUM('[2]Data Sheet'!H42:K42),0)</f>
        <v>79040.320000000007</v>
      </c>
    </row>
    <row r="9" spans="1:13" x14ac:dyDescent="0.25">
      <c r="B9" s="121" t="s">
        <v>165</v>
      </c>
      <c r="C9" s="122" t="s">
        <v>276</v>
      </c>
      <c r="D9" s="123">
        <f>D8/C8-1</f>
        <v>9.1230120355888067E-2</v>
      </c>
      <c r="E9" s="123">
        <f t="shared" ref="E9:M9" si="0">E8/D8-1</f>
        <v>1.5931218960147486E-2</v>
      </c>
      <c r="F9" s="123">
        <f t="shared" si="0"/>
        <v>0.11256062863673999</v>
      </c>
      <c r="G9" s="123">
        <f t="shared" si="0"/>
        <v>2.1682439110972673E-2</v>
      </c>
      <c r="H9" s="123">
        <f t="shared" si="0"/>
        <v>-2.6372963308678443E-3</v>
      </c>
      <c r="I9" s="123">
        <f t="shared" si="0"/>
        <v>0.23117497962237188</v>
      </c>
      <c r="J9" s="123">
        <f t="shared" si="0"/>
        <v>0.1694215175842706</v>
      </c>
      <c r="K9" s="123">
        <f t="shared" si="0"/>
        <v>-4.2119724423754779E-2</v>
      </c>
      <c r="L9" s="123">
        <f t="shared" si="0"/>
        <v>0.10880596078957838</v>
      </c>
      <c r="M9" s="123">
        <f t="shared" si="0"/>
        <v>4.9346988596097985E-2</v>
      </c>
    </row>
    <row r="11" spans="1:13" x14ac:dyDescent="0.25">
      <c r="B11" t="s">
        <v>186</v>
      </c>
      <c r="C11" s="120">
        <f>IFERROR(SUM('[2]Data Sheet'!B18,'[2]Data Sheet'!B20:B22)-1*'[2]Data Sheet'!B19,0)</f>
        <v>19162.939999999999</v>
      </c>
      <c r="D11" s="120">
        <f>IFERROR(SUM('[2]Data Sheet'!C18,'[2]Data Sheet'!C20:C22)-1*'[2]Data Sheet'!C19,0)</f>
        <v>21949.119999999999</v>
      </c>
      <c r="E11" s="120">
        <f>IFERROR(SUM('[2]Data Sheet'!D18,'[2]Data Sheet'!D20:D22)-1*'[2]Data Sheet'!D19,0)</f>
        <v>21967.5</v>
      </c>
      <c r="F11" s="120">
        <f>IFERROR(SUM('[2]Data Sheet'!E18,'[2]Data Sheet'!E20:E22)-1*'[2]Data Sheet'!E19,0)</f>
        <v>24215.95</v>
      </c>
      <c r="G11" s="120">
        <f>IFERROR(SUM('[2]Data Sheet'!F18,'[2]Data Sheet'!F20:F22)-1*'[2]Data Sheet'!F19,0)</f>
        <v>24330.399999999998</v>
      </c>
      <c r="H11" s="120">
        <f>IFERROR(SUM('[2]Data Sheet'!G18,'[2]Data Sheet'!G20:G22)-1*'[2]Data Sheet'!G19,0)</f>
        <v>26881.51</v>
      </c>
      <c r="I11" s="120">
        <f>IFERROR(SUM('[2]Data Sheet'!H18,'[2]Data Sheet'!H20:H22)-1*'[2]Data Sheet'!H19,0)</f>
        <v>34053.060000000005</v>
      </c>
      <c r="J11" s="120">
        <f>IFERROR(SUM('[2]Data Sheet'!I18,'[2]Data Sheet'!I20:I22)-1*'[2]Data Sheet'!I19,0)</f>
        <v>38302.130000000005</v>
      </c>
      <c r="K11" s="120">
        <f>IFERROR(SUM('[2]Data Sheet'!J18,'[2]Data Sheet'!J20:J22)-1*'[2]Data Sheet'!J19,0)</f>
        <v>35665.990000000005</v>
      </c>
      <c r="L11" s="120">
        <f>IFERROR(SUM('[2]Data Sheet'!K18,'[2]Data Sheet'!K20:K22)-1*'[2]Data Sheet'!K19,0)</f>
        <v>41469.21</v>
      </c>
      <c r="M11" s="120">
        <f>IFERROR(SUM('[2]Data Sheet'!H43:K43),0)</f>
        <v>52790.48</v>
      </c>
    </row>
    <row r="12" spans="1:13" x14ac:dyDescent="0.25">
      <c r="B12" s="121" t="s">
        <v>277</v>
      </c>
      <c r="C12" s="123">
        <f>C11/C8</f>
        <v>0.48894904840516329</v>
      </c>
      <c r="D12" s="123">
        <f t="shared" ref="D12:M12" si="1">D11/D8</f>
        <v>0.51321841768067411</v>
      </c>
      <c r="E12" s="123">
        <f t="shared" si="1"/>
        <v>0.50559346211898382</v>
      </c>
      <c r="F12" s="123">
        <f t="shared" si="1"/>
        <v>0.50095491106873502</v>
      </c>
      <c r="G12" s="123">
        <f t="shared" si="1"/>
        <v>0.49264088021916386</v>
      </c>
      <c r="H12" s="123">
        <f t="shared" si="1"/>
        <v>0.54573490913557243</v>
      </c>
      <c r="I12" s="123">
        <f t="shared" si="1"/>
        <v>0.56151897598695621</v>
      </c>
      <c r="J12" s="123">
        <f t="shared" si="1"/>
        <v>0.54008254202010386</v>
      </c>
      <c r="K12" s="123">
        <f t="shared" si="1"/>
        <v>0.52502534154037117</v>
      </c>
      <c r="L12" s="123">
        <f t="shared" si="1"/>
        <v>0.55054927197864567</v>
      </c>
      <c r="M12" s="123">
        <f t="shared" si="1"/>
        <v>0.66789304496742929</v>
      </c>
    </row>
    <row r="14" spans="1:13" x14ac:dyDescent="0.25">
      <c r="B14" s="124" t="s">
        <v>20</v>
      </c>
      <c r="C14" s="125">
        <f>C8-C11</f>
        <v>20029.16</v>
      </c>
      <c r="D14" s="125">
        <f t="shared" ref="D14:M14" si="2">D8-D11</f>
        <v>20818.48</v>
      </c>
      <c r="E14" s="125">
        <f t="shared" si="2"/>
        <v>21481.440000000002</v>
      </c>
      <c r="F14" s="125">
        <f t="shared" si="2"/>
        <v>24123.63</v>
      </c>
      <c r="G14" s="125">
        <f t="shared" si="2"/>
        <v>25057.3</v>
      </c>
      <c r="H14" s="125">
        <f t="shared" si="2"/>
        <v>22375.94</v>
      </c>
      <c r="I14" s="125">
        <f t="shared" si="2"/>
        <v>26591.479999999996</v>
      </c>
      <c r="J14" s="125">
        <f t="shared" si="2"/>
        <v>32616.899999999994</v>
      </c>
      <c r="K14" s="125">
        <f t="shared" si="2"/>
        <v>32265.949999999997</v>
      </c>
      <c r="L14" s="125">
        <f t="shared" si="2"/>
        <v>33854.129999999997</v>
      </c>
      <c r="M14" s="125">
        <f t="shared" si="2"/>
        <v>26249.840000000004</v>
      </c>
    </row>
    <row r="15" spans="1:13" x14ac:dyDescent="0.25">
      <c r="B15" s="121" t="s">
        <v>278</v>
      </c>
      <c r="C15" s="123">
        <f>C14/C8</f>
        <v>0.51105095159483671</v>
      </c>
      <c r="D15" s="123">
        <f t="shared" ref="D15:M15" si="3">D14/D8</f>
        <v>0.48678158231932583</v>
      </c>
      <c r="E15" s="123">
        <f t="shared" si="3"/>
        <v>0.49440653788101624</v>
      </c>
      <c r="F15" s="123">
        <f t="shared" si="3"/>
        <v>0.49904508893126504</v>
      </c>
      <c r="G15" s="123">
        <f t="shared" si="3"/>
        <v>0.50735911978083614</v>
      </c>
      <c r="H15" s="123">
        <f t="shared" si="3"/>
        <v>0.45426509086442762</v>
      </c>
      <c r="I15" s="123">
        <f t="shared" si="3"/>
        <v>0.43848102401304379</v>
      </c>
      <c r="J15" s="123">
        <f t="shared" si="3"/>
        <v>0.45991745797989614</v>
      </c>
      <c r="K15" s="123">
        <f t="shared" si="3"/>
        <v>0.47497465845962877</v>
      </c>
      <c r="L15" s="123">
        <f t="shared" si="3"/>
        <v>0.44945072802135433</v>
      </c>
      <c r="M15" s="123">
        <f t="shared" si="3"/>
        <v>0.33210695503257076</v>
      </c>
    </row>
    <row r="17" spans="2:13" x14ac:dyDescent="0.25">
      <c r="B17" t="s">
        <v>279</v>
      </c>
      <c r="C17" s="120">
        <f>IFERROR(SUM('[2]Data Sheet'!B23:B24),0)</f>
        <v>5497.67</v>
      </c>
      <c r="D17" s="120">
        <f>IFERROR(SUM('[2]Data Sheet'!C23:C24),0)</f>
        <v>5348.9699999999993</v>
      </c>
      <c r="E17" s="120">
        <f>IFERROR(SUM('[2]Data Sheet'!D23:D24),0)</f>
        <v>4960.8500000000004</v>
      </c>
      <c r="F17" s="120">
        <f>IFERROR(SUM('[2]Data Sheet'!E23:E24),0)</f>
        <v>5586.24</v>
      </c>
      <c r="G17" s="120">
        <f>IFERROR(SUM('[2]Data Sheet'!F23:F24),0)</f>
        <v>5713.76</v>
      </c>
      <c r="H17" s="120">
        <f>IFERROR(SUM('[2]Data Sheet'!G23:G24),0)</f>
        <v>5311.1600000000008</v>
      </c>
      <c r="I17" s="120">
        <f>IFERROR(SUM('[2]Data Sheet'!H23:H24),0)</f>
        <v>5968.33</v>
      </c>
      <c r="J17" s="120">
        <f>IFERROR(SUM('[2]Data Sheet'!I23:I24),0)</f>
        <v>6912.6399999999994</v>
      </c>
      <c r="K17" s="120">
        <f>IFERROR(SUM('[2]Data Sheet'!J23:J24),0)</f>
        <v>7078.42</v>
      </c>
      <c r="L17" s="120">
        <f>IFERROR(SUM('[2]Data Sheet'!K23:K24),0)</f>
        <v>8014.68</v>
      </c>
    </row>
    <row r="18" spans="2:13" x14ac:dyDescent="0.25">
      <c r="B18" s="121" t="s">
        <v>280</v>
      </c>
      <c r="C18" s="123">
        <f t="shared" ref="C18:M18" si="4">C17/C11</f>
        <v>0.2868907380600263</v>
      </c>
      <c r="D18" s="123">
        <f t="shared" si="4"/>
        <v>0.243698608418014</v>
      </c>
      <c r="E18" s="123">
        <f t="shared" si="4"/>
        <v>0.22582678957550928</v>
      </c>
      <c r="F18" s="123">
        <f t="shared" si="4"/>
        <v>0.23068432169706329</v>
      </c>
      <c r="G18" s="123">
        <f t="shared" si="4"/>
        <v>0.2348403643178904</v>
      </c>
      <c r="H18" s="123">
        <f t="shared" si="4"/>
        <v>0.19757669863039692</v>
      </c>
      <c r="I18" s="123">
        <f t="shared" si="4"/>
        <v>0.17526560021331414</v>
      </c>
      <c r="J18" s="123">
        <f t="shared" si="4"/>
        <v>0.18047664712119141</v>
      </c>
      <c r="K18" s="123">
        <f t="shared" si="4"/>
        <v>0.19846413908600319</v>
      </c>
      <c r="L18" s="123">
        <f t="shared" si="4"/>
        <v>0.19326821031796845</v>
      </c>
      <c r="M18" s="123">
        <f t="shared" si="4"/>
        <v>0</v>
      </c>
    </row>
    <row r="19" spans="2:13" x14ac:dyDescent="0.25">
      <c r="B19" s="121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</row>
    <row r="20" spans="2:13" x14ac:dyDescent="0.25">
      <c r="B20" t="s">
        <v>113</v>
      </c>
      <c r="C20" s="120">
        <f>IFERROR('[2]Data Sheet'!B25,0)</f>
        <v>1483.11</v>
      </c>
      <c r="D20" s="120">
        <f>IFERROR('[2]Data Sheet'!C25,0)</f>
        <v>1758.63</v>
      </c>
      <c r="E20" s="120">
        <f>IFERROR('[2]Data Sheet'!D25,0)</f>
        <v>2239.81</v>
      </c>
      <c r="F20" s="120">
        <f>IFERROR('[2]Data Sheet'!E25,0)</f>
        <v>2080.44</v>
      </c>
      <c r="G20" s="120">
        <f>IFERROR('[2]Data Sheet'!F25,0)</f>
        <v>2417.3200000000002</v>
      </c>
      <c r="H20" s="120">
        <f>IFERROR('[2]Data Sheet'!G25,0)</f>
        <v>2576.9499999999998</v>
      </c>
      <c r="I20" s="120">
        <f>IFERROR('[2]Data Sheet'!H25,0)</f>
        <v>1909.72</v>
      </c>
      <c r="J20" s="120">
        <f>IFERROR('[2]Data Sheet'!I25,0)</f>
        <v>2097.64</v>
      </c>
      <c r="K20" s="120">
        <f>IFERROR('[2]Data Sheet'!J25,0)</f>
        <v>3330.45</v>
      </c>
      <c r="L20" s="132">
        <f>'Data Sheet'!N27</f>
        <v>3454</v>
      </c>
      <c r="M20" s="120"/>
    </row>
    <row r="21" spans="2:13" x14ac:dyDescent="0.25">
      <c r="B21" s="121" t="s">
        <v>281</v>
      </c>
      <c r="C21" s="123">
        <f>C20/C8</f>
        <v>3.7842065110060448E-2</v>
      </c>
      <c r="D21" s="123">
        <f t="shared" ref="D21:M21" si="5">D20/D8</f>
        <v>4.1120614670919112E-2</v>
      </c>
      <c r="E21" s="123">
        <f t="shared" si="5"/>
        <v>5.1550394555080051E-2</v>
      </c>
      <c r="F21" s="123">
        <f t="shared" si="5"/>
        <v>4.3038023913323203E-2</v>
      </c>
      <c r="G21" s="123">
        <f t="shared" si="5"/>
        <v>4.8945790146129507E-2</v>
      </c>
      <c r="H21" s="123">
        <f t="shared" si="5"/>
        <v>5.2315944085615476E-2</v>
      </c>
      <c r="I21" s="123">
        <f t="shared" si="5"/>
        <v>3.1490386438746173E-2</v>
      </c>
      <c r="J21" s="123">
        <f t="shared" si="5"/>
        <v>2.957795672050224E-2</v>
      </c>
      <c r="K21" s="123">
        <f t="shared" si="5"/>
        <v>4.9026275416247496E-2</v>
      </c>
      <c r="L21" s="123">
        <f t="shared" si="5"/>
        <v>4.5855640496026862E-2</v>
      </c>
      <c r="M21" s="123">
        <f t="shared" si="5"/>
        <v>0</v>
      </c>
    </row>
    <row r="23" spans="2:13" x14ac:dyDescent="0.25">
      <c r="B23" s="124" t="s">
        <v>282</v>
      </c>
      <c r="C23" s="125">
        <f>C14-C17+C20</f>
        <v>16014.6</v>
      </c>
      <c r="D23" s="125">
        <f t="shared" ref="D23:M23" si="6">D14-D17+D20</f>
        <v>17228.14</v>
      </c>
      <c r="E23" s="125">
        <f t="shared" si="6"/>
        <v>18760.400000000005</v>
      </c>
      <c r="F23" s="125">
        <f t="shared" si="6"/>
        <v>20617.829999999998</v>
      </c>
      <c r="G23" s="125">
        <f t="shared" si="6"/>
        <v>21760.86</v>
      </c>
      <c r="H23" s="125">
        <f t="shared" si="6"/>
        <v>19641.73</v>
      </c>
      <c r="I23" s="125">
        <f t="shared" si="6"/>
        <v>22532.869999999995</v>
      </c>
      <c r="J23" s="125">
        <f t="shared" si="6"/>
        <v>27801.899999999994</v>
      </c>
      <c r="K23" s="125">
        <f t="shared" si="6"/>
        <v>28517.98</v>
      </c>
      <c r="L23" s="125">
        <f t="shared" si="6"/>
        <v>29293.449999999997</v>
      </c>
      <c r="M23" s="125">
        <f t="shared" si="6"/>
        <v>26249.840000000004</v>
      </c>
    </row>
    <row r="24" spans="2:13" x14ac:dyDescent="0.25">
      <c r="B24" s="121" t="s">
        <v>283</v>
      </c>
      <c r="C24" s="123">
        <f t="shared" ref="C24:M24" si="7">C23/C8</f>
        <v>0.40861806333419237</v>
      </c>
      <c r="D24" s="123">
        <f t="shared" si="7"/>
        <v>0.40283158278696957</v>
      </c>
      <c r="E24" s="123">
        <f t="shared" si="7"/>
        <v>0.43178038405539937</v>
      </c>
      <c r="F24" s="123">
        <f t="shared" si="7"/>
        <v>0.42652066898388435</v>
      </c>
      <c r="G24" s="123">
        <f t="shared" si="7"/>
        <v>0.44061294613841101</v>
      </c>
      <c r="H24" s="123">
        <f t="shared" si="7"/>
        <v>0.39875653327567712</v>
      </c>
      <c r="I24" s="123">
        <f t="shared" si="7"/>
        <v>0.37155645009427057</v>
      </c>
      <c r="J24" s="123">
        <f t="shared" si="7"/>
        <v>0.39202312834792008</v>
      </c>
      <c r="K24" s="123">
        <f t="shared" si="7"/>
        <v>0.41980223146873175</v>
      </c>
      <c r="L24" s="123">
        <f t="shared" si="7"/>
        <v>0.38890269603020788</v>
      </c>
      <c r="M24" s="123">
        <f t="shared" si="7"/>
        <v>0.33210695503257076</v>
      </c>
    </row>
    <row r="26" spans="2:13" x14ac:dyDescent="0.25">
      <c r="B26" t="s">
        <v>24</v>
      </c>
      <c r="C26" s="120">
        <f>IFERROR('[2]Data Sheet'!B27,0)</f>
        <v>78.13</v>
      </c>
      <c r="D26" s="120">
        <f>IFERROR('[2]Data Sheet'!C27,0)</f>
        <v>49.03</v>
      </c>
      <c r="E26" s="120">
        <f>IFERROR('[2]Data Sheet'!D27,0)</f>
        <v>115.01</v>
      </c>
      <c r="F26" s="120">
        <f>IFERROR('[2]Data Sheet'!E27,0)</f>
        <v>71.400000000000006</v>
      </c>
      <c r="G26" s="120">
        <f>IFERROR('[2]Data Sheet'!F27,0)</f>
        <v>81.38</v>
      </c>
      <c r="H26" s="120">
        <f>IFERROR('[2]Data Sheet'!G27,0)</f>
        <v>57.97</v>
      </c>
      <c r="I26" s="120">
        <f>IFERROR('[2]Data Sheet'!H27,0)</f>
        <v>59.99</v>
      </c>
      <c r="J26" s="120">
        <f>IFERROR('[2]Data Sheet'!I27,0)</f>
        <v>77.77</v>
      </c>
      <c r="K26" s="120">
        <f>IFERROR('[2]Data Sheet'!J27,0)</f>
        <v>39.11</v>
      </c>
      <c r="L26" s="120">
        <f>IFERROR('[2]Data Sheet'!K27,0)</f>
        <v>45.06</v>
      </c>
      <c r="M26" s="120">
        <f>IFERROR(SUM('[2]Data Sheet'!H46:K46),0)</f>
        <v>51.93</v>
      </c>
    </row>
    <row r="27" spans="2:13" x14ac:dyDescent="0.25">
      <c r="B27" s="121" t="s">
        <v>284</v>
      </c>
      <c r="C27" s="123">
        <f t="shared" ref="C27:M27" si="8">C26/C8</f>
        <v>1.9935139989946953E-3</v>
      </c>
      <c r="D27" s="123">
        <f t="shared" si="8"/>
        <v>1.146428604831695E-3</v>
      </c>
      <c r="E27" s="123">
        <f t="shared" si="8"/>
        <v>2.647015094039118E-3</v>
      </c>
      <c r="F27" s="123">
        <f t="shared" si="8"/>
        <v>1.4770504832685763E-3</v>
      </c>
      <c r="G27" s="123">
        <f t="shared" si="8"/>
        <v>1.647778697934911E-3</v>
      </c>
      <c r="H27" s="123">
        <f t="shared" si="8"/>
        <v>1.1768778123918311E-3</v>
      </c>
      <c r="I27" s="123">
        <f t="shared" si="8"/>
        <v>9.8920694262006107E-4</v>
      </c>
      <c r="J27" s="123">
        <f t="shared" si="8"/>
        <v>1.0966027031108574E-3</v>
      </c>
      <c r="K27" s="123">
        <f t="shared" si="8"/>
        <v>5.7572329010477244E-4</v>
      </c>
      <c r="L27" s="123">
        <f t="shared" si="8"/>
        <v>5.9822094984104534E-4</v>
      </c>
      <c r="M27" s="123">
        <f t="shared" si="8"/>
        <v>6.5700644936660167E-4</v>
      </c>
    </row>
    <row r="29" spans="2:13" x14ac:dyDescent="0.25">
      <c r="B29" t="s">
        <v>114</v>
      </c>
      <c r="C29" s="120">
        <f>IFERROR('[2]Data Sheet'!B26,0)</f>
        <v>1077.4000000000001</v>
      </c>
      <c r="D29" s="120">
        <f>IFERROR('[2]Data Sheet'!C26,0)</f>
        <v>1152.79</v>
      </c>
      <c r="E29" s="120">
        <f>IFERROR('[2]Data Sheet'!D26,0)</f>
        <v>1236.28</v>
      </c>
      <c r="F29" s="120">
        <f>IFERROR('[2]Data Sheet'!E26,0)</f>
        <v>1396.61</v>
      </c>
      <c r="G29" s="120">
        <f>IFERROR('[2]Data Sheet'!F26,0)</f>
        <v>1644.91</v>
      </c>
      <c r="H29" s="120">
        <f>IFERROR('[2]Data Sheet'!G26,0)</f>
        <v>1645.59</v>
      </c>
      <c r="I29" s="120">
        <f>IFERROR('[2]Data Sheet'!H26,0)</f>
        <v>1732.41</v>
      </c>
      <c r="J29" s="120">
        <f>IFERROR('[2]Data Sheet'!I26,0)</f>
        <v>1809.01</v>
      </c>
      <c r="K29" s="120">
        <f>IFERROR('[2]Data Sheet'!J26,0)</f>
        <v>1518.05</v>
      </c>
      <c r="L29" s="120">
        <f>IFERROR('[2]Data Sheet'!K26,0)</f>
        <v>1646.32</v>
      </c>
      <c r="M29" s="120">
        <f>IFERROR(SUM('[2]Data Sheet'!H45:K45),0)</f>
        <v>1666.15</v>
      </c>
    </row>
    <row r="30" spans="2:13" x14ac:dyDescent="0.25">
      <c r="B30" s="121" t="s">
        <v>285</v>
      </c>
      <c r="C30" s="123">
        <f t="shared" ref="C30:M30" si="9">C29/C8</f>
        <v>2.7490234001240049E-2</v>
      </c>
      <c r="D30" s="123">
        <f t="shared" si="9"/>
        <v>2.6954750792656124E-2</v>
      </c>
      <c r="E30" s="123">
        <f t="shared" si="9"/>
        <v>2.845362855802696E-2</v>
      </c>
      <c r="F30" s="123">
        <f t="shared" si="9"/>
        <v>2.8891645314253867E-2</v>
      </c>
      <c r="G30" s="123">
        <f t="shared" si="9"/>
        <v>3.3306066085280348E-2</v>
      </c>
      <c r="H30" s="123">
        <f t="shared" si="9"/>
        <v>3.3407941336792708E-2</v>
      </c>
      <c r="I30" s="123">
        <f t="shared" si="9"/>
        <v>2.8566627762367396E-2</v>
      </c>
      <c r="J30" s="123">
        <f t="shared" si="9"/>
        <v>2.550810410125463E-2</v>
      </c>
      <c r="K30" s="123">
        <f t="shared" si="9"/>
        <v>2.2346631054552542E-2</v>
      </c>
      <c r="L30" s="123">
        <f t="shared" si="9"/>
        <v>2.1856704707996222E-2</v>
      </c>
      <c r="M30" s="123">
        <f t="shared" si="9"/>
        <v>2.1079747652843511E-2</v>
      </c>
    </row>
    <row r="32" spans="2:13" x14ac:dyDescent="0.25">
      <c r="B32" s="124" t="s">
        <v>26</v>
      </c>
      <c r="C32" s="125">
        <f>IFERROR(C23-SUM(C29,C26),0)</f>
        <v>14859.07</v>
      </c>
      <c r="D32" s="125">
        <f t="shared" ref="D32:M32" si="10">IFERROR(D23-SUM(D29,D26),0)</f>
        <v>16026.32</v>
      </c>
      <c r="E32" s="125">
        <f t="shared" si="10"/>
        <v>17409.110000000004</v>
      </c>
      <c r="F32" s="125">
        <f t="shared" si="10"/>
        <v>19149.82</v>
      </c>
      <c r="G32" s="125">
        <f t="shared" si="10"/>
        <v>20034.57</v>
      </c>
      <c r="H32" s="125">
        <f t="shared" si="10"/>
        <v>17938.169999999998</v>
      </c>
      <c r="I32" s="125">
        <f t="shared" si="10"/>
        <v>20740.469999999994</v>
      </c>
      <c r="J32" s="125">
        <f t="shared" si="10"/>
        <v>25915.119999999995</v>
      </c>
      <c r="K32" s="125">
        <f t="shared" si="10"/>
        <v>26960.82</v>
      </c>
      <c r="L32" s="125">
        <f t="shared" si="10"/>
        <v>27602.069999999996</v>
      </c>
      <c r="M32" s="125">
        <f t="shared" si="10"/>
        <v>24531.760000000002</v>
      </c>
    </row>
    <row r="33" spans="2:13" x14ac:dyDescent="0.25">
      <c r="B33" s="121" t="s">
        <v>286</v>
      </c>
      <c r="C33" s="123">
        <f t="shared" ref="C33:M33" si="11">C32/C8</f>
        <v>0.37913431533395764</v>
      </c>
      <c r="D33" s="123">
        <f t="shared" si="11"/>
        <v>0.37473040338948177</v>
      </c>
      <c r="E33" s="123">
        <f t="shared" si="11"/>
        <v>0.40067974040333326</v>
      </c>
      <c r="F33" s="123">
        <f t="shared" si="11"/>
        <v>0.39615197318636197</v>
      </c>
      <c r="G33" s="123">
        <f t="shared" si="11"/>
        <v>0.40565910135519573</v>
      </c>
      <c r="H33" s="123">
        <f t="shared" si="11"/>
        <v>0.36417171412649252</v>
      </c>
      <c r="I33" s="123">
        <f t="shared" si="11"/>
        <v>0.34200061538928306</v>
      </c>
      <c r="J33" s="123">
        <f t="shared" si="11"/>
        <v>0.36541842154355458</v>
      </c>
      <c r="K33" s="123">
        <f t="shared" si="11"/>
        <v>0.39687987712407446</v>
      </c>
      <c r="L33" s="123">
        <f t="shared" si="11"/>
        <v>0.36644777037237058</v>
      </c>
      <c r="M33" s="123">
        <f t="shared" si="11"/>
        <v>0.31037020093036061</v>
      </c>
    </row>
    <row r="35" spans="2:13" x14ac:dyDescent="0.25">
      <c r="B35" t="s">
        <v>116</v>
      </c>
      <c r="C35" s="120">
        <f>IFERROR('[2]Data Sheet'!B29,0)</f>
        <v>5358.21</v>
      </c>
      <c r="D35" s="120">
        <f>IFERROR('[2]Data Sheet'!C29,0)</f>
        <v>5549.09</v>
      </c>
      <c r="E35" s="120">
        <f>IFERROR('[2]Data Sheet'!D29,0)</f>
        <v>5916.43</v>
      </c>
      <c r="F35" s="120">
        <f>IFERROR('[2]Data Sheet'!E29,0)</f>
        <v>6313.92</v>
      </c>
      <c r="G35" s="120">
        <f>IFERROR('[2]Data Sheet'!F29,0)</f>
        <v>4441.79</v>
      </c>
      <c r="H35" s="120">
        <f>IFERROR('[2]Data Sheet'!G29,0)</f>
        <v>4555.29</v>
      </c>
      <c r="I35" s="120">
        <f>IFERROR('[2]Data Sheet'!H29,0)</f>
        <v>5237.34</v>
      </c>
      <c r="J35" s="120">
        <f>IFERROR('[2]Data Sheet'!I29,0)</f>
        <v>6438.4</v>
      </c>
      <c r="K35" s="120">
        <f>IFERROR('[2]Data Sheet'!J29,0)</f>
        <v>6209.46</v>
      </c>
      <c r="L35" s="120">
        <f>IFERROR('[2]Data Sheet'!K29,0)</f>
        <v>6890.47</v>
      </c>
      <c r="M35" s="120">
        <f>IFERROR(SUM('[2]Data Sheet'!H48:K48),0)</f>
        <v>6948.82</v>
      </c>
    </row>
    <row r="36" spans="2:13" x14ac:dyDescent="0.25">
      <c r="B36" s="121" t="s">
        <v>287</v>
      </c>
      <c r="C36" s="123">
        <f>C35/C32</f>
        <v>0.36060197576295155</v>
      </c>
      <c r="D36" s="123">
        <f t="shared" ref="D36:M36" si="12">D35/D32</f>
        <v>0.34624854614159711</v>
      </c>
      <c r="E36" s="123">
        <f t="shared" si="12"/>
        <v>0.33984678136906477</v>
      </c>
      <c r="F36" s="123">
        <f t="shared" si="12"/>
        <v>0.32971171530594023</v>
      </c>
      <c r="G36" s="123">
        <f t="shared" si="12"/>
        <v>0.22170628069382073</v>
      </c>
      <c r="H36" s="123">
        <f t="shared" si="12"/>
        <v>0.25394396418363746</v>
      </c>
      <c r="I36" s="123">
        <f t="shared" si="12"/>
        <v>0.25251790340334629</v>
      </c>
      <c r="J36" s="123">
        <f t="shared" si="12"/>
        <v>0.24844183627164376</v>
      </c>
      <c r="K36" s="123">
        <f t="shared" si="12"/>
        <v>0.23031421151137094</v>
      </c>
      <c r="L36" s="123">
        <f t="shared" si="12"/>
        <v>0.24963598744586915</v>
      </c>
      <c r="M36" s="123">
        <f t="shared" si="12"/>
        <v>0.28325811111799559</v>
      </c>
    </row>
    <row r="38" spans="2:13" x14ac:dyDescent="0.25">
      <c r="B38" s="124" t="s">
        <v>288</v>
      </c>
      <c r="C38" s="125">
        <f>C32-C35</f>
        <v>9500.86</v>
      </c>
      <c r="D38" s="125">
        <f t="shared" ref="D38:L38" si="13">D32-D35</f>
        <v>10477.23</v>
      </c>
      <c r="E38" s="125">
        <f t="shared" si="13"/>
        <v>11492.680000000004</v>
      </c>
      <c r="F38" s="125">
        <f t="shared" si="13"/>
        <v>12835.9</v>
      </c>
      <c r="G38" s="125">
        <f t="shared" si="13"/>
        <v>15592.779999999999</v>
      </c>
      <c r="H38" s="125">
        <f t="shared" si="13"/>
        <v>13382.879999999997</v>
      </c>
      <c r="I38" s="125">
        <f t="shared" si="13"/>
        <v>15503.129999999994</v>
      </c>
      <c r="J38" s="125">
        <f t="shared" si="13"/>
        <v>19476.719999999994</v>
      </c>
      <c r="K38" s="125">
        <f t="shared" si="13"/>
        <v>20751.36</v>
      </c>
      <c r="L38" s="125">
        <f t="shared" si="13"/>
        <v>20711.599999999995</v>
      </c>
      <c r="M38" s="125">
        <f>IFERROR(SUM('[2]Data Sheet'!H49:K49),0)</f>
        <v>34899.24</v>
      </c>
    </row>
    <row r="39" spans="2:13" x14ac:dyDescent="0.25">
      <c r="B39" s="121" t="s">
        <v>289</v>
      </c>
      <c r="C39" s="123">
        <f t="shared" ref="C39:M39" si="14">C38/C8</f>
        <v>0.24241773214499862</v>
      </c>
      <c r="D39" s="123">
        <f t="shared" si="14"/>
        <v>0.24498054602081951</v>
      </c>
      <c r="E39" s="123">
        <f t="shared" si="14"/>
        <v>0.26451002026746806</v>
      </c>
      <c r="F39" s="123">
        <f t="shared" si="14"/>
        <v>0.26553602658525371</v>
      </c>
      <c r="G39" s="123">
        <f t="shared" si="14"/>
        <v>0.31572193076413763</v>
      </c>
      <c r="H39" s="123">
        <f t="shared" si="14"/>
        <v>0.2716925053976606</v>
      </c>
      <c r="I39" s="123">
        <f t="shared" si="14"/>
        <v>0.25563933702852709</v>
      </c>
      <c r="J39" s="123">
        <f t="shared" si="14"/>
        <v>0.27463319788778828</v>
      </c>
      <c r="K39" s="123">
        <f t="shared" si="14"/>
        <v>0.30547280115951347</v>
      </c>
      <c r="L39" s="123">
        <f t="shared" si="14"/>
        <v>0.27496921936812674</v>
      </c>
      <c r="M39" s="123">
        <f t="shared" si="14"/>
        <v>0.4415371800114169</v>
      </c>
    </row>
    <row r="41" spans="2:13" x14ac:dyDescent="0.25">
      <c r="B41" t="s">
        <v>290</v>
      </c>
      <c r="C41">
        <f>IFERROR('[2]Data Sheet'!B93,0)</f>
        <v>1207.08</v>
      </c>
      <c r="D41">
        <f>IFERROR('[2]Data Sheet'!C93,0)</f>
        <v>1214.74</v>
      </c>
      <c r="E41">
        <f>IFERROR('[2]Data Sheet'!D93,0)</f>
        <v>1220.43</v>
      </c>
      <c r="F41">
        <f>IFERROR('[2]Data Sheet'!E93,0)</f>
        <v>1225.8599999999999</v>
      </c>
      <c r="G41">
        <f>IFERROR('[2]Data Sheet'!F93,0)</f>
        <v>1229.22</v>
      </c>
      <c r="H41">
        <f>IFERROR('[2]Data Sheet'!G93,0)</f>
        <v>1230.8800000000001</v>
      </c>
      <c r="I41">
        <f>IFERROR('[2]Data Sheet'!H93,0)</f>
        <v>1232.33</v>
      </c>
      <c r="J41">
        <f>IFERROR('[2]Data Sheet'!I93,0)</f>
        <v>1242.8</v>
      </c>
      <c r="K41">
        <f>IFERROR('[2]Data Sheet'!J93,0)</f>
        <v>1248.47</v>
      </c>
      <c r="L41">
        <f>IFERROR('[2]Data Sheet'!K93,0)</f>
        <v>1251.4100000000001</v>
      </c>
    </row>
    <row r="43" spans="2:13" x14ac:dyDescent="0.25">
      <c r="B43" t="s">
        <v>291</v>
      </c>
      <c r="C43" s="120">
        <f>C38/C41</f>
        <v>7.8709447592537369</v>
      </c>
      <c r="D43" s="120">
        <f t="shared" ref="D43:L43" si="15">D38/D41</f>
        <v>8.6250802640894335</v>
      </c>
      <c r="E43" s="120">
        <f t="shared" si="15"/>
        <v>9.4169104332079705</v>
      </c>
      <c r="F43" s="120">
        <f t="shared" si="15"/>
        <v>10.47093469074772</v>
      </c>
      <c r="G43" s="120">
        <f t="shared" si="15"/>
        <v>12.685101121036103</v>
      </c>
      <c r="H43" s="120">
        <f t="shared" si="15"/>
        <v>10.87261146496815</v>
      </c>
      <c r="I43" s="120">
        <f t="shared" si="15"/>
        <v>12.580339681741087</v>
      </c>
      <c r="J43" s="120">
        <f t="shared" si="15"/>
        <v>15.671644673318308</v>
      </c>
      <c r="K43" s="120">
        <f t="shared" si="15"/>
        <v>16.621432633543456</v>
      </c>
      <c r="L43" s="120">
        <f t="shared" si="15"/>
        <v>16.550610910892509</v>
      </c>
    </row>
    <row r="44" spans="2:13" x14ac:dyDescent="0.25">
      <c r="B44" s="121" t="s">
        <v>292</v>
      </c>
      <c r="C44" s="126" t="s">
        <v>276</v>
      </c>
      <c r="D44" s="123">
        <f>D43/C43-1</f>
        <v>9.581257751162231E-2</v>
      </c>
      <c r="E44" s="123">
        <f t="shared" ref="E44:L44" si="16">E43/D43-1</f>
        <v>9.1805542078875035E-2</v>
      </c>
      <c r="F44" s="123">
        <f t="shared" si="16"/>
        <v>0.11192888209096896</v>
      </c>
      <c r="G44" s="123">
        <f t="shared" si="16"/>
        <v>0.21145833640284817</v>
      </c>
      <c r="H44" s="123">
        <f t="shared" si="16"/>
        <v>-0.14288334312623208</v>
      </c>
      <c r="I44" s="123">
        <f t="shared" si="16"/>
        <v>0.15706697717243778</v>
      </c>
      <c r="J44" s="123">
        <f t="shared" si="16"/>
        <v>0.2457250813397267</v>
      </c>
      <c r="K44" s="123">
        <f t="shared" si="16"/>
        <v>6.0605506315632995E-2</v>
      </c>
      <c r="L44" s="123">
        <f t="shared" si="16"/>
        <v>-4.2608675324425915E-3</v>
      </c>
    </row>
    <row r="46" spans="2:13" x14ac:dyDescent="0.25">
      <c r="B46" t="s">
        <v>293</v>
      </c>
      <c r="C46" s="120">
        <f>IFERROR('[2]Data Sheet'!B31,0)/C41</f>
        <v>5.666666666666667</v>
      </c>
      <c r="D46" s="120">
        <f>IFERROR('[2]Data Sheet'!C31,0)/D41</f>
        <v>4.7500041161071511</v>
      </c>
      <c r="E46" s="120">
        <f>IFERROR('[2]Data Sheet'!D31,0)/E41</f>
        <v>5.1499963127750057</v>
      </c>
      <c r="F46" s="120">
        <f>IFERROR('[2]Data Sheet'!E31,0)/F41</f>
        <v>5.7500040787691908</v>
      </c>
      <c r="G46" s="120">
        <f>IFERROR('[2]Data Sheet'!F31,0)/G41</f>
        <v>10.149997559427929</v>
      </c>
      <c r="H46" s="120">
        <f>IFERROR('[2]Data Sheet'!G31,0)/H41</f>
        <v>10.749999999999998</v>
      </c>
      <c r="I46" s="120">
        <f>IFERROR('[2]Data Sheet'!H31,0)/I41</f>
        <v>11.500004057354767</v>
      </c>
      <c r="J46" s="120">
        <f>IFERROR('[2]Data Sheet'!I31,0)/J41</f>
        <v>15.500000000000002</v>
      </c>
      <c r="K46" s="120">
        <f>IFERROR('[2]Data Sheet'!J31,0)/K41</f>
        <v>13.749997997548999</v>
      </c>
      <c r="L46" s="120">
        <f>IFERROR('[2]Data Sheet'!K31,0)/L41</f>
        <v>14.349997203154841</v>
      </c>
    </row>
    <row r="47" spans="2:13" x14ac:dyDescent="0.25">
      <c r="B47" s="121" t="s">
        <v>294</v>
      </c>
      <c r="C47" s="123">
        <f>IFERROR(C46/C43,0)</f>
        <v>0.71994745738806798</v>
      </c>
      <c r="D47" s="123">
        <f t="shared" ref="D47:L47" si="17">IFERROR(D46/D43,0)</f>
        <v>0.55071998992100024</v>
      </c>
      <c r="E47" s="123">
        <f t="shared" si="17"/>
        <v>0.54688810616844796</v>
      </c>
      <c r="F47" s="123">
        <f t="shared" si="17"/>
        <v>0.54913952274480171</v>
      </c>
      <c r="G47" s="123">
        <f t="shared" si="17"/>
        <v>0.80015109557115538</v>
      </c>
      <c r="H47" s="123">
        <f t="shared" si="17"/>
        <v>0.988722905682484</v>
      </c>
      <c r="I47" s="123">
        <f t="shared" si="17"/>
        <v>0.91412508312837504</v>
      </c>
      <c r="J47" s="123">
        <f t="shared" si="17"/>
        <v>0.98904743714547461</v>
      </c>
      <c r="K47" s="123">
        <f t="shared" si="17"/>
        <v>0.82724505767332834</v>
      </c>
      <c r="L47" s="123">
        <f t="shared" si="17"/>
        <v>0.86703731242395587</v>
      </c>
    </row>
    <row r="49" spans="1:13" x14ac:dyDescent="0.25">
      <c r="B49" t="s">
        <v>42</v>
      </c>
      <c r="C49" s="134">
        <f>C38*C50</f>
        <v>2660.7400000000007</v>
      </c>
      <c r="D49" s="134">
        <f t="shared" ref="D49:L49" si="18">D38*D50</f>
        <v>4707.2099999999982</v>
      </c>
      <c r="E49" s="134">
        <f t="shared" si="18"/>
        <v>5207.470000000003</v>
      </c>
      <c r="F49" s="134">
        <f t="shared" si="18"/>
        <v>5787.2</v>
      </c>
      <c r="G49" s="134">
        <f t="shared" si="18"/>
        <v>3116.1999999999994</v>
      </c>
      <c r="H49" s="134">
        <f t="shared" si="18"/>
        <v>150.91999999999851</v>
      </c>
      <c r="I49" s="134">
        <f t="shared" si="18"/>
        <v>1331.3299999999945</v>
      </c>
      <c r="J49" s="134">
        <f t="shared" si="18"/>
        <v>213.31999999999175</v>
      </c>
      <c r="K49" s="134">
        <f t="shared" si="18"/>
        <v>3584.9000000000015</v>
      </c>
      <c r="L49" s="134">
        <f t="shared" si="18"/>
        <v>2753.8699999999949</v>
      </c>
    </row>
    <row r="50" spans="1:13" x14ac:dyDescent="0.25">
      <c r="B50" s="121" t="s">
        <v>307</v>
      </c>
      <c r="C50" s="123">
        <f>IFERROR(IF(C43&gt;C46,1-C47,0),0)</f>
        <v>0.28005254261193202</v>
      </c>
      <c r="D50" s="123">
        <f t="shared" ref="D50:L50" si="19">IFERROR(IF(D43&gt;D46,1-D47,0),0)</f>
        <v>0.44928001007899976</v>
      </c>
      <c r="E50" s="123">
        <f t="shared" si="19"/>
        <v>0.45311189383155204</v>
      </c>
      <c r="F50" s="123">
        <f t="shared" si="19"/>
        <v>0.45086047725519829</v>
      </c>
      <c r="G50" s="123">
        <f t="shared" si="19"/>
        <v>0.19984890442884462</v>
      </c>
      <c r="H50" s="123">
        <f t="shared" si="19"/>
        <v>1.1277094317516001E-2</v>
      </c>
      <c r="I50" s="123">
        <f t="shared" si="19"/>
        <v>8.5874916871624962E-2</v>
      </c>
      <c r="J50" s="123">
        <f t="shared" si="19"/>
        <v>1.0952562854525394E-2</v>
      </c>
      <c r="K50" s="123">
        <f t="shared" si="19"/>
        <v>0.17275494232667166</v>
      </c>
      <c r="L50" s="123">
        <f t="shared" si="19"/>
        <v>0.13296268757604413</v>
      </c>
    </row>
    <row r="51" spans="1:13" x14ac:dyDescent="0.25">
      <c r="A51" t="s">
        <v>73</v>
      </c>
    </row>
    <row r="52" spans="1:13" x14ac:dyDescent="0.25">
      <c r="B52" s="119" t="s">
        <v>29</v>
      </c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</row>
    <row r="53" spans="1:13" x14ac:dyDescent="0.25">
      <c r="B53" t="s">
        <v>122</v>
      </c>
      <c r="C53" s="120">
        <f>IFERROR('[2]Data Sheet'!B57,0)</f>
        <v>804.72</v>
      </c>
      <c r="D53" s="120">
        <f>IFERROR('[2]Data Sheet'!C57,0)</f>
        <v>1214.74</v>
      </c>
      <c r="E53" s="120">
        <f>IFERROR('[2]Data Sheet'!D57,0)</f>
        <v>1220.43</v>
      </c>
      <c r="F53" s="120">
        <f>IFERROR('[2]Data Sheet'!E57,0)</f>
        <v>1225.8599999999999</v>
      </c>
      <c r="G53" s="120">
        <f>IFERROR('[2]Data Sheet'!F57,0)</f>
        <v>1229.22</v>
      </c>
      <c r="H53" s="120">
        <f>IFERROR('[2]Data Sheet'!G57,0)</f>
        <v>1230.8800000000001</v>
      </c>
      <c r="I53" s="120">
        <f>IFERROR('[2]Data Sheet'!H57,0)</f>
        <v>1232.33</v>
      </c>
      <c r="J53" s="120">
        <f>IFERROR('[2]Data Sheet'!I57,0)</f>
        <v>1242.8</v>
      </c>
      <c r="K53" s="120">
        <f>IFERROR('[2]Data Sheet'!J57,0)</f>
        <v>1248.47</v>
      </c>
      <c r="L53" s="120">
        <f>IFERROR('[2]Data Sheet'!K57,0)</f>
        <v>1251.4100000000001</v>
      </c>
    </row>
    <row r="54" spans="1:13" x14ac:dyDescent="0.25">
      <c r="B54" t="s">
        <v>123</v>
      </c>
      <c r="C54" s="120">
        <f>IFERROR('[2]Data Sheet'!B58,0)</f>
        <v>41874.800000000003</v>
      </c>
      <c r="D54" s="120">
        <f>IFERROR('[2]Data Sheet'!C58,0)</f>
        <v>45198.19</v>
      </c>
      <c r="E54" s="120">
        <f>IFERROR('[2]Data Sheet'!D58,0)</f>
        <v>51289.68</v>
      </c>
      <c r="F54" s="120">
        <f>IFERROR('[2]Data Sheet'!E58,0)</f>
        <v>57915.01</v>
      </c>
      <c r="G54" s="120">
        <f>IFERROR('[2]Data Sheet'!F58,0)</f>
        <v>64044.04</v>
      </c>
      <c r="H54" s="120">
        <f>IFERROR('[2]Data Sheet'!G58,0)</f>
        <v>59116.46</v>
      </c>
      <c r="I54" s="120">
        <f>IFERROR('[2]Data Sheet'!H58,0)</f>
        <v>61223.24</v>
      </c>
      <c r="J54" s="120">
        <f>IFERROR('[2]Data Sheet'!I58,0)</f>
        <v>67912.460000000006</v>
      </c>
      <c r="K54" s="120">
        <f>IFERROR('[2]Data Sheet'!J58,0)</f>
        <v>73258.53</v>
      </c>
      <c r="L54" s="120">
        <f>IFERROR('[2]Data Sheet'!K58,0)</f>
        <v>68778.64</v>
      </c>
    </row>
    <row r="55" spans="1:13" x14ac:dyDescent="0.25">
      <c r="B55" t="s">
        <v>124</v>
      </c>
      <c r="C55" s="120">
        <f>IFERROR('[2]Data Sheet'!B59,0)</f>
        <v>83.78</v>
      </c>
      <c r="D55" s="120">
        <f>IFERROR('[2]Data Sheet'!C59,0)</f>
        <v>45.72</v>
      </c>
      <c r="E55" s="120">
        <f>IFERROR('[2]Data Sheet'!D59,0)</f>
        <v>35.92</v>
      </c>
      <c r="F55" s="120">
        <f>IFERROR('[2]Data Sheet'!E59,0)</f>
        <v>13.44</v>
      </c>
      <c r="G55" s="120">
        <f>IFERROR('[2]Data Sheet'!F59,0)</f>
        <v>277.45</v>
      </c>
      <c r="H55" s="120">
        <f>IFERROR('[2]Data Sheet'!G59,0)</f>
        <v>270.83</v>
      </c>
      <c r="I55" s="120">
        <f>IFERROR('[2]Data Sheet'!H59,0)</f>
        <v>249.44</v>
      </c>
      <c r="J55" s="120">
        <f>IFERROR('[2]Data Sheet'!I59,0)</f>
        <v>306.04000000000002</v>
      </c>
      <c r="K55" s="120">
        <f>IFERROR('[2]Data Sheet'!J59,0)</f>
        <v>303.43</v>
      </c>
      <c r="L55" s="120">
        <f>IFERROR('[2]Data Sheet'!K59,0)</f>
        <v>284.54000000000002</v>
      </c>
    </row>
    <row r="56" spans="1:13" x14ac:dyDescent="0.25">
      <c r="B56" t="s">
        <v>125</v>
      </c>
      <c r="C56" s="120">
        <f>IFERROR('[2]Data Sheet'!B60,0)</f>
        <v>8888.0400000000009</v>
      </c>
      <c r="D56" s="120">
        <f>IFERROR('[2]Data Sheet'!C60,0)</f>
        <v>9439.67</v>
      </c>
      <c r="E56" s="120">
        <f>IFERROR('[2]Data Sheet'!D60,0)</f>
        <v>11694.85</v>
      </c>
      <c r="F56" s="120">
        <f>IFERROR('[2]Data Sheet'!E60,0)</f>
        <v>12584.73</v>
      </c>
      <c r="G56" s="120">
        <f>IFERROR('[2]Data Sheet'!F60,0)</f>
        <v>11760.04</v>
      </c>
      <c r="H56" s="120">
        <f>IFERROR('[2]Data Sheet'!G60,0)</f>
        <v>13142.59</v>
      </c>
      <c r="I56" s="120">
        <f>IFERROR('[2]Data Sheet'!H60,0)</f>
        <v>14491.01</v>
      </c>
      <c r="J56" s="120">
        <f>IFERROR('[2]Data Sheet'!I60,0)</f>
        <v>16369.66</v>
      </c>
      <c r="K56" s="120">
        <f>IFERROR('[2]Data Sheet'!J60,0)</f>
        <v>16943.54</v>
      </c>
      <c r="L56" s="120">
        <f>IFERROR('[2]Data Sheet'!K60,0)</f>
        <v>17688.11</v>
      </c>
    </row>
    <row r="57" spans="1:13" x14ac:dyDescent="0.25">
      <c r="B57" s="124" t="s">
        <v>39</v>
      </c>
      <c r="C57" s="125">
        <f>IFERROR('[2]Data Sheet'!B61,0)</f>
        <v>51651.34</v>
      </c>
      <c r="D57" s="125">
        <f>IFERROR('[2]Data Sheet'!C61,0)</f>
        <v>55898.32</v>
      </c>
      <c r="E57" s="125">
        <f>IFERROR('[2]Data Sheet'!D61,0)</f>
        <v>64240.88</v>
      </c>
      <c r="F57" s="125">
        <f>IFERROR('[2]Data Sheet'!E61,0)</f>
        <v>71739.039999999994</v>
      </c>
      <c r="G57" s="125">
        <f>IFERROR('[2]Data Sheet'!F61,0)</f>
        <v>77310.75</v>
      </c>
      <c r="H57" s="125">
        <f>IFERROR('[2]Data Sheet'!G61,0)</f>
        <v>73760.759999999995</v>
      </c>
      <c r="I57" s="125">
        <f>IFERROR('[2]Data Sheet'!H61,0)</f>
        <v>77196.02</v>
      </c>
      <c r="J57" s="125">
        <f>IFERROR('[2]Data Sheet'!I61,0)</f>
        <v>85830.96</v>
      </c>
      <c r="K57" s="125">
        <f>IFERROR('[2]Data Sheet'!J61,0)</f>
        <v>91753.97</v>
      </c>
      <c r="L57" s="125">
        <f>IFERROR('[2]Data Sheet'!K61,0)</f>
        <v>88002.7</v>
      </c>
    </row>
    <row r="59" spans="1:13" x14ac:dyDescent="0.25">
      <c r="B59" t="s">
        <v>295</v>
      </c>
      <c r="C59" s="120">
        <f>IFERROR('[2]Data Sheet'!B62,0)</f>
        <v>15106.63</v>
      </c>
      <c r="D59" s="120">
        <f>IFERROR('[2]Data Sheet'!C62,0)</f>
        <v>15893.48</v>
      </c>
      <c r="E59" s="120">
        <f>IFERROR('[2]Data Sheet'!D62,0)</f>
        <v>16523.96</v>
      </c>
      <c r="F59" s="120">
        <f>IFERROR('[2]Data Sheet'!E62,0)</f>
        <v>19374.189999999999</v>
      </c>
      <c r="G59" s="120">
        <f>IFERROR('[2]Data Sheet'!F62,0)</f>
        <v>21713.34</v>
      </c>
      <c r="H59" s="120">
        <f>IFERROR('[2]Data Sheet'!G62,0)</f>
        <v>23298.48</v>
      </c>
      <c r="I59" s="120">
        <f>IFERROR('[2]Data Sheet'!H62,0)</f>
        <v>24231.59</v>
      </c>
      <c r="J59" s="120">
        <f>IFERROR('[2]Data Sheet'!I62,0)</f>
        <v>25851.27</v>
      </c>
      <c r="K59" s="120">
        <f>IFERROR('[2]Data Sheet'!J62,0)</f>
        <v>27820.22</v>
      </c>
      <c r="L59" s="120">
        <f>IFERROR('[2]Data Sheet'!K62,0)</f>
        <v>21954.85</v>
      </c>
    </row>
    <row r="60" spans="1:13" x14ac:dyDescent="0.25">
      <c r="B60" t="s">
        <v>128</v>
      </c>
      <c r="C60" s="120">
        <f>IFERROR('[2]Data Sheet'!B63,0)</f>
        <v>2559.7199999999998</v>
      </c>
      <c r="D60" s="120">
        <f>IFERROR('[2]Data Sheet'!C63,0)</f>
        <v>3729.89</v>
      </c>
      <c r="E60" s="120">
        <f>IFERROR('[2]Data Sheet'!D63,0)</f>
        <v>5508.33</v>
      </c>
      <c r="F60" s="120">
        <f>IFERROR('[2]Data Sheet'!E63,0)</f>
        <v>4136.42</v>
      </c>
      <c r="G60" s="120">
        <f>IFERROR('[2]Data Sheet'!F63,0)</f>
        <v>3256.46</v>
      </c>
      <c r="H60" s="120">
        <f>IFERROR('[2]Data Sheet'!G63,0)</f>
        <v>4011.29</v>
      </c>
      <c r="I60" s="120">
        <f>IFERROR('[2]Data Sheet'!H63,0)</f>
        <v>3225.54</v>
      </c>
      <c r="J60" s="120">
        <f>IFERROR('[2]Data Sheet'!I63,0)</f>
        <v>3003.3</v>
      </c>
      <c r="K60" s="120">
        <f>IFERROR('[2]Data Sheet'!J63,0)</f>
        <v>2860.78</v>
      </c>
      <c r="L60" s="120">
        <f>IFERROR('[2]Data Sheet'!K63,0)</f>
        <v>1090.9100000000001</v>
      </c>
    </row>
    <row r="61" spans="1:13" x14ac:dyDescent="0.25">
      <c r="B61" t="s">
        <v>129</v>
      </c>
      <c r="C61" s="120">
        <f>IFERROR('[2]Data Sheet'!B64,0)</f>
        <v>11747.59</v>
      </c>
      <c r="D61" s="120">
        <f>IFERROR('[2]Data Sheet'!C64,0)</f>
        <v>17581.38</v>
      </c>
      <c r="E61" s="120">
        <f>IFERROR('[2]Data Sheet'!D64,0)</f>
        <v>22052.86</v>
      </c>
      <c r="F61" s="120">
        <f>IFERROR('[2]Data Sheet'!E64,0)</f>
        <v>25043.49</v>
      </c>
      <c r="G61" s="120">
        <f>IFERROR('[2]Data Sheet'!F64,0)</f>
        <v>28663.35</v>
      </c>
      <c r="H61" s="120">
        <f>IFERROR('[2]Data Sheet'!G64,0)</f>
        <v>24870.87</v>
      </c>
      <c r="I61" s="120">
        <f>IFERROR('[2]Data Sheet'!H64,0)</f>
        <v>24841.01</v>
      </c>
      <c r="J61" s="120">
        <f>IFERROR('[2]Data Sheet'!I64,0)</f>
        <v>29415.02</v>
      </c>
      <c r="K61" s="120">
        <f>IFERROR('[2]Data Sheet'!J64,0)</f>
        <v>31114.02</v>
      </c>
      <c r="L61" s="120">
        <f>IFERROR('[2]Data Sheet'!K64,0)</f>
        <v>34719.82</v>
      </c>
    </row>
    <row r="62" spans="1:13" x14ac:dyDescent="0.25">
      <c r="B62" t="s">
        <v>130</v>
      </c>
      <c r="C62" s="120">
        <f>IFERROR('[2]Data Sheet'!B65-SUM('[2]Data Sheet'!B67:B69),0)</f>
        <v>5194.82</v>
      </c>
      <c r="D62" s="120">
        <f>IFERROR('[2]Data Sheet'!C65-SUM('[2]Data Sheet'!C67:C69),0)</f>
        <v>5135.7800000000007</v>
      </c>
      <c r="E62" s="120">
        <f>IFERROR('[2]Data Sheet'!D65-SUM('[2]Data Sheet'!D67:D69),0)</f>
        <v>7078.7499999999982</v>
      </c>
      <c r="F62" s="120">
        <f>IFERROR('[2]Data Sheet'!E65-SUM('[2]Data Sheet'!E67:E69),0)</f>
        <v>7138.07</v>
      </c>
      <c r="G62" s="120">
        <f>IFERROR('[2]Data Sheet'!F65-SUM('[2]Data Sheet'!F67:F69),0)</f>
        <v>4958.4499999999971</v>
      </c>
      <c r="H62" s="120">
        <f>IFERROR('[2]Data Sheet'!G65-SUM('[2]Data Sheet'!G67:G69),0)</f>
        <v>4022.239999999998</v>
      </c>
      <c r="I62" s="120">
        <f>IFERROR('[2]Data Sheet'!H65-SUM('[2]Data Sheet'!H67:H69),0)</f>
        <v>6917.41</v>
      </c>
      <c r="J62" s="120">
        <f>IFERROR('[2]Data Sheet'!I65-SUM('[2]Data Sheet'!I67:I69),0)</f>
        <v>7953.8499999999985</v>
      </c>
      <c r="K62" s="120">
        <f>IFERROR('[2]Data Sheet'!J65-SUM('[2]Data Sheet'!J67:J69),0)</f>
        <v>4562.57</v>
      </c>
      <c r="L62" s="120">
        <f>IFERROR('[2]Data Sheet'!K65-SUM('[2]Data Sheet'!K67:K69),0)</f>
        <v>5867.5299999999988</v>
      </c>
      <c r="M62" s="37" t="s">
        <v>296</v>
      </c>
    </row>
    <row r="63" spans="1:13" x14ac:dyDescent="0.25">
      <c r="B63" s="124" t="s">
        <v>297</v>
      </c>
      <c r="C63" s="125">
        <f>SUM(C59:C62)</f>
        <v>34608.759999999995</v>
      </c>
      <c r="D63" s="125">
        <f t="shared" ref="D63:L63" si="20">SUM(D59:D62)</f>
        <v>42340.53</v>
      </c>
      <c r="E63" s="125">
        <f t="shared" si="20"/>
        <v>51163.9</v>
      </c>
      <c r="F63" s="125">
        <f t="shared" si="20"/>
        <v>55692.170000000006</v>
      </c>
      <c r="G63" s="125">
        <f t="shared" si="20"/>
        <v>58591.599999999991</v>
      </c>
      <c r="H63" s="125">
        <f t="shared" si="20"/>
        <v>56202.879999999997</v>
      </c>
      <c r="I63" s="125">
        <f t="shared" si="20"/>
        <v>59215.55</v>
      </c>
      <c r="J63" s="125">
        <f t="shared" si="20"/>
        <v>66223.44</v>
      </c>
      <c r="K63" s="125">
        <f t="shared" si="20"/>
        <v>66357.59</v>
      </c>
      <c r="L63" s="125">
        <f t="shared" si="20"/>
        <v>63633.11</v>
      </c>
    </row>
    <row r="65" spans="1:13" x14ac:dyDescent="0.25">
      <c r="B65" t="s">
        <v>131</v>
      </c>
      <c r="C65" s="120">
        <f>IFERROR('[2]Data Sheet'!B67,0)</f>
        <v>1917.18</v>
      </c>
      <c r="D65" s="120">
        <f>IFERROR('[2]Data Sheet'!C67,0)</f>
        <v>2474.29</v>
      </c>
      <c r="E65" s="120">
        <f>IFERROR('[2]Data Sheet'!D67,0)</f>
        <v>2682.29</v>
      </c>
      <c r="F65" s="120">
        <f>IFERROR('[2]Data Sheet'!E67,0)</f>
        <v>4035.28</v>
      </c>
      <c r="G65" s="120">
        <f>IFERROR('[2]Data Sheet'!F67,0)</f>
        <v>2562.48</v>
      </c>
      <c r="H65" s="120">
        <f>IFERROR('[2]Data Sheet'!G67,0)</f>
        <v>2501.6999999999998</v>
      </c>
      <c r="I65" s="120">
        <f>IFERROR('[2]Data Sheet'!H67,0)</f>
        <v>2461.9</v>
      </c>
      <c r="J65" s="120">
        <f>IFERROR('[2]Data Sheet'!I67,0)</f>
        <v>2956.17</v>
      </c>
      <c r="K65" s="120">
        <f>IFERROR('[2]Data Sheet'!J67,0)</f>
        <v>4025.82</v>
      </c>
      <c r="L65" s="120">
        <f>IFERROR('[2]Data Sheet'!K67,0)</f>
        <v>4719.67</v>
      </c>
    </row>
    <row r="66" spans="1:13" x14ac:dyDescent="0.25">
      <c r="B66" t="s">
        <v>33</v>
      </c>
      <c r="C66" s="120">
        <f>IFERROR('[2]Data Sheet'!B68,0)</f>
        <v>9062.1</v>
      </c>
      <c r="D66" s="120">
        <f>IFERROR('[2]Data Sheet'!C68,0)</f>
        <v>8116.1</v>
      </c>
      <c r="E66" s="120">
        <f>IFERROR('[2]Data Sheet'!D68,0)</f>
        <v>7495.09</v>
      </c>
      <c r="F66" s="120">
        <f>IFERROR('[2]Data Sheet'!E68,0)</f>
        <v>7859.56</v>
      </c>
      <c r="G66" s="120">
        <f>IFERROR('[2]Data Sheet'!F68,0)</f>
        <v>8879.33</v>
      </c>
      <c r="H66" s="120">
        <f>IFERROR('[2]Data Sheet'!G68,0)</f>
        <v>10397.16</v>
      </c>
      <c r="I66" s="120">
        <f>IFERROR('[2]Data Sheet'!H68,0)</f>
        <v>10864.15</v>
      </c>
      <c r="J66" s="120">
        <f>IFERROR('[2]Data Sheet'!I68,0)</f>
        <v>11771.16</v>
      </c>
      <c r="K66" s="120">
        <f>IFERROR('[2]Data Sheet'!J68,0)</f>
        <v>14152.88</v>
      </c>
      <c r="L66" s="120">
        <f>IFERROR('[2]Data Sheet'!K68,0)</f>
        <v>15637.56</v>
      </c>
    </row>
    <row r="67" spans="1:13" x14ac:dyDescent="0.25">
      <c r="B67" t="s">
        <v>132</v>
      </c>
      <c r="C67" s="120">
        <f>IFERROR('[2]Data Sheet'!B69,0)</f>
        <v>6063.3</v>
      </c>
      <c r="D67" s="120">
        <f>IFERROR('[2]Data Sheet'!C69,0)</f>
        <v>2967.4</v>
      </c>
      <c r="E67" s="120">
        <f>IFERROR('[2]Data Sheet'!D69,0)</f>
        <v>2899.6</v>
      </c>
      <c r="F67" s="120">
        <f>IFERROR('[2]Data Sheet'!E69,0)</f>
        <v>4152.03</v>
      </c>
      <c r="G67" s="120">
        <f>IFERROR('[2]Data Sheet'!F69,0)</f>
        <v>7277.34</v>
      </c>
      <c r="H67" s="120">
        <f>IFERROR('[2]Data Sheet'!G69,0)</f>
        <v>4659.0200000000004</v>
      </c>
      <c r="I67" s="120">
        <f>IFERROR('[2]Data Sheet'!H69,0)</f>
        <v>4654.42</v>
      </c>
      <c r="J67" s="120">
        <f>IFERROR('[2]Data Sheet'!I69,0)</f>
        <v>4880.1899999999996</v>
      </c>
      <c r="K67" s="120">
        <f>IFERROR('[2]Data Sheet'!J69,0)</f>
        <v>7217.68</v>
      </c>
      <c r="L67" s="120">
        <f>IFERROR('[2]Data Sheet'!K69,0)</f>
        <v>4012.36</v>
      </c>
    </row>
    <row r="68" spans="1:13" x14ac:dyDescent="0.25">
      <c r="B68" s="124" t="s">
        <v>298</v>
      </c>
      <c r="C68" s="125">
        <f>SUM(C65:C67)</f>
        <v>17042.580000000002</v>
      </c>
      <c r="D68" s="125">
        <f t="shared" ref="D68:L68" si="21">SUM(D65:D67)</f>
        <v>13557.789999999999</v>
      </c>
      <c r="E68" s="125">
        <f t="shared" si="21"/>
        <v>13076.980000000001</v>
      </c>
      <c r="F68" s="125">
        <f t="shared" si="21"/>
        <v>16046.869999999999</v>
      </c>
      <c r="G68" s="125">
        <f t="shared" si="21"/>
        <v>18719.150000000001</v>
      </c>
      <c r="H68" s="125">
        <f t="shared" si="21"/>
        <v>17557.88</v>
      </c>
      <c r="I68" s="125">
        <f t="shared" si="21"/>
        <v>17980.47</v>
      </c>
      <c r="J68" s="125">
        <f t="shared" si="21"/>
        <v>19607.52</v>
      </c>
      <c r="K68" s="125">
        <f t="shared" si="21"/>
        <v>25396.38</v>
      </c>
      <c r="L68" s="125">
        <f t="shared" si="21"/>
        <v>24369.59</v>
      </c>
    </row>
    <row r="69" spans="1:13" x14ac:dyDescent="0.25">
      <c r="C69" s="120"/>
      <c r="D69" s="120"/>
      <c r="E69" s="120"/>
      <c r="F69" s="120"/>
      <c r="G69" s="120"/>
      <c r="H69" s="120"/>
      <c r="I69" s="120"/>
      <c r="J69" s="120"/>
      <c r="K69" s="120"/>
      <c r="L69" s="120"/>
    </row>
    <row r="70" spans="1:13" x14ac:dyDescent="0.25">
      <c r="B70" s="124" t="s">
        <v>35</v>
      </c>
      <c r="C70" s="125">
        <f>IFERROR(SUM(C68,C63),0)</f>
        <v>51651.34</v>
      </c>
      <c r="D70" s="125">
        <f t="shared" ref="D70:L70" si="22">IFERROR(SUM(D68,D63),0)</f>
        <v>55898.32</v>
      </c>
      <c r="E70" s="125">
        <f t="shared" si="22"/>
        <v>64240.880000000005</v>
      </c>
      <c r="F70" s="125">
        <f t="shared" si="22"/>
        <v>71739.040000000008</v>
      </c>
      <c r="G70" s="125">
        <f t="shared" si="22"/>
        <v>77310.75</v>
      </c>
      <c r="H70" s="125">
        <f t="shared" si="22"/>
        <v>73760.759999999995</v>
      </c>
      <c r="I70" s="125">
        <f t="shared" si="22"/>
        <v>77196.02</v>
      </c>
      <c r="J70" s="125">
        <f t="shared" si="22"/>
        <v>85830.96</v>
      </c>
      <c r="K70" s="125">
        <f t="shared" si="22"/>
        <v>91753.97</v>
      </c>
      <c r="L70" s="125">
        <f t="shared" si="22"/>
        <v>88002.7</v>
      </c>
    </row>
    <row r="72" spans="1:13" x14ac:dyDescent="0.25">
      <c r="B72" s="127" t="s">
        <v>44</v>
      </c>
      <c r="C72" s="127" t="b">
        <f>C70=C57</f>
        <v>1</v>
      </c>
      <c r="D72" s="127" t="b">
        <f t="shared" ref="D72:L72" si="23">D70=D57</f>
        <v>1</v>
      </c>
      <c r="E72" s="127" t="b">
        <f t="shared" si="23"/>
        <v>1</v>
      </c>
      <c r="F72" s="127" t="b">
        <f t="shared" si="23"/>
        <v>1</v>
      </c>
      <c r="G72" s="127" t="b">
        <f t="shared" si="23"/>
        <v>1</v>
      </c>
      <c r="H72" s="127" t="b">
        <f t="shared" si="23"/>
        <v>1</v>
      </c>
      <c r="I72" s="127" t="b">
        <f t="shared" si="23"/>
        <v>1</v>
      </c>
      <c r="J72" s="127" t="b">
        <f t="shared" si="23"/>
        <v>1</v>
      </c>
      <c r="K72" s="127" t="b">
        <f t="shared" si="23"/>
        <v>1</v>
      </c>
      <c r="L72" s="127" t="b">
        <f t="shared" si="23"/>
        <v>1</v>
      </c>
    </row>
    <row r="73" spans="1:13" x14ac:dyDescent="0.25">
      <c r="A73" t="s">
        <v>73</v>
      </c>
    </row>
    <row r="74" spans="1:13" x14ac:dyDescent="0.25">
      <c r="B74" s="119" t="s">
        <v>299</v>
      </c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</row>
    <row r="76" spans="1:13" x14ac:dyDescent="0.25">
      <c r="B76" t="s">
        <v>300</v>
      </c>
      <c r="C76" s="120">
        <f>'[2]Data Sheet'!B82</f>
        <v>9799.0400000000009</v>
      </c>
      <c r="D76" s="120">
        <f>'[2]Data Sheet'!C82</f>
        <v>10627.31</v>
      </c>
      <c r="E76" s="120">
        <f>'[2]Data Sheet'!D82</f>
        <v>13169.4</v>
      </c>
      <c r="F76" s="120">
        <f>'[2]Data Sheet'!E82</f>
        <v>12583.41</v>
      </c>
      <c r="G76" s="120">
        <f>'[2]Data Sheet'!F82</f>
        <v>14689.66</v>
      </c>
      <c r="H76" s="120">
        <f>'[2]Data Sheet'!G82</f>
        <v>12526.97</v>
      </c>
      <c r="I76" s="120">
        <f>'[2]Data Sheet'!H82</f>
        <v>15775.51</v>
      </c>
      <c r="J76" s="120">
        <f>'[2]Data Sheet'!I82</f>
        <v>18877.55</v>
      </c>
      <c r="K76" s="120">
        <f>'[2]Data Sheet'!J82</f>
        <v>17178.86</v>
      </c>
      <c r="L76" s="120">
        <f>'[2]Data Sheet'!K82</f>
        <v>17627.04</v>
      </c>
    </row>
    <row r="77" spans="1:13" x14ac:dyDescent="0.25">
      <c r="C77" s="120"/>
      <c r="D77" s="120"/>
      <c r="E77" s="120"/>
      <c r="F77" s="120"/>
      <c r="G77" s="120"/>
      <c r="H77" s="120"/>
      <c r="I77" s="120"/>
      <c r="J77" s="120"/>
      <c r="K77" s="120"/>
      <c r="L77" s="120"/>
    </row>
    <row r="78" spans="1:13" x14ac:dyDescent="0.25">
      <c r="B78" t="s">
        <v>301</v>
      </c>
      <c r="C78" s="120">
        <f>'[2]Data Sheet'!B83</f>
        <v>-3920.73</v>
      </c>
      <c r="D78" s="120">
        <f>'[2]Data Sheet'!C83</f>
        <v>-3250.93</v>
      </c>
      <c r="E78" s="120">
        <f>'[2]Data Sheet'!D83</f>
        <v>-7113.89</v>
      </c>
      <c r="F78" s="120">
        <f>'[2]Data Sheet'!E83</f>
        <v>-5545.68</v>
      </c>
      <c r="G78" s="120">
        <f>'[2]Data Sheet'!F83</f>
        <v>-6174.02</v>
      </c>
      <c r="H78" s="120">
        <f>'[2]Data Sheet'!G83</f>
        <v>5739.98</v>
      </c>
      <c r="I78" s="120">
        <f>'[2]Data Sheet'!H83</f>
        <v>-2238.4899999999998</v>
      </c>
      <c r="J78" s="120">
        <f>'[2]Data Sheet'!I83</f>
        <v>-5732.29</v>
      </c>
      <c r="K78" s="120">
        <f>'[2]Data Sheet'!J83</f>
        <v>1562.77</v>
      </c>
      <c r="L78" s="120">
        <f>'[2]Data Sheet'!K83</f>
        <v>-563.84</v>
      </c>
    </row>
    <row r="79" spans="1:13" x14ac:dyDescent="0.25">
      <c r="C79" s="120"/>
      <c r="D79" s="120"/>
      <c r="E79" s="120"/>
      <c r="F79" s="120"/>
      <c r="G79" s="120"/>
      <c r="H79" s="120"/>
      <c r="I79" s="120"/>
      <c r="J79" s="120"/>
      <c r="K79" s="120"/>
      <c r="L79" s="120"/>
    </row>
    <row r="80" spans="1:13" x14ac:dyDescent="0.25">
      <c r="B80" t="s">
        <v>302</v>
      </c>
      <c r="C80" s="120">
        <f>'[2]Data Sheet'!B84</f>
        <v>-5612.52</v>
      </c>
      <c r="D80" s="120">
        <f>'[2]Data Sheet'!C84</f>
        <v>-7301.03</v>
      </c>
      <c r="E80" s="120">
        <f>'[2]Data Sheet'!D84</f>
        <v>-6221.13</v>
      </c>
      <c r="F80" s="120">
        <f>'[2]Data Sheet'!E84</f>
        <v>-6868.64</v>
      </c>
      <c r="G80" s="120">
        <f>'[2]Data Sheet'!F84</f>
        <v>-8181.48</v>
      </c>
      <c r="H80" s="120">
        <f>'[2]Data Sheet'!G84</f>
        <v>-18633.830000000002</v>
      </c>
      <c r="I80" s="120">
        <f>'[2]Data Sheet'!H84</f>
        <v>-13580.5</v>
      </c>
      <c r="J80" s="120">
        <f>'[2]Data Sheet'!I84</f>
        <v>-13006.03</v>
      </c>
      <c r="K80" s="120">
        <f>'[2]Data Sheet'!J84</f>
        <v>-18550.96</v>
      </c>
      <c r="L80" s="120">
        <f>'[2]Data Sheet'!K84</f>
        <v>-17037.400000000001</v>
      </c>
    </row>
    <row r="82" spans="2:12" x14ac:dyDescent="0.25">
      <c r="B82" s="128" t="s">
        <v>140</v>
      </c>
      <c r="C82" s="129">
        <f>C80+C78+C76</f>
        <v>265.79000000000087</v>
      </c>
      <c r="D82" s="129">
        <f t="shared" ref="D82:L82" si="24">D80+D78+D76</f>
        <v>75.350000000000364</v>
      </c>
      <c r="E82" s="129">
        <f t="shared" si="24"/>
        <v>-165.6200000000008</v>
      </c>
      <c r="F82" s="129">
        <f t="shared" si="24"/>
        <v>169.09000000000015</v>
      </c>
      <c r="G82" s="129">
        <f t="shared" si="24"/>
        <v>334.15999999999985</v>
      </c>
      <c r="H82" s="129">
        <f t="shared" si="24"/>
        <v>-366.88000000000284</v>
      </c>
      <c r="I82" s="129">
        <f t="shared" si="24"/>
        <v>-43.479999999999563</v>
      </c>
      <c r="J82" s="129">
        <f t="shared" si="24"/>
        <v>139.22999999999956</v>
      </c>
      <c r="K82" s="129">
        <f t="shared" si="24"/>
        <v>190.67000000000189</v>
      </c>
      <c r="L82" s="129">
        <f t="shared" si="24"/>
        <v>25.799999999999272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Model</vt:lpstr>
      <vt:lpstr>3 STATEMENT MODEL</vt:lpstr>
      <vt:lpstr>Key Assumptions</vt:lpstr>
      <vt:lpstr>Revenue CAGR</vt:lpstr>
      <vt:lpstr>Cost Assumptions</vt:lpstr>
      <vt:lpstr>Other Key Assumptions</vt:lpstr>
      <vt:lpstr>Data Room</vt:lpstr>
      <vt:lpstr>Data Sheet</vt:lpstr>
      <vt:lpstr>Expanded BS</vt:lpstr>
      <vt:lpstr>Cash Flow Statement</vt:lpstr>
      <vt:lpstr>Profit &amp; Loss</vt:lpstr>
      <vt:lpstr>Balance Sheet</vt:lpstr>
      <vt:lpstr>Historical FS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karnsharma</dc:creator>
  <cp:lastModifiedBy>Karn Sharma</cp:lastModifiedBy>
  <cp:lastPrinted>2025-10-01T20:04:41Z</cp:lastPrinted>
  <dcterms:created xsi:type="dcterms:W3CDTF">2025-09-27T10:34:34Z</dcterms:created>
  <dcterms:modified xsi:type="dcterms:W3CDTF">2025-11-12T12:59:14Z</dcterms:modified>
</cp:coreProperties>
</file>
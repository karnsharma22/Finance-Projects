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302B6F3A083292/Desktop/Advanced Valuation TVS/2. Index Valauation/"/>
    </mc:Choice>
  </mc:AlternateContent>
  <xr:revisionPtr revIDLastSave="219" documentId="8_{EB9630AC-1547-45E8-A730-E1EB993C7BF6}" xr6:coauthVersionLast="47" xr6:coauthVersionMax="47" xr10:uidLastSave="{A4401240-F676-4635-957C-F03E1DBB4AF7}"/>
  <bookViews>
    <workbookView xWindow="-120" yWindow="-120" windowWidth="29040" windowHeight="16440" tabRatio="688" activeTab="8" xr2:uid="{31C54806-CA83-41DC-A3C9-22424F66260E}"/>
  </bookViews>
  <sheets>
    <sheet name="Valuation &gt;" sheetId="1" r:id="rId1"/>
    <sheet name="IndexVal" sheetId="2" r:id="rId2"/>
    <sheet name="Data &gt;" sheetId="3" r:id="rId3"/>
    <sheet name="RfHistorical" sheetId="6" r:id="rId4"/>
    <sheet name="ERPHistorical" sheetId="7" r:id="rId5"/>
    <sheet name="2025-BBdata" sheetId="8" r:id="rId6"/>
    <sheet name="ExpDiv&amp;BB" sheetId="9" r:id="rId7"/>
    <sheet name="IndexEPSGrowth" sheetId="4" r:id="rId8"/>
    <sheet name="IndexHistorical" sheetId="5" r:id="rId9"/>
  </sheets>
  <definedNames>
    <definedName name="_xlnm._FilterDatabase" localSheetId="7" hidden="1">IndexEPSGrowth!$J$32:$P$59</definedName>
    <definedName name="_xlnm._FilterDatabase" localSheetId="3" hidden="1">RfHistorical!$I$2:$J$30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C26" i="2"/>
  <c r="E8" i="4"/>
  <c r="D30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33" i="9"/>
  <c r="E28" i="9"/>
  <c r="E26" i="9"/>
  <c r="E15" i="9"/>
  <c r="E11" i="9"/>
  <c r="E10" i="9"/>
  <c r="E4" i="9"/>
  <c r="C8" i="2"/>
  <c r="D29" i="9"/>
  <c r="D28" i="9"/>
  <c r="D27" i="9"/>
  <c r="E27" i="9" s="1"/>
  <c r="D26" i="9"/>
  <c r="D25" i="9"/>
  <c r="D24" i="9"/>
  <c r="D23" i="9"/>
  <c r="D22" i="9"/>
  <c r="D21" i="9"/>
  <c r="D20" i="9"/>
  <c r="D19" i="9"/>
  <c r="D18" i="9"/>
  <c r="D17" i="9"/>
  <c r="D16" i="9"/>
  <c r="E16" i="9" s="1"/>
  <c r="D15" i="9"/>
  <c r="D14" i="9"/>
  <c r="D13" i="9"/>
  <c r="E13" i="9" s="1"/>
  <c r="D12" i="9"/>
  <c r="E12" i="9" s="1"/>
  <c r="D11" i="9"/>
  <c r="D10" i="9"/>
  <c r="D9" i="9"/>
  <c r="D8" i="9"/>
  <c r="D7" i="9"/>
  <c r="D6" i="9"/>
  <c r="D5" i="9"/>
  <c r="D4" i="9"/>
  <c r="D3" i="9"/>
  <c r="E14" i="9"/>
  <c r="E23" i="9"/>
  <c r="E24" i="9"/>
  <c r="E25" i="9"/>
  <c r="E6" i="9"/>
  <c r="E18" i="9"/>
  <c r="E30" i="9"/>
  <c r="D12" i="2"/>
  <c r="N2" i="6"/>
  <c r="J9" i="6"/>
  <c r="D8" i="2"/>
  <c r="D11" i="2"/>
  <c r="C7" i="2"/>
  <c r="D7" i="2" s="1"/>
  <c r="E5" i="9"/>
  <c r="E17" i="9"/>
  <c r="E29" i="9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" i="4"/>
  <c r="G3" i="5"/>
  <c r="C3" i="4" s="1"/>
  <c r="F4" i="5"/>
  <c r="F5" i="5" s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4" i="5"/>
  <c r="I5" i="6"/>
  <c r="I6" i="6" s="1"/>
  <c r="I4" i="6"/>
  <c r="J4" i="6" s="1"/>
  <c r="J5" i="6"/>
  <c r="J3" i="6"/>
  <c r="G8" i="7"/>
  <c r="G6" i="7"/>
  <c r="G4" i="7"/>
  <c r="G2" i="7"/>
  <c r="G4" i="8"/>
  <c r="F4" i="8"/>
  <c r="F5" i="8"/>
  <c r="G5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3" i="8"/>
  <c r="G3" i="8" s="1"/>
  <c r="J3" i="8" s="1"/>
  <c r="C3" i="9" l="1"/>
  <c r="E3" i="9" s="1"/>
  <c r="E19" i="9"/>
  <c r="E7" i="9"/>
  <c r="F7" i="9" s="1"/>
  <c r="G7" i="9" s="1"/>
  <c r="H7" i="9" s="1"/>
  <c r="E8" i="9"/>
  <c r="E20" i="9"/>
  <c r="E9" i="9"/>
  <c r="E21" i="9"/>
  <c r="E22" i="9"/>
  <c r="E3" i="4"/>
  <c r="G4" i="5"/>
  <c r="C4" i="4" s="1"/>
  <c r="E4" i="4" s="1"/>
  <c r="D13" i="2"/>
  <c r="G5" i="5"/>
  <c r="F6" i="5"/>
  <c r="J2" i="8"/>
  <c r="B17" i="2"/>
  <c r="B18" i="2" s="1"/>
  <c r="B19" i="2" s="1"/>
  <c r="B20" i="2" s="1"/>
  <c r="B21" i="2" s="1"/>
  <c r="B22" i="2" s="1"/>
  <c r="B23" i="2" s="1"/>
  <c r="B24" i="2" s="1"/>
  <c r="B25" i="2" s="1"/>
  <c r="I7" i="6"/>
  <c r="J6" i="6"/>
  <c r="H5" i="5" l="1"/>
  <c r="C5" i="4"/>
  <c r="E5" i="4" s="1"/>
  <c r="H4" i="5"/>
  <c r="D19" i="2"/>
  <c r="F7" i="5"/>
  <c r="G6" i="5"/>
  <c r="F14" i="9"/>
  <c r="G14" i="9" s="1"/>
  <c r="H14" i="9" s="1"/>
  <c r="F25" i="9"/>
  <c r="G25" i="9" s="1"/>
  <c r="H25" i="9" s="1"/>
  <c r="F13" i="9"/>
  <c r="G13" i="9" s="1"/>
  <c r="H13" i="9" s="1"/>
  <c r="F24" i="9"/>
  <c r="G24" i="9" s="1"/>
  <c r="H24" i="9" s="1"/>
  <c r="F23" i="9"/>
  <c r="G23" i="9" s="1"/>
  <c r="H23" i="9" s="1"/>
  <c r="F8" i="9"/>
  <c r="G8" i="9" s="1"/>
  <c r="H8" i="9" s="1"/>
  <c r="F6" i="9"/>
  <c r="G6" i="9" s="1"/>
  <c r="H6" i="9" s="1"/>
  <c r="F5" i="9"/>
  <c r="G5" i="9" s="1"/>
  <c r="H5" i="9" s="1"/>
  <c r="F27" i="9"/>
  <c r="G27" i="9" s="1"/>
  <c r="H27" i="9" s="1"/>
  <c r="F28" i="9"/>
  <c r="G28" i="9" s="1"/>
  <c r="H28" i="9" s="1"/>
  <c r="F15" i="9"/>
  <c r="G15" i="9" s="1"/>
  <c r="H15" i="9" s="1"/>
  <c r="F4" i="9"/>
  <c r="G4" i="9" s="1"/>
  <c r="H4" i="9" s="1"/>
  <c r="F12" i="9"/>
  <c r="G12" i="9" s="1"/>
  <c r="H12" i="9" s="1"/>
  <c r="F26" i="9"/>
  <c r="G26" i="9" s="1"/>
  <c r="H26" i="9" s="1"/>
  <c r="F11" i="9"/>
  <c r="G11" i="9" s="1"/>
  <c r="H11" i="9" s="1"/>
  <c r="F16" i="9"/>
  <c r="G16" i="9" s="1"/>
  <c r="H16" i="9" s="1"/>
  <c r="F30" i="9"/>
  <c r="F9" i="9"/>
  <c r="G9" i="9" s="1"/>
  <c r="H9" i="9" s="1"/>
  <c r="F18" i="9"/>
  <c r="G18" i="9" s="1"/>
  <c r="H18" i="9" s="1"/>
  <c r="F10" i="9"/>
  <c r="G10" i="9" s="1"/>
  <c r="H10" i="9" s="1"/>
  <c r="F3" i="9"/>
  <c r="G3" i="9" s="1"/>
  <c r="H3" i="9" s="1"/>
  <c r="F29" i="9"/>
  <c r="G29" i="9" s="1"/>
  <c r="H29" i="9" s="1"/>
  <c r="F21" i="9"/>
  <c r="G21" i="9" s="1"/>
  <c r="H21" i="9" s="1"/>
  <c r="F19" i="9"/>
  <c r="G19" i="9" s="1"/>
  <c r="H19" i="9" s="1"/>
  <c r="F22" i="9"/>
  <c r="G22" i="9" s="1"/>
  <c r="H22" i="9" s="1"/>
  <c r="F17" i="9"/>
  <c r="G17" i="9" s="1"/>
  <c r="H17" i="9" s="1"/>
  <c r="F20" i="9"/>
  <c r="G20" i="9" s="1"/>
  <c r="H20" i="9" s="1"/>
  <c r="D17" i="2"/>
  <c r="D18" i="2"/>
  <c r="D16" i="2"/>
  <c r="D23" i="2"/>
  <c r="D24" i="2"/>
  <c r="D20" i="2"/>
  <c r="D22" i="2"/>
  <c r="D25" i="2"/>
  <c r="D21" i="2"/>
  <c r="I8" i="6"/>
  <c r="J7" i="6"/>
  <c r="G30" i="9" l="1"/>
  <c r="H30" i="9" s="1"/>
  <c r="F60" i="9"/>
  <c r="H6" i="5"/>
  <c r="C6" i="4"/>
  <c r="E6" i="4" s="1"/>
  <c r="L8" i="9"/>
  <c r="F8" i="5"/>
  <c r="G7" i="5"/>
  <c r="L2" i="9"/>
  <c r="L6" i="9"/>
  <c r="L10" i="9"/>
  <c r="L4" i="9"/>
  <c r="D9" i="2" s="1"/>
  <c r="L12" i="9"/>
  <c r="D26" i="2"/>
  <c r="J8" i="6"/>
  <c r="I9" i="6"/>
  <c r="H7" i="5" l="1"/>
  <c r="C7" i="4"/>
  <c r="E7" i="4" s="1"/>
  <c r="F6" i="4"/>
  <c r="F9" i="5"/>
  <c r="G8" i="5"/>
  <c r="I10" i="6"/>
  <c r="F7" i="4" l="1"/>
  <c r="H8" i="5"/>
  <c r="C8" i="4"/>
  <c r="F10" i="5"/>
  <c r="G9" i="5"/>
  <c r="I11" i="6"/>
  <c r="J10" i="6"/>
  <c r="H9" i="5" l="1"/>
  <c r="C9" i="4"/>
  <c r="E9" i="4" s="1"/>
  <c r="G8" i="4"/>
  <c r="F8" i="4"/>
  <c r="F11" i="5"/>
  <c r="G10" i="5"/>
  <c r="C10" i="4" s="1"/>
  <c r="E10" i="4" s="1"/>
  <c r="I12" i="6"/>
  <c r="J11" i="6"/>
  <c r="H10" i="4" l="1"/>
  <c r="G10" i="4"/>
  <c r="F10" i="4"/>
  <c r="G9" i="4"/>
  <c r="F9" i="4"/>
  <c r="H10" i="5"/>
  <c r="F12" i="5"/>
  <c r="G11" i="5"/>
  <c r="I13" i="6"/>
  <c r="J12" i="6"/>
  <c r="H11" i="5" l="1"/>
  <c r="C11" i="4"/>
  <c r="E11" i="4" s="1"/>
  <c r="F13" i="5"/>
  <c r="G12" i="5"/>
  <c r="J13" i="6"/>
  <c r="I14" i="6"/>
  <c r="H12" i="5" l="1"/>
  <c r="C12" i="4"/>
  <c r="E12" i="4" s="1"/>
  <c r="H11" i="4"/>
  <c r="G11" i="4"/>
  <c r="F11" i="4"/>
  <c r="F14" i="5"/>
  <c r="G13" i="5"/>
  <c r="J14" i="6"/>
  <c r="I15" i="6"/>
  <c r="H13" i="5" l="1"/>
  <c r="C13" i="4"/>
  <c r="E13" i="4" s="1"/>
  <c r="H12" i="4"/>
  <c r="G12" i="4"/>
  <c r="F12" i="4"/>
  <c r="F15" i="5"/>
  <c r="G14" i="5"/>
  <c r="J15" i="6"/>
  <c r="I16" i="6"/>
  <c r="H14" i="5" l="1"/>
  <c r="C14" i="4"/>
  <c r="E14" i="4" s="1"/>
  <c r="G13" i="4"/>
  <c r="I13" i="4"/>
  <c r="H13" i="4"/>
  <c r="F13" i="4"/>
  <c r="F16" i="5"/>
  <c r="G15" i="5"/>
  <c r="C15" i="4" s="1"/>
  <c r="E15" i="4" s="1"/>
  <c r="I17" i="6"/>
  <c r="J16" i="6"/>
  <c r="I14" i="4" l="1"/>
  <c r="H14" i="4"/>
  <c r="G14" i="4"/>
  <c r="F14" i="4"/>
  <c r="I15" i="4"/>
  <c r="H15" i="4"/>
  <c r="G15" i="4"/>
  <c r="F15" i="4"/>
  <c r="H15" i="5"/>
  <c r="F17" i="5"/>
  <c r="G16" i="5"/>
  <c r="I18" i="6"/>
  <c r="J17" i="6"/>
  <c r="H16" i="5" l="1"/>
  <c r="C16" i="4"/>
  <c r="E16" i="4" s="1"/>
  <c r="F18" i="5"/>
  <c r="G17" i="5"/>
  <c r="I19" i="6"/>
  <c r="J18" i="6"/>
  <c r="H17" i="5" l="1"/>
  <c r="C17" i="4"/>
  <c r="E17" i="4" s="1"/>
  <c r="I16" i="4"/>
  <c r="H16" i="4"/>
  <c r="G16" i="4"/>
  <c r="F16" i="4"/>
  <c r="F19" i="5"/>
  <c r="G18" i="5"/>
  <c r="I20" i="6"/>
  <c r="J19" i="6"/>
  <c r="H18" i="5" l="1"/>
  <c r="C18" i="4"/>
  <c r="E18" i="4" s="1"/>
  <c r="I17" i="4"/>
  <c r="H17" i="4"/>
  <c r="G17" i="4"/>
  <c r="F17" i="4"/>
  <c r="F20" i="5"/>
  <c r="G19" i="5"/>
  <c r="I21" i="6"/>
  <c r="J20" i="6"/>
  <c r="H19" i="5" l="1"/>
  <c r="C19" i="4"/>
  <c r="E19" i="4" s="1"/>
  <c r="I18" i="4"/>
  <c r="H18" i="4"/>
  <c r="G18" i="4"/>
  <c r="F18" i="4"/>
  <c r="F21" i="5"/>
  <c r="G20" i="5"/>
  <c r="C20" i="4" s="1"/>
  <c r="E20" i="4" s="1"/>
  <c r="J21" i="6"/>
  <c r="I22" i="6"/>
  <c r="I19" i="4" l="1"/>
  <c r="H19" i="4"/>
  <c r="G19" i="4"/>
  <c r="F19" i="4"/>
  <c r="I20" i="4"/>
  <c r="H20" i="4"/>
  <c r="G20" i="4"/>
  <c r="F20" i="4"/>
  <c r="H20" i="5"/>
  <c r="F22" i="5"/>
  <c r="G21" i="5"/>
  <c r="J22" i="6"/>
  <c r="I23" i="6"/>
  <c r="H21" i="5" l="1"/>
  <c r="C21" i="4"/>
  <c r="E21" i="4" s="1"/>
  <c r="F23" i="5"/>
  <c r="G22" i="5"/>
  <c r="J23" i="6"/>
  <c r="I24" i="6"/>
  <c r="H22" i="5" l="1"/>
  <c r="C22" i="4"/>
  <c r="E22" i="4" s="1"/>
  <c r="I21" i="4"/>
  <c r="H21" i="4"/>
  <c r="G21" i="4"/>
  <c r="F21" i="4"/>
  <c r="F24" i="5"/>
  <c r="G23" i="5"/>
  <c r="C23" i="4" s="1"/>
  <c r="E23" i="4" s="1"/>
  <c r="J24" i="6"/>
  <c r="I25" i="6"/>
  <c r="I23" i="4" l="1"/>
  <c r="H23" i="4"/>
  <c r="G23" i="4"/>
  <c r="F23" i="4"/>
  <c r="I22" i="4"/>
  <c r="H22" i="4"/>
  <c r="G22" i="4"/>
  <c r="F22" i="4"/>
  <c r="H23" i="5"/>
  <c r="F25" i="5"/>
  <c r="G24" i="5"/>
  <c r="J25" i="6"/>
  <c r="I26" i="6"/>
  <c r="H24" i="5" l="1"/>
  <c r="C24" i="4"/>
  <c r="E24" i="4" s="1"/>
  <c r="F26" i="5"/>
  <c r="G25" i="5"/>
  <c r="C25" i="4" s="1"/>
  <c r="E25" i="4" s="1"/>
  <c r="J26" i="6"/>
  <c r="I27" i="6"/>
  <c r="G25" i="4" l="1"/>
  <c r="I25" i="4"/>
  <c r="H25" i="4"/>
  <c r="F25" i="4"/>
  <c r="I24" i="4"/>
  <c r="H24" i="4"/>
  <c r="G24" i="4"/>
  <c r="F24" i="4"/>
  <c r="F27" i="5"/>
  <c r="G26" i="5"/>
  <c r="H25" i="5"/>
  <c r="J27" i="6"/>
  <c r="I28" i="6"/>
  <c r="H26" i="5" l="1"/>
  <c r="C26" i="4"/>
  <c r="E26" i="4" s="1"/>
  <c r="F28" i="5"/>
  <c r="G27" i="5"/>
  <c r="I29" i="6"/>
  <c r="J28" i="6"/>
  <c r="H27" i="5" l="1"/>
  <c r="C27" i="4"/>
  <c r="E27" i="4" s="1"/>
  <c r="I26" i="4"/>
  <c r="H26" i="4"/>
  <c r="G26" i="4"/>
  <c r="F26" i="4"/>
  <c r="F29" i="5"/>
  <c r="G28" i="5"/>
  <c r="I30" i="6"/>
  <c r="J30" i="6" s="1"/>
  <c r="J29" i="6"/>
  <c r="H28" i="5" l="1"/>
  <c r="C28" i="4"/>
  <c r="E28" i="4" s="1"/>
  <c r="F27" i="4"/>
  <c r="I27" i="4"/>
  <c r="H27" i="4"/>
  <c r="G27" i="4"/>
  <c r="F30" i="5"/>
  <c r="G30" i="5" s="1"/>
  <c r="C30" i="4" s="1"/>
  <c r="E30" i="4" s="1"/>
  <c r="G29" i="5"/>
  <c r="N4" i="6"/>
  <c r="N6" i="6"/>
  <c r="N8" i="6"/>
  <c r="H29" i="5" l="1"/>
  <c r="C29" i="4"/>
  <c r="E29" i="4" s="1"/>
  <c r="I30" i="4"/>
  <c r="H30" i="4"/>
  <c r="G30" i="4"/>
  <c r="F30" i="4"/>
  <c r="I28" i="4"/>
  <c r="H28" i="4"/>
  <c r="G28" i="4"/>
  <c r="F28" i="4"/>
  <c r="H30" i="5"/>
  <c r="L2" i="5"/>
  <c r="L4" i="5"/>
  <c r="L6" i="5"/>
  <c r="L8" i="5"/>
  <c r="L10" i="5"/>
  <c r="I29" i="4" l="1"/>
  <c r="M9" i="4" s="1"/>
  <c r="H29" i="4"/>
  <c r="M7" i="4" s="1"/>
  <c r="G29" i="4"/>
  <c r="M5" i="4" s="1"/>
  <c r="F29" i="4"/>
  <c r="M3" i="4" s="1"/>
  <c r="D10" i="2" s="1"/>
  <c r="C16" i="2" l="1"/>
  <c r="E16" i="2" s="1"/>
  <c r="C17" i="2"/>
  <c r="E17" i="2" s="1"/>
  <c r="C21" i="2"/>
  <c r="E21" i="2" s="1"/>
  <c r="C19" i="2"/>
  <c r="E19" i="2" s="1"/>
  <c r="C20" i="2"/>
  <c r="E20" i="2" s="1"/>
  <c r="C22" i="2"/>
  <c r="E22" i="2" s="1"/>
  <c r="C23" i="2"/>
  <c r="E23" i="2" s="1"/>
  <c r="C24" i="2"/>
  <c r="E24" i="2" s="1"/>
  <c r="C25" i="2"/>
  <c r="C18" i="2"/>
  <c r="E18" i="2" s="1"/>
  <c r="E25" i="2" l="1"/>
  <c r="E5" i="2" l="1"/>
  <c r="E6" i="2" s="1"/>
  <c r="E8" i="2" s="1"/>
</calcChain>
</file>

<file path=xl/sharedStrings.xml><?xml version="1.0" encoding="utf-8"?>
<sst xmlns="http://schemas.openxmlformats.org/spreadsheetml/2006/main" count="333" uniqueCount="200">
  <si>
    <t>Year</t>
  </si>
  <si>
    <t>High</t>
  </si>
  <si>
    <t>Low</t>
  </si>
  <si>
    <t>Close</t>
  </si>
  <si>
    <t>PE Ratios</t>
  </si>
  <si>
    <t>PB Ratios</t>
  </si>
  <si>
    <t>Dividend Yield</t>
  </si>
  <si>
    <t>Month</t>
  </si>
  <si>
    <t>Open</t>
  </si>
  <si>
    <t>Date</t>
  </si>
  <si>
    <t>Change %</t>
  </si>
  <si>
    <t>Implied ERP</t>
  </si>
  <si>
    <t>Industry name</t>
  </si>
  <si>
    <t>Number of firms</t>
  </si>
  <si>
    <t xml:space="preserve">  Dividends </t>
  </si>
  <si>
    <t>Dividends + Buybacks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</si>
  <si>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</si>
  <si>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</si>
  <si>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</si>
  <si>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</si>
  <si>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</si>
  <si>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</si>
  <si>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</si>
  <si>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</si>
  <si>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</si>
  <si>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</si>
  <si>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</si>
  <si>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</si>
  <si>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</si>
  <si>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</si>
  <si>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</si>
  <si>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</si>
  <si>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</si>
  <si>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</si>
  <si>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</si>
  <si>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</si>
  <si>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</si>
  <si>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</si>
  <si>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</si>
  <si>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</si>
  <si>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</si>
  <si>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</si>
  <si>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</si>
  <si>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</si>
  <si>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</si>
  <si>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</si>
  <si>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</si>
  <si>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</si>
  <si>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</si>
  <si>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</si>
  <si>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</si>
  <si>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</si>
  <si>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</si>
  <si>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</si>
  <si>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</si>
  <si>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</si>
  <si>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</si>
  <si>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</si>
  <si>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</si>
  <si>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</si>
  <si>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</si>
  <si>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</si>
  <si>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</si>
  <si>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</si>
  <si>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</si>
  <si>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</si>
  <si>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</si>
  <si>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</si>
  <si>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</si>
  <si>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</si>
  <si>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</si>
  <si>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</si>
  <si>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</si>
  <si>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</si>
  <si>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</si>
  <si>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</si>
  <si>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</si>
  <si>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</si>
  <si>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</si>
  <si>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</si>
  <si>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</si>
  <si>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</si>
  <si>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</si>
  <si>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</si>
  <si>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</si>
  <si>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</si>
  <si>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</si>
  <si>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</si>
  <si>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</si>
  <si>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</si>
  <si>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(REITs)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</si>
  <si>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</si>
  <si>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</si>
  <si>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</si>
  <si>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</si>
  <si>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</si>
  <si>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</si>
  <si>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</si>
  <si>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</si>
  <si>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</si>
  <si>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</si>
  <si>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</si>
  <si>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</si>
  <si>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</si>
  <si>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</si>
  <si>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</si>
  <si>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</si>
  <si>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</si>
  <si>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</si>
  <si>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</si>
  <si>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Buybacks</t>
  </si>
  <si>
    <t>Buyback%Dividend</t>
  </si>
  <si>
    <t>Mean</t>
  </si>
  <si>
    <t>Trimmed Mean</t>
  </si>
  <si>
    <t xml:space="preserve"> </t>
  </si>
  <si>
    <t>20 Years</t>
  </si>
  <si>
    <t>Latest</t>
  </si>
  <si>
    <t>5 Years</t>
  </si>
  <si>
    <t>7 Years</t>
  </si>
  <si>
    <t>15 Years</t>
  </si>
  <si>
    <t>10Yr Bond Average Range</t>
  </si>
  <si>
    <t>Closing Price</t>
  </si>
  <si>
    <t>Monthly Returns</t>
  </si>
  <si>
    <t>Sensex Average Range</t>
  </si>
  <si>
    <t>Average Returns</t>
  </si>
  <si>
    <t>10 Years</t>
  </si>
  <si>
    <t>Source: BSE</t>
  </si>
  <si>
    <t>Source: Investing.com</t>
  </si>
  <si>
    <t>Source: Market Premia</t>
  </si>
  <si>
    <t>Source: Damodaran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</si>
  <si>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</si>
  <si>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</si>
  <si>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</si>
  <si>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</si>
  <si>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</si>
  <si>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</si>
  <si>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</si>
  <si>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</si>
  <si>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</si>
  <si>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</si>
  <si>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</si>
  <si>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</si>
  <si>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</si>
  <si>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</si>
  <si>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</si>
  <si>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</si>
  <si>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</si>
  <si>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</si>
  <si>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</si>
  <si>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</si>
  <si>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</si>
  <si>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</si>
  <si>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</si>
  <si>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</si>
  <si>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</si>
  <si>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</si>
  <si>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</si>
  <si>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</si>
  <si>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EPS CAGR 3Yr</t>
  </si>
  <si>
    <t>EPS CAGR 5Yr</t>
  </si>
  <si>
    <t>EPS CAGR 7Yr</t>
  </si>
  <si>
    <t>EPS CAGR 10Yr</t>
  </si>
  <si>
    <t>3 Years</t>
  </si>
  <si>
    <t>Dividend Amount</t>
  </si>
  <si>
    <t>BB Amount</t>
  </si>
  <si>
    <t>Total Earnings</t>
  </si>
  <si>
    <t>Sensex Total Earning Yield</t>
  </si>
  <si>
    <t xml:space="preserve">Key Inputs </t>
  </si>
  <si>
    <t>Assumptions</t>
  </si>
  <si>
    <t xml:space="preserve">Date </t>
  </si>
  <si>
    <t>Total Yield</t>
  </si>
  <si>
    <t>Risk Free Rate</t>
  </si>
  <si>
    <t>Equity Risk Premium</t>
  </si>
  <si>
    <t>Cost of Equity</t>
  </si>
  <si>
    <t>Expected Dividend and Buyback Yield</t>
  </si>
  <si>
    <t>Cumulative PV Factor [Risk-free Rate + Equity Rsik Premium]</t>
  </si>
  <si>
    <t>Present Value of Expected Dividends and Buybacks</t>
  </si>
  <si>
    <t>EPS Growth</t>
  </si>
  <si>
    <t>Rf</t>
  </si>
  <si>
    <t>ERP</t>
  </si>
  <si>
    <t>Terminal Value</t>
  </si>
  <si>
    <t>Average implied ERP -</t>
  </si>
  <si>
    <t>Average EPS CAGR -</t>
  </si>
  <si>
    <t>Index</t>
  </si>
  <si>
    <t>Previous Close</t>
  </si>
  <si>
    <t>Ticker Symbol</t>
  </si>
  <si>
    <t>Intrinsic Value</t>
  </si>
  <si>
    <t>Rate</t>
  </si>
  <si>
    <t>Average 10Y Bond Yield -</t>
  </si>
  <si>
    <t>Expected Growth (Earnings)</t>
  </si>
  <si>
    <t>Index Average Range</t>
  </si>
  <si>
    <t>Index EPS</t>
  </si>
  <si>
    <t>Valuing the BSE 100</t>
  </si>
  <si>
    <t>BSE-100</t>
  </si>
  <si>
    <t>Current Index Level</t>
  </si>
  <si>
    <t>CAGR Sensex Returns -</t>
  </si>
  <si>
    <t>Average Sensex Earning Yield -</t>
  </si>
  <si>
    <t>BB Yield</t>
  </si>
  <si>
    <t>CAGR</t>
  </si>
  <si>
    <t>BSE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</si>
</sst>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₹&quot;\ #,##0.00;&quot;₹&quot;\ \-#,##0.00"/>
    <numFmt numFmtId="164" formatCode="&quot;$&quot;#,##0.00"/>
    <numFmt numFmtId="165" formatCode="#,##0.0"/>
    <numFmt numFmtId="166" formatCode="0.0"/>
    <numFmt numFmtId="167" formatCode="&quot;₹&quot;\ #,##0.0;&quot;₹&quot;\ \-#,##0.0"/>
    <numFmt numFmtId="168" formatCode="0.000"/>
  </numFmts>
  <fonts count="20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Verdana"/>
      <family val="2"/>
    </font>
    <font>
      <sz val="11"/>
      <color rgb="FF0000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i/>
      <sz val="11"/>
      <color theme="0" tint="-0.499984740745262"/>
      <name val="Calibri"/>
      <family val="2"/>
    </font>
    <font>
      <b/>
      <i/>
      <sz val="11"/>
      <color theme="1"/>
      <name val="Calibri"/>
      <family val="2"/>
    </font>
    <font>
      <i/>
      <sz val="11"/>
      <color theme="2" tint="-0.89999084444715716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8"/>
      <color theme="0"/>
      <name val="Calibri"/>
      <family val="2"/>
    </font>
    <font>
      <b/>
      <sz val="14"/>
      <color theme="2" tint="-0.749992370372631"/>
      <name val="Calibri"/>
      <family val="2"/>
    </font>
    <font>
      <i/>
      <sz val="20"/>
      <color theme="1"/>
      <name val="Calibri"/>
      <family val="2"/>
    </font>
    <font>
      <b/>
      <sz val="14"/>
      <color rgb="FF0000FF"/>
      <name val="Calibri"/>
      <family val="2"/>
    </font>
    <font>
      <sz val="10"/>
      <color rgb="FF000000"/>
      <name val="MyFirstFont"/>
    </font>
    <font>
      <u/>
      <sz val="11"/>
      <color theme="10"/>
      <name val="Calibri"/>
      <family val="2"/>
    </font>
    <font>
      <b/>
      <sz val="12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theme="0" tint="-0.499984740745262"/>
      </bottom>
      <diagonal/>
    </border>
    <border>
      <left style="thin">
        <color auto="1"/>
      </left>
      <right style="thin">
        <color auto="1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auto="1"/>
      </left>
      <right style="thin">
        <color auto="1"/>
      </right>
      <top style="dotted">
        <color theme="0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7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0" fontId="0" fillId="0" borderId="0" xfId="1" applyNumberFormat="1" applyFont="1" applyAlignment="1"/>
    <xf numFmtId="10" fontId="0" fillId="0" borderId="0" xfId="1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left"/>
    </xf>
    <xf numFmtId="10" fontId="0" fillId="3" borderId="0" xfId="0" applyNumberFormat="1" applyFill="1" applyAlignment="1">
      <alignment horizontal="right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5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14" fontId="0" fillId="0" borderId="7" xfId="0" applyNumberFormat="1" applyBorder="1" applyAlignment="1">
      <alignment horizontal="right"/>
    </xf>
    <xf numFmtId="0" fontId="3" fillId="0" borderId="1" xfId="0" applyFont="1" applyBorder="1" applyAlignment="1">
      <alignment horizontal="right"/>
    </xf>
    <xf numFmtId="10" fontId="0" fillId="0" borderId="1" xfId="1" applyNumberFormat="1" applyFont="1" applyBorder="1" applyAlignment="1">
      <alignment horizontal="right"/>
    </xf>
    <xf numFmtId="0" fontId="0" fillId="0" borderId="8" xfId="0" applyBorder="1" applyAlignment="1">
      <alignment horizontal="right"/>
    </xf>
    <xf numFmtId="0" fontId="4" fillId="5" borderId="0" xfId="0" applyFont="1" applyFill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0" fontId="12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4" fontId="0" fillId="0" borderId="11" xfId="0" applyNumberFormat="1" applyBorder="1" applyAlignment="1">
      <alignment horizontal="right"/>
    </xf>
    <xf numFmtId="167" fontId="16" fillId="2" borderId="3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67" fontId="9" fillId="0" borderId="6" xfId="0" applyNumberFormat="1" applyFont="1" applyBorder="1" applyAlignment="1">
      <alignment horizontal="right"/>
    </xf>
    <xf numFmtId="168" fontId="0" fillId="0" borderId="4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68" fontId="9" fillId="0" borderId="6" xfId="0" applyNumberFormat="1" applyFont="1" applyBorder="1" applyAlignment="1">
      <alignment horizontal="right"/>
    </xf>
    <xf numFmtId="167" fontId="11" fillId="0" borderId="3" xfId="0" applyNumberFormat="1" applyFont="1" applyBorder="1" applyAlignment="1">
      <alignment horizontal="center"/>
    </xf>
    <xf numFmtId="10" fontId="0" fillId="3" borderId="8" xfId="0" applyNumberFormat="1" applyFill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10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0" fontId="3" fillId="3" borderId="0" xfId="0" applyNumberFormat="1" applyFont="1" applyFill="1" applyAlignment="1">
      <alignment horizontal="center"/>
    </xf>
    <xf numFmtId="0" fontId="18" fillId="6" borderId="0" xfId="2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167" fontId="7" fillId="0" borderId="1" xfId="0" applyNumberFormat="1" applyFont="1" applyBorder="1" applyAlignment="1">
      <alignment horizontal="right"/>
    </xf>
    <xf numFmtId="0" fontId="6" fillId="0" borderId="0" xfId="0" applyFont="1"/>
    <xf numFmtId="0" fontId="4" fillId="5" borderId="0" xfId="0" applyFont="1" applyFill="1"/>
    <xf numFmtId="0" fontId="4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19" fillId="5" borderId="0" xfId="0" applyFont="1" applyFill="1" applyAlignment="1">
      <alignment horizontal="right"/>
    </xf>
    <xf numFmtId="0" fontId="19" fillId="5" borderId="9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center" wrapText="1"/>
    </xf>
    <xf numFmtId="0" fontId="19" fillId="5" borderId="10" xfId="0" applyFont="1" applyFill="1" applyBorder="1" applyAlignment="1">
      <alignment horizontal="center" wrapText="1"/>
    </xf>
    <xf numFmtId="0" fontId="4" fillId="5" borderId="0" xfId="0" applyFont="1" applyFill="1" applyAlignment="1">
      <alignment horizontal="left" wrapText="1"/>
    </xf>
    <xf numFmtId="0" fontId="4" fillId="5" borderId="0" xfId="0" applyFont="1" applyFill="1" applyAlignment="1">
      <alignment horizontal="right" wrapText="1"/>
    </xf>
    <xf numFmtId="0" fontId="5" fillId="0" borderId="0" xfId="0" applyFont="1" applyAlignment="1">
      <alignment horizontal="right"/>
    </xf>
    <xf numFmtId="167" fontId="0" fillId="0" borderId="0" xfId="0" applyNumberFormat="1"/>
    <xf numFmtId="7" fontId="0" fillId="0" borderId="0" xfId="0" applyNumberFormat="1"/>
    <xf numFmtId="0" fontId="19" fillId="5" borderId="0" xfId="0" applyFont="1" applyFill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3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3">
    <dxf>
      <font>
        <color theme="9" tint="-0.499984740745262"/>
      </font>
      <fill>
        <patternFill>
          <bgColor theme="9" tint="0.59996337778862885"/>
        </patternFill>
      </fill>
    </dxf>
    <dxf>
      <font>
        <color rgb="FF7E0000"/>
      </font>
      <fill>
        <patternFill>
          <bgColor rgb="FFFF9B9B"/>
        </patternFill>
      </fill>
    </dxf>
    <dxf>
      <font>
        <color rgb="FF8A8700"/>
      </font>
      <fill>
        <patternFill>
          <bgColor rgb="FFFFFFA3"/>
        </patternFill>
      </fill>
    </dxf>
  </dxfs>
  <tableStyles count="0" defaultTableStyle="TableStyleMedium2" defaultPivotStyle="PivotStyleLight16"/>
  <colors>
    <mruColors>
      <color rgb="FF0000FF"/>
      <color rgb="FF8A8700"/>
      <color rgb="FFB0AC00"/>
      <color rgb="FFFFFFA3"/>
      <color rgb="FFDFDA00"/>
      <color rgb="FFFF9B9B"/>
      <color rgb="FFFFFFFF"/>
      <color rgb="FF7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RfHistorical!$J$2</c:f>
              <c:strCache>
                <c:ptCount val="1"/>
                <c:pt idx="0">
                  <c:v>10Yr Bond Average Range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numRef>
              <c:f>RfHistorical!$I$3:$I$30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cat>
          <c:val>
            <c:numRef>
              <c:f>RfHistorical!$J$3:$J$30</c:f>
              <c:numCache>
                <c:formatCode>0.00%</c:formatCode>
                <c:ptCount val="28"/>
                <c:pt idx="0">
                  <c:v>0.12149700000000001</c:v>
                </c:pt>
                <c:pt idx="1">
                  <c:v>0.11739166666666667</c:v>
                </c:pt>
                <c:pt idx="2">
                  <c:v>0.11044916666666667</c:v>
                </c:pt>
                <c:pt idx="3">
                  <c:v>9.3700833333333344E-2</c:v>
                </c:pt>
                <c:pt idx="4">
                  <c:v>7.1952500000000016E-2</c:v>
                </c:pt>
                <c:pt idx="5">
                  <c:v>5.6047500000000007E-2</c:v>
                </c:pt>
                <c:pt idx="6">
                  <c:v>5.9314166666666675E-2</c:v>
                </c:pt>
                <c:pt idx="7">
                  <c:v>6.9710000000000008E-2</c:v>
                </c:pt>
                <c:pt idx="8">
                  <c:v>7.662833333333334E-2</c:v>
                </c:pt>
                <c:pt idx="9">
                  <c:v>7.9529166666666651E-2</c:v>
                </c:pt>
                <c:pt idx="10">
                  <c:v>7.8546666666666667E-2</c:v>
                </c:pt>
                <c:pt idx="11">
                  <c:v>6.948583333333333E-2</c:v>
                </c:pt>
                <c:pt idx="12">
                  <c:v>7.8485000000000013E-2</c:v>
                </c:pt>
                <c:pt idx="13">
                  <c:v>8.3657499999999996E-2</c:v>
                </c:pt>
                <c:pt idx="14">
                  <c:v>8.2949999999999996E-2</c:v>
                </c:pt>
                <c:pt idx="15">
                  <c:v>8.1975833333333317E-2</c:v>
                </c:pt>
                <c:pt idx="16">
                  <c:v>8.555083333333334E-2</c:v>
                </c:pt>
                <c:pt idx="17">
                  <c:v>7.7501666666666677E-2</c:v>
                </c:pt>
                <c:pt idx="18">
                  <c:v>7.1738333333333348E-2</c:v>
                </c:pt>
                <c:pt idx="19">
                  <c:v>6.7472499999999991E-2</c:v>
                </c:pt>
                <c:pt idx="20">
                  <c:v>7.718916666666667E-2</c:v>
                </c:pt>
                <c:pt idx="21">
                  <c:v>6.918500000000001E-2</c:v>
                </c:pt>
                <c:pt idx="22">
                  <c:v>6.0612500000000007E-2</c:v>
                </c:pt>
                <c:pt idx="23">
                  <c:v>6.1889999999999994E-2</c:v>
                </c:pt>
                <c:pt idx="24">
                  <c:v>7.1882500000000002E-2</c:v>
                </c:pt>
                <c:pt idx="25">
                  <c:v>7.2236666666666671E-2</c:v>
                </c:pt>
                <c:pt idx="26">
                  <c:v>6.9460000000000008E-2</c:v>
                </c:pt>
                <c:pt idx="27">
                  <c:v>6.5046666666666655E-2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6-44A7-A38C-C5B59C66E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73008"/>
        <c:axId val="169572048"/>
      </c:lineChart>
      <c:catAx>
        <c:axId val="1695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6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2048"/>
        <c:crosses val="autoZero"/>
        <c:auto val="1"/>
        <c:lblAlgn val="ctr"/>
        <c:lblOffset val="100"/>
        <c:noMultiLvlLbl val="0"/>
      </c:catAx>
      <c:valAx>
        <c:axId val="1695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ERPHistorical!$C$2</c:f>
              <c:strCache>
                <c:ptCount val="1"/>
                <c:pt idx="0">
                  <c:v>Implied ERP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numRef>
              <c:f>ERPHistorical!$B$3:$B$31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ERPHistorical!$C$3:$C$31</c:f>
              <c:numCache>
                <c:formatCode>0.00%</c:formatCode>
                <c:ptCount val="29"/>
                <c:pt idx="0">
                  <c:v>0.02</c:v>
                </c:pt>
                <c:pt idx="1">
                  <c:v>0.02</c:v>
                </c:pt>
                <c:pt idx="2">
                  <c:v>1.9699999999999999E-2</c:v>
                </c:pt>
                <c:pt idx="3">
                  <c:v>1.9900000000000001E-2</c:v>
                </c:pt>
                <c:pt idx="4">
                  <c:v>5.5E-2</c:v>
                </c:pt>
                <c:pt idx="5">
                  <c:v>4.9200000000000001E-2</c:v>
                </c:pt>
                <c:pt idx="6">
                  <c:v>7.0800000000000002E-2</c:v>
                </c:pt>
                <c:pt idx="7">
                  <c:v>4.5599999999999995E-2</c:v>
                </c:pt>
                <c:pt idx="8">
                  <c:v>4.8600000000000004E-2</c:v>
                </c:pt>
                <c:pt idx="9">
                  <c:v>3.1800000000000002E-2</c:v>
                </c:pt>
                <c:pt idx="10">
                  <c:v>3.0800000000000001E-2</c:v>
                </c:pt>
                <c:pt idx="11">
                  <c:v>4.1100000000000005E-2</c:v>
                </c:pt>
                <c:pt idx="12">
                  <c:v>3.2199999999999999E-2</c:v>
                </c:pt>
                <c:pt idx="13">
                  <c:v>2.7000000000000003E-2</c:v>
                </c:pt>
                <c:pt idx="14">
                  <c:v>3.6600000000000001E-2</c:v>
                </c:pt>
                <c:pt idx="15">
                  <c:v>3.6499999999999998E-2</c:v>
                </c:pt>
                <c:pt idx="16">
                  <c:v>2.8199999999999999E-2</c:v>
                </c:pt>
                <c:pt idx="17">
                  <c:v>2.3599999999999999E-2</c:v>
                </c:pt>
                <c:pt idx="18">
                  <c:v>2.5600000000000001E-2</c:v>
                </c:pt>
                <c:pt idx="19">
                  <c:v>2.3799999999999998E-2</c:v>
                </c:pt>
                <c:pt idx="20">
                  <c:v>1.9299999999999998E-2</c:v>
                </c:pt>
                <c:pt idx="21">
                  <c:v>2.0099999999999996E-2</c:v>
                </c:pt>
                <c:pt idx="22">
                  <c:v>2.1899999999999999E-2</c:v>
                </c:pt>
                <c:pt idx="23">
                  <c:v>2.0499999999999997E-2</c:v>
                </c:pt>
                <c:pt idx="24">
                  <c:v>1.7399999999999999E-2</c:v>
                </c:pt>
                <c:pt idx="25">
                  <c:v>1.8000000000000002E-2</c:v>
                </c:pt>
                <c:pt idx="26">
                  <c:v>1.6500000000000001E-2</c:v>
                </c:pt>
                <c:pt idx="27">
                  <c:v>1.43E-2</c:v>
                </c:pt>
                <c:pt idx="28">
                  <c:v>1.67E-2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5B-4CCB-A3D1-67CDF1995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73008"/>
        <c:axId val="169572048"/>
      </c:lineChart>
      <c:catAx>
        <c:axId val="1695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6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2048"/>
        <c:crosses val="autoZero"/>
        <c:auto val="1"/>
        <c:lblAlgn val="ctr"/>
        <c:lblOffset val="100"/>
        <c:noMultiLvlLbl val="0"/>
      </c:catAx>
      <c:valAx>
        <c:axId val="1695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Historic</a:t>
            </a:r>
            <a:r>
              <a:rPr lang="en-IN" baseline="0"/>
              <a:t> Dividends and Buyback Amounts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'ExpDiv&amp;BB'!$E$2</c:f>
              <c:strCache>
                <c:ptCount val="1"/>
                <c:pt idx="0">
                  <c:v>Dividend Amount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strRef>
              <c:f>'ExpDiv&amp;BB'!$B$3:$B$30</c:f>
              <c:strCach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strCache>
            </c:strRef>
          </c:cat>
          <c:val>
            <c:numRef>
              <c:f>'ExpDiv&amp;BB'!$E$3:$E$30</c:f>
              <c:numCache>
                <c:formatCode>#,##0.0</c:formatCode>
                <c:ptCount val="28"/>
                <c:pt idx="0">
                  <c:v>19.499755454545454</c:v>
                </c:pt>
                <c:pt idx="1">
                  <c:v>13.513746833333332</c:v>
                </c:pt>
                <c:pt idx="2">
                  <c:v>17.120845333333332</c:v>
                </c:pt>
                <c:pt idx="3">
                  <c:v>20.331692499999999</c:v>
                </c:pt>
                <c:pt idx="4">
                  <c:v>26.651776666666667</c:v>
                </c:pt>
                <c:pt idx="5">
                  <c:v>29.657861749999991</c:v>
                </c:pt>
                <c:pt idx="6">
                  <c:v>38.196685083333335</c:v>
                </c:pt>
                <c:pt idx="7">
                  <c:v>39.140385916666666</c:v>
                </c:pt>
                <c:pt idx="8">
                  <c:v>47.525174416666665</c:v>
                </c:pt>
                <c:pt idx="9">
                  <c:v>46.473653833333323</c:v>
                </c:pt>
                <c:pt idx="10">
                  <c:v>61.054314749999989</c:v>
                </c:pt>
                <c:pt idx="11">
                  <c:v>46.704905749999995</c:v>
                </c:pt>
                <c:pt idx="12">
                  <c:v>54.962826333333332</c:v>
                </c:pt>
                <c:pt idx="13">
                  <c:v>71.209740583333328</c:v>
                </c:pt>
                <c:pt idx="14">
                  <c:v>85.716764333333344</c:v>
                </c:pt>
                <c:pt idx="15">
                  <c:v>88.006787916666681</c:v>
                </c:pt>
                <c:pt idx="16">
                  <c:v>91.547935833333341</c:v>
                </c:pt>
                <c:pt idx="17">
                  <c:v>113.69865375000001</c:v>
                </c:pt>
                <c:pt idx="18">
                  <c:v>112.25126250000001</c:v>
                </c:pt>
                <c:pt idx="19">
                  <c:v>129.43053750000001</c:v>
                </c:pt>
                <c:pt idx="20">
                  <c:v>140.37849000000003</c:v>
                </c:pt>
                <c:pt idx="21">
                  <c:v>148.14988150000002</c:v>
                </c:pt>
                <c:pt idx="22">
                  <c:v>122.63229391666664</c:v>
                </c:pt>
                <c:pt idx="23">
                  <c:v>174.85317900000001</c:v>
                </c:pt>
                <c:pt idx="24">
                  <c:v>238.61505375000004</c:v>
                </c:pt>
                <c:pt idx="25">
                  <c:v>251.96330249999997</c:v>
                </c:pt>
                <c:pt idx="26">
                  <c:v>293.32014216666664</c:v>
                </c:pt>
                <c:pt idx="27">
                  <c:v>309.33936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42-48F7-A048-A9FB1F7A47A1}"/>
            </c:ext>
          </c:extLst>
        </c:ser>
        <c:ser>
          <c:idx val="1"/>
          <c:order val="1"/>
          <c:tx>
            <c:strRef>
              <c:f>'ExpDiv&amp;BB'!$F$2</c:f>
              <c:strCache>
                <c:ptCount val="1"/>
                <c:pt idx="0">
                  <c:v>BB Amount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'ExpDiv&amp;BB'!$B$3:$B$30</c:f>
              <c:strCach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strCache>
            </c:strRef>
          </c:cat>
          <c:val>
            <c:numRef>
              <c:f>'ExpDiv&amp;BB'!$F$3:$F$30</c:f>
              <c:numCache>
                <c:formatCode>#,##0.0</c:formatCode>
                <c:ptCount val="28"/>
                <c:pt idx="0">
                  <c:v>3.3221925912545505</c:v>
                </c:pt>
                <c:pt idx="1">
                  <c:v>2.30235039174937</c:v>
                </c:pt>
                <c:pt idx="2">
                  <c:v>2.9168953249183658</c:v>
                </c:pt>
                <c:pt idx="3">
                  <c:v>3.4639305271605636</c:v>
                </c:pt>
                <c:pt idx="4">
                  <c:v>4.5406895072179694</c:v>
                </c:pt>
                <c:pt idx="5">
                  <c:v>5.0528391911363304</c:v>
                </c:pt>
                <c:pt idx="6">
                  <c:v>6.5076069538478842</c:v>
                </c:pt>
                <c:pt idx="7">
                  <c:v>6.6683861966526923</c:v>
                </c:pt>
                <c:pt idx="8">
                  <c:v>8.0969108927120494</c:v>
                </c:pt>
                <c:pt idx="9">
                  <c:v>7.9177622926362794</c:v>
                </c:pt>
                <c:pt idx="10">
                  <c:v>10.401883890256281</c:v>
                </c:pt>
                <c:pt idx="11">
                  <c:v>7.9571609100217273</c:v>
                </c:pt>
                <c:pt idx="12">
                  <c:v>9.3640709938465694</c:v>
                </c:pt>
                <c:pt idx="13">
                  <c:v>12.132073817159727</c:v>
                </c:pt>
                <c:pt idx="14">
                  <c:v>14.603649777983863</c:v>
                </c:pt>
                <c:pt idx="15">
                  <c:v>14.993803357093226</c:v>
                </c:pt>
                <c:pt idx="16">
                  <c:v>15.597112224258744</c:v>
                </c:pt>
                <c:pt idx="17">
                  <c:v>19.370951907800293</c:v>
                </c:pt>
                <c:pt idx="18">
                  <c:v>19.124358431353606</c:v>
                </c:pt>
                <c:pt idx="19">
                  <c:v>22.051208476276638</c:v>
                </c:pt>
                <c:pt idx="20">
                  <c:v>23.91642195393738</c:v>
                </c:pt>
                <c:pt idx="21">
                  <c:v>25.240441597425797</c:v>
                </c:pt>
                <c:pt idx="22">
                  <c:v>20.892985004257184</c:v>
                </c:pt>
                <c:pt idx="23">
                  <c:v>29.789908759891507</c:v>
                </c:pt>
                <c:pt idx="24">
                  <c:v>40.653082320848789</c:v>
                </c:pt>
                <c:pt idx="25">
                  <c:v>42.927236640724402</c:v>
                </c:pt>
                <c:pt idx="26">
                  <c:v>49.973242251337069</c:v>
                </c:pt>
                <c:pt idx="27">
                  <c:v>52.702452211310565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42-48F7-A048-A9FB1F7A4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73008"/>
        <c:axId val="169572048"/>
      </c:lineChart>
      <c:catAx>
        <c:axId val="1695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6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2048"/>
        <c:crosses val="autoZero"/>
        <c:auto val="1"/>
        <c:lblAlgn val="ctr"/>
        <c:lblOffset val="100"/>
        <c:noMultiLvlLbl val="0"/>
      </c:catAx>
      <c:valAx>
        <c:axId val="1695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BSE</a:t>
            </a:r>
            <a:r>
              <a:rPr lang="en-US" baseline="0"/>
              <a:t> 100 </a:t>
            </a:r>
            <a:r>
              <a:rPr lang="en-US"/>
              <a:t>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IndexEPSGrowth!$E$2</c:f>
              <c:strCache>
                <c:ptCount val="1"/>
                <c:pt idx="0">
                  <c:v>Index EPS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strRef>
              <c:f>IndexEPSGrowth!$B$3:$B$30</c:f>
              <c:strCach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strCache>
            </c:strRef>
          </c:cat>
          <c:val>
            <c:numRef>
              <c:f>IndexEPSGrowth!$E$3:$E$30</c:f>
              <c:numCache>
                <c:formatCode>0.0</c:formatCode>
                <c:ptCount val="28"/>
                <c:pt idx="0">
                  <c:v>74.174580450170993</c:v>
                </c:pt>
                <c:pt idx="1">
                  <c:v>46.995509828878518</c:v>
                </c:pt>
                <c:pt idx="2">
                  <c:v>57.054269972451785</c:v>
                </c:pt>
                <c:pt idx="3">
                  <c:v>64.117604856512131</c:v>
                </c:pt>
                <c:pt idx="4">
                  <c:v>74.350146784093937</c:v>
                </c:pt>
                <c:pt idx="5">
                  <c:v>82.610817477096532</c:v>
                </c:pt>
                <c:pt idx="6">
                  <c:v>121.9982787274454</c:v>
                </c:pt>
                <c:pt idx="7">
                  <c:v>151.37249455337692</c:v>
                </c:pt>
                <c:pt idx="8">
                  <c:v>181.81293675751223</c:v>
                </c:pt>
                <c:pt idx="9">
                  <c:v>213.60224401842765</c:v>
                </c:pt>
                <c:pt idx="10">
                  <c:v>255.35481459330143</c:v>
                </c:pt>
                <c:pt idx="11">
                  <c:v>197.82083529227393</c:v>
                </c:pt>
                <c:pt idx="12">
                  <c:v>255.97679902631981</c:v>
                </c:pt>
                <c:pt idx="13">
                  <c:v>286.622903283369</c:v>
                </c:pt>
                <c:pt idx="14">
                  <c:v>302.40310293571162</c:v>
                </c:pt>
                <c:pt idx="15">
                  <c:v>358.62148350536336</c:v>
                </c:pt>
                <c:pt idx="16">
                  <c:v>398.93297005139118</c:v>
                </c:pt>
                <c:pt idx="17">
                  <c:v>408.24636451769265</c:v>
                </c:pt>
                <c:pt idx="18">
                  <c:v>367.42856090735012</c:v>
                </c:pt>
                <c:pt idx="19">
                  <c:v>417.88317367763432</c:v>
                </c:pt>
                <c:pt idx="20">
                  <c:v>485.66477768090675</c:v>
                </c:pt>
                <c:pt idx="21">
                  <c:v>477.89205243752565</c:v>
                </c:pt>
                <c:pt idx="22">
                  <c:v>398.11285090823299</c:v>
                </c:pt>
                <c:pt idx="23">
                  <c:v>573.71045948499886</c:v>
                </c:pt>
                <c:pt idx="24">
                  <c:v>774.88773198889385</c:v>
                </c:pt>
                <c:pt idx="25">
                  <c:v>808.58541927409249</c:v>
                </c:pt>
                <c:pt idx="26">
                  <c:v>1060.0272565742714</c:v>
                </c:pt>
                <c:pt idx="27">
                  <c:v>1125.1977302487996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6-4955-AC88-47E737983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73008"/>
        <c:axId val="169572048"/>
      </c:lineChart>
      <c:catAx>
        <c:axId val="1695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6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2048"/>
        <c:crosses val="autoZero"/>
        <c:auto val="1"/>
        <c:lblAlgn val="ctr"/>
        <c:lblOffset val="100"/>
        <c:noMultiLvlLbl val="0"/>
      </c:catAx>
      <c:valAx>
        <c:axId val="1695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beve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486796</xdr:colOff>
      <xdr:row>10</xdr:row>
      <xdr:rowOff>179274</xdr:rowOff>
    </xdr:from>
    <xdr:to>
      <xdr:col>16</xdr:col>
      <xdr:colOff>515371</xdr:colOff>
      <xdr:row>25</xdr:row>
      <xdr:rowOff>68376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44D22-52B9-5FA3-89E4-5ADBE0FD9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600676</xdr:colOff>
      <xdr:row>12</xdr:row>
      <xdr:rowOff>154459</xdr:rowOff>
    </xdr:from>
    <xdr:to>
      <xdr:col>10</xdr:col>
      <xdr:colOff>139737</xdr:colOff>
      <xdr:row>26</xdr:row>
      <xdr:rowOff>183034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95275A-4573-453C-86AE-700260E8A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14</xdr:row>
      <xdr:rowOff>57150</xdr:rowOff>
    </xdr:from>
    <xdr:to>
      <xdr:col>14</xdr:col>
      <xdr:colOff>257175</xdr:colOff>
      <xdr:row>29</xdr:row>
      <xdr:rowOff>118848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643DA-DAD1-4788-BB1C-ECCD39E12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628650</xdr:colOff>
      <xdr:row>12</xdr:row>
      <xdr:rowOff>161925</xdr:rowOff>
    </xdr:from>
    <xdr:to>
      <xdr:col>15</xdr:col>
      <xdr:colOff>498511</xdr:colOff>
      <xdr:row>26</xdr:row>
      <xdr:rowOff>166473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8EC8C-F556-4EDD-837A-F64A5FEAC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B9EA-84C1-4555-8837-3BC5A6ED73F7}">
  <sheetPr>
    <tabColor theme="4" tint="-0.499984740745262"/>
  </sheetPr>
  <dimension ref="A1"/>
  <sheetViews>
    <sheetView showGridLines="0" workbookViewId="0">
      <selection activeCell="F35" sqref="F35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7476-9F29-4D17-9E20-F237FD2CFA9B}">
  <dimension ref="B1:P35"/>
  <sheetViews>
    <sheetView showGridLines="0" workbookViewId="0">
      <selection activeCell="B5" sqref="B5"/>
    </sheetView>
  </sheetViews>
  <sheetFormatPr defaultRowHeight="15"/>
  <cols>
    <col min="2" max="2" width="43" customWidth="1"/>
    <col min="3" max="3" width="25.42578125" customWidth="1"/>
    <col min="4" max="4" width="35" customWidth="1"/>
    <col min="5" max="5" width="34.5703125" customWidth="1"/>
    <col min="8" max="8" width="10.28515625" bestFit="1" customWidth="1"/>
    <col min="9" max="9" width="11.140625" bestFit="1" customWidth="1"/>
    <col min="10" max="10" width="8.7109375" customWidth="1"/>
    <col min="11" max="11" width="7.5703125" customWidth="1"/>
  </cols>
  <sheetData>
    <row r="1" spans="2:16">
      <c r="G1" s="17"/>
      <c r="H1" s="17"/>
      <c r="I1" s="17"/>
      <c r="J1" s="17"/>
      <c r="K1" s="17"/>
      <c r="L1" s="17"/>
      <c r="M1" s="17"/>
      <c r="N1" s="17"/>
      <c r="O1" s="17"/>
    </row>
    <row r="2" spans="2:16" ht="23.25">
      <c r="B2" s="75" t="s">
        <v>192</v>
      </c>
      <c r="C2" s="75"/>
      <c r="D2" s="75"/>
      <c r="E2" s="75"/>
      <c r="G2" s="56"/>
      <c r="H2" s="56" t="s">
        <v>170</v>
      </c>
      <c r="I2" s="56" t="s">
        <v>177</v>
      </c>
      <c r="J2" s="56" t="s">
        <v>178</v>
      </c>
      <c r="K2" s="56" t="s">
        <v>179</v>
      </c>
      <c r="L2" s="56"/>
      <c r="M2" s="56"/>
      <c r="N2" s="17"/>
      <c r="O2" s="17"/>
      <c r="P2" s="17"/>
    </row>
    <row r="3" spans="2:16" ht="18.75">
      <c r="B3" s="25" t="s">
        <v>183</v>
      </c>
      <c r="C3" s="25" t="s">
        <v>184</v>
      </c>
      <c r="D3" s="25" t="s">
        <v>185</v>
      </c>
      <c r="E3" s="25" t="s">
        <v>186</v>
      </c>
      <c r="G3" s="56"/>
      <c r="H3" s="56"/>
      <c r="I3" s="56"/>
      <c r="J3" s="56"/>
      <c r="K3" s="56"/>
      <c r="L3" s="56"/>
      <c r="M3" s="56"/>
      <c r="N3" s="17"/>
      <c r="O3" s="17"/>
    </row>
    <row r="4" spans="2:16" ht="3.75" customHeight="1">
      <c r="B4" s="24"/>
      <c r="C4" s="24"/>
      <c r="D4" s="24"/>
      <c r="E4" s="23"/>
      <c r="G4" s="56"/>
      <c r="H4" s="56" t="s">
        <v>115</v>
      </c>
      <c r="I4" s="56" t="s">
        <v>125</v>
      </c>
      <c r="J4" s="56" t="s">
        <v>115</v>
      </c>
      <c r="K4" s="56" t="s">
        <v>115</v>
      </c>
      <c r="L4" s="56"/>
      <c r="M4" s="56"/>
      <c r="N4" s="17"/>
      <c r="O4" s="17"/>
    </row>
    <row r="5" spans="2:16" ht="18.75">
      <c r="B5" s="35" t="s">
        <v>199</v>
      </c>
      <c r="C5" s="38">
        <v>27577.11</v>
      </c>
      <c r="D5" s="36" t="s">
        <v>193</v>
      </c>
      <c r="E5" s="45">
        <f>SUM(E16:E26)</f>
        <v>25391.146893784815</v>
      </c>
      <c r="G5" s="56"/>
      <c r="H5" s="56" t="s">
        <v>119</v>
      </c>
      <c r="I5" s="56" t="s">
        <v>125</v>
      </c>
      <c r="J5" s="56" t="s">
        <v>119</v>
      </c>
      <c r="K5" s="56" t="s">
        <v>115</v>
      </c>
      <c r="L5" s="56"/>
      <c r="M5" s="56"/>
      <c r="N5" s="17"/>
      <c r="O5" s="17"/>
    </row>
    <row r="6" spans="2:16" ht="15.75">
      <c r="B6" s="69" t="s">
        <v>167</v>
      </c>
      <c r="C6" s="69"/>
      <c r="D6" s="60" t="s">
        <v>168</v>
      </c>
      <c r="E6" s="70" t="str">
        <f>IF(E5&gt;(1.05*D8),"Undervalued",IF(E5&lt;(0.95*D8),"Overvalued","Fairly Valued"))</f>
        <v>Overvalued</v>
      </c>
      <c r="G6" s="56"/>
      <c r="H6" s="56" t="s">
        <v>125</v>
      </c>
      <c r="I6" s="56" t="s">
        <v>118</v>
      </c>
      <c r="J6" s="56" t="s">
        <v>118</v>
      </c>
      <c r="K6" s="56" t="s">
        <v>119</v>
      </c>
      <c r="L6" s="56"/>
      <c r="M6" s="56"/>
      <c r="N6" s="17"/>
      <c r="O6" s="17"/>
    </row>
    <row r="7" spans="2:16">
      <c r="B7" s="47" t="s">
        <v>169</v>
      </c>
      <c r="C7" s="27">
        <f ca="1">TODAY()</f>
        <v>46036</v>
      </c>
      <c r="D7" s="37">
        <f ca="1">C7</f>
        <v>46036</v>
      </c>
      <c r="E7" s="71"/>
      <c r="G7" s="56"/>
      <c r="H7" s="56" t="s">
        <v>118</v>
      </c>
      <c r="I7" s="56" t="s">
        <v>117</v>
      </c>
      <c r="J7" s="56" t="s">
        <v>117</v>
      </c>
      <c r="K7" s="56" t="s">
        <v>118</v>
      </c>
      <c r="L7" s="56"/>
      <c r="M7" s="56"/>
      <c r="N7" s="17"/>
      <c r="O7" s="17"/>
    </row>
    <row r="8" spans="2:16" ht="15" customHeight="1">
      <c r="B8" s="48" t="s">
        <v>194</v>
      </c>
      <c r="C8" s="55">
        <f>C5</f>
        <v>27577.11</v>
      </c>
      <c r="D8" s="32">
        <f>C8</f>
        <v>27577.11</v>
      </c>
      <c r="E8" s="72" t="str">
        <f>"The Market Implied Fair value of the Index is "&amp;ROUND(E5,0)&amp;". The Index is Currently Trading at "&amp;ROUND(D8,0)&amp;". A "&amp;TEXT(ABS((D8-E5)/D8),"0.00%")&amp;" "&amp;IF(E6="Undervalued","apppreciation",IF(E6="Overvalued","correction","adjustment"))&amp;" can be expected from this level"</f>
        <v>The Market Implied Fair value of the Index is 25391. The Index is Currently Trading at 27577. A 7.93% correction can be expected from this level</v>
      </c>
      <c r="G8" s="56"/>
      <c r="H8" s="56" t="s">
        <v>117</v>
      </c>
      <c r="I8" s="56" t="s">
        <v>162</v>
      </c>
      <c r="J8" s="56" t="s">
        <v>116</v>
      </c>
      <c r="K8" s="56" t="s">
        <v>117</v>
      </c>
      <c r="L8" s="56"/>
      <c r="M8" s="56"/>
      <c r="N8" s="17"/>
      <c r="O8" s="17"/>
    </row>
    <row r="9" spans="2:16">
      <c r="B9" s="48" t="s">
        <v>170</v>
      </c>
      <c r="C9" s="28" t="s">
        <v>162</v>
      </c>
      <c r="D9" s="29">
        <f>VLOOKUP(C9,'ExpDiv&amp;BB'!K2:L12,2,0)</f>
        <v>1.4356550779028173E-2</v>
      </c>
      <c r="E9" s="73"/>
      <c r="G9" s="56"/>
      <c r="H9" s="56" t="s">
        <v>162</v>
      </c>
      <c r="I9" s="56"/>
      <c r="J9" s="56"/>
      <c r="K9" s="56" t="s">
        <v>116</v>
      </c>
      <c r="L9" s="56"/>
      <c r="M9" s="56"/>
      <c r="N9" s="17"/>
      <c r="O9" s="17"/>
    </row>
    <row r="10" spans="2:16">
      <c r="B10" s="48" t="s">
        <v>189</v>
      </c>
      <c r="C10" s="28" t="s">
        <v>125</v>
      </c>
      <c r="D10" s="29">
        <f>VLOOKUP(C10,IndexEPSGrowth!L3:M9,2,0)</f>
        <v>0.12365601674591493</v>
      </c>
      <c r="E10" s="73"/>
      <c r="G10" s="56"/>
      <c r="H10" s="56"/>
      <c r="I10" s="56"/>
      <c r="J10" s="56"/>
      <c r="K10" s="56"/>
      <c r="L10" s="56"/>
      <c r="M10" s="56"/>
      <c r="N10" s="17"/>
      <c r="O10" s="17"/>
    </row>
    <row r="11" spans="2:16">
      <c r="B11" s="48" t="s">
        <v>171</v>
      </c>
      <c r="C11" s="28" t="s">
        <v>116</v>
      </c>
      <c r="D11" s="29">
        <f>VLOOKUP(C11,RfHistorical!M2:N10,2,0)</f>
        <v>6.6000000000000003E-2</v>
      </c>
      <c r="E11" s="73"/>
      <c r="G11" s="56"/>
      <c r="H11" s="56"/>
      <c r="I11" s="56"/>
      <c r="J11" s="56"/>
      <c r="K11" s="56"/>
      <c r="L11" s="56"/>
      <c r="M11" s="56"/>
      <c r="N11" s="17"/>
      <c r="O11" s="17"/>
    </row>
    <row r="12" spans="2:16">
      <c r="B12" s="48" t="s">
        <v>172</v>
      </c>
      <c r="C12" s="28" t="s">
        <v>116</v>
      </c>
      <c r="D12" s="29">
        <f>VLOOKUP(C12,ERPHistorical!F2:G10,2,0)</f>
        <v>2.7E-2</v>
      </c>
      <c r="E12" s="73"/>
      <c r="G12" s="56"/>
      <c r="H12" s="56"/>
      <c r="I12" s="56"/>
      <c r="J12" s="56"/>
      <c r="K12" s="56"/>
      <c r="L12" s="56"/>
      <c r="M12" s="56"/>
      <c r="N12" s="17"/>
      <c r="O12" s="17"/>
    </row>
    <row r="13" spans="2:16">
      <c r="B13" s="49" t="s">
        <v>173</v>
      </c>
      <c r="C13" s="30"/>
      <c r="D13" s="46">
        <f>SUM(D11:D12)</f>
        <v>9.2999999999999999E-2</v>
      </c>
      <c r="E13" s="74"/>
      <c r="G13" s="17"/>
      <c r="H13" s="17"/>
      <c r="I13" s="17"/>
      <c r="J13" s="17"/>
      <c r="K13" s="17"/>
      <c r="L13" s="17"/>
      <c r="M13" s="17"/>
      <c r="N13" s="17"/>
      <c r="O13" s="17"/>
    </row>
    <row r="14" spans="2:16" ht="4.5" customHeight="1">
      <c r="G14" s="17"/>
      <c r="H14" s="17"/>
      <c r="I14" s="17"/>
      <c r="J14" s="17"/>
      <c r="K14" s="17"/>
      <c r="L14" s="17"/>
      <c r="M14" s="17"/>
      <c r="N14" s="17"/>
      <c r="O14" s="17"/>
    </row>
    <row r="15" spans="2:16" ht="31.5">
      <c r="B15" s="61" t="s">
        <v>0</v>
      </c>
      <c r="C15" s="62" t="s">
        <v>174</v>
      </c>
      <c r="D15" s="62" t="s">
        <v>175</v>
      </c>
      <c r="E15" s="63" t="s">
        <v>176</v>
      </c>
      <c r="G15" s="17"/>
      <c r="H15" s="17"/>
      <c r="I15" s="17"/>
      <c r="J15" s="17"/>
      <c r="K15" s="17"/>
      <c r="L15" s="17"/>
      <c r="M15" s="17"/>
      <c r="N15" s="17"/>
      <c r="O15" s="17"/>
    </row>
    <row r="16" spans="2:16">
      <c r="B16" s="39">
        <v>2026</v>
      </c>
      <c r="C16" s="33">
        <f>$D$8*$D$9*(1+$D$10)^(B16-($B$16-1))</f>
        <v>444.86910322049562</v>
      </c>
      <c r="D16" s="42">
        <f t="shared" ref="D16:D25" si="0">1/(1+$D$13)^(B16-($B$16-1))</f>
        <v>0.91491308325709064</v>
      </c>
      <c r="E16" s="33">
        <f t="shared" ref="E16:E25" si="1">C16*D16</f>
        <v>407.01656287328058</v>
      </c>
      <c r="I16" s="17"/>
      <c r="K16" s="17"/>
    </row>
    <row r="17" spans="2:5">
      <c r="B17" s="26">
        <f>B16+1</f>
        <v>2027</v>
      </c>
      <c r="C17" s="34">
        <f>$D$8*$D$9*(1+$D$10)^(B17-($B$16-1))</f>
        <v>499.87984449806942</v>
      </c>
      <c r="D17" s="43">
        <f t="shared" si="0"/>
        <v>0.83706594991499605</v>
      </c>
      <c r="E17" s="34">
        <f>C17*D17</f>
        <v>418.43239687813701</v>
      </c>
    </row>
    <row r="18" spans="2:5">
      <c r="B18" s="26">
        <f t="shared" ref="B18:B25" si="2">B17+1</f>
        <v>2028</v>
      </c>
      <c r="C18" s="34">
        <f t="shared" ref="C18:C25" si="3">$D$8*$D$9*(1+$D$10)^(B18-($B$16-1))</f>
        <v>561.69299492026801</v>
      </c>
      <c r="D18" s="43">
        <f t="shared" si="0"/>
        <v>0.76584258912625436</v>
      </c>
      <c r="E18" s="34">
        <f t="shared" si="1"/>
        <v>430.16841752381811</v>
      </c>
    </row>
    <row r="19" spans="2:5">
      <c r="B19" s="26">
        <f t="shared" si="2"/>
        <v>2029</v>
      </c>
      <c r="C19" s="34">
        <f t="shared" si="3"/>
        <v>631.14971330619176</v>
      </c>
      <c r="D19" s="43">
        <f t="shared" si="0"/>
        <v>0.70067940450709465</v>
      </c>
      <c r="E19" s="34">
        <f t="shared" si="1"/>
        <v>442.23360527420596</v>
      </c>
    </row>
    <row r="20" spans="2:5">
      <c r="B20" s="26">
        <f t="shared" si="2"/>
        <v>2030</v>
      </c>
      <c r="C20" s="34">
        <f t="shared" si="3"/>
        <v>709.19517282396157</v>
      </c>
      <c r="D20" s="43">
        <f t="shared" si="0"/>
        <v>0.64106075435232812</v>
      </c>
      <c r="E20" s="34">
        <f t="shared" si="1"/>
        <v>454.63719247355851</v>
      </c>
    </row>
    <row r="21" spans="2:5">
      <c r="B21" s="26">
        <f t="shared" si="2"/>
        <v>2031</v>
      </c>
      <c r="C21" s="34">
        <f t="shared" si="3"/>
        <v>796.89142299080333</v>
      </c>
      <c r="D21" s="43">
        <f t="shared" si="0"/>
        <v>0.586514871319605</v>
      </c>
      <c r="E21" s="34">
        <f t="shared" si="1"/>
        <v>467.38867041114793</v>
      </c>
    </row>
    <row r="22" spans="2:5">
      <c r="B22" s="26">
        <f t="shared" si="2"/>
        <v>2032</v>
      </c>
      <c r="C22" s="34">
        <f t="shared" si="3"/>
        <v>895.43184213683014</v>
      </c>
      <c r="D22" s="43">
        <f t="shared" si="0"/>
        <v>0.5366101292951555</v>
      </c>
      <c r="E22" s="34">
        <f t="shared" si="1"/>
        <v>480.49779658404367</v>
      </c>
    </row>
    <row r="23" spans="2:5">
      <c r="B23" s="26">
        <f t="shared" si="2"/>
        <v>2033</v>
      </c>
      <c r="C23" s="34">
        <f t="shared" si="3"/>
        <v>1006.1573770029273</v>
      </c>
      <c r="D23" s="43">
        <f t="shared" si="0"/>
        <v>0.4909516279004168</v>
      </c>
      <c r="E23" s="34">
        <f t="shared" si="1"/>
        <v>493.97460216360054</v>
      </c>
    </row>
    <row r="24" spans="2:5">
      <c r="B24" s="26">
        <f t="shared" si="2"/>
        <v>2034</v>
      </c>
      <c r="C24" s="34">
        <f t="shared" si="3"/>
        <v>1130.5747904626271</v>
      </c>
      <c r="D24" s="43">
        <f t="shared" si="0"/>
        <v>0.44917806761245821</v>
      </c>
      <c r="E24" s="34">
        <f t="shared" si="1"/>
        <v>507.82939967136269</v>
      </c>
    </row>
    <row r="25" spans="2:5">
      <c r="B25" s="26">
        <f t="shared" si="2"/>
        <v>2035</v>
      </c>
      <c r="C25" s="34">
        <f t="shared" si="3"/>
        <v>1270.3771656845831</v>
      </c>
      <c r="D25" s="43">
        <f t="shared" si="0"/>
        <v>0.41095889077077608</v>
      </c>
      <c r="E25" s="34">
        <f t="shared" si="1"/>
        <v>522.0727908702587</v>
      </c>
    </row>
    <row r="26" spans="2:5">
      <c r="B26" s="40" t="s">
        <v>180</v>
      </c>
      <c r="C26" s="41">
        <f>C25*(1+7.4%)/D12</f>
        <v>50532.780590564529</v>
      </c>
      <c r="D26" s="44">
        <f>D25</f>
        <v>0.41095889077077608</v>
      </c>
      <c r="E26" s="41">
        <f>C26*D26</f>
        <v>20766.895459061401</v>
      </c>
    </row>
    <row r="29" spans="2:5">
      <c r="C29" s="67"/>
    </row>
    <row r="30" spans="2:5">
      <c r="C30" s="68"/>
    </row>
    <row r="31" spans="2:5">
      <c r="C31" s="68"/>
    </row>
    <row r="32" spans="2:5">
      <c r="C32" s="68"/>
    </row>
    <row r="33" spans="3:3">
      <c r="C33" s="68"/>
    </row>
    <row r="34" spans="3:3">
      <c r="C34" s="68"/>
    </row>
    <row r="35" spans="3:3">
      <c r="C35" s="68"/>
    </row>
  </sheetData>
  <mergeCells count="4">
    <mergeCell ref="B6:C6"/>
    <mergeCell ref="E6:E7"/>
    <mergeCell ref="E8:E13"/>
    <mergeCell ref="B2:E2"/>
  </mergeCells>
  <conditionalFormatting sqref="E6:E7">
    <cfRule type="containsText" dxfId="2" priority="1" operator="containsText" text="Fairly Valued">
      <formula>NOT(ISERROR(SEARCH("Fairly Valued",E6)))</formula>
    </cfRule>
    <cfRule type="containsText" dxfId="1" priority="2" operator="containsText" text="Overvalued">
      <formula>NOT(ISERROR(SEARCH("Overvalued",E6)))</formula>
    </cfRule>
    <cfRule type="containsText" dxfId="0" priority="3" operator="containsText" text="Undervalued">
      <formula>NOT(ISERROR(SEARCH("Undervalued",E6)))</formula>
    </cfRule>
  </conditionalFormatting>
  <dataValidations count="4">
    <dataValidation type="list" showInputMessage="1" showErrorMessage="1" sqref="C9" xr:uid="{F1B378C4-9CD2-43B3-89BD-B862E050D249}">
      <formula1>$H$5:$H$9</formula1>
    </dataValidation>
    <dataValidation type="list" showInputMessage="1" showErrorMessage="1" sqref="C10" xr:uid="{B91B6784-0A1A-4177-8953-3622F2022D1A}">
      <formula1>$I$5:$I$8</formula1>
    </dataValidation>
    <dataValidation type="list" showInputMessage="1" showErrorMessage="1" sqref="C11" xr:uid="{BF204A74-E122-4735-A1F8-9F1AB6FE8544}">
      <formula1>$J$5:$J$8</formula1>
    </dataValidation>
    <dataValidation type="list" showInputMessage="1" showErrorMessage="1" sqref="C12" xr:uid="{36DDD7F4-DB6A-49F1-A530-51330982092A}">
      <formula1>$K$5:$K$9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7A39-769A-4F44-AE2C-1B5679D232D0}">
  <sheetPr>
    <tabColor theme="4" tint="-0.499984740745262"/>
  </sheetPr>
  <dimension ref="A1"/>
  <sheetViews>
    <sheetView workbookViewId="0">
      <selection activeCell="I22" sqref="I22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AE47-5A60-453B-803E-929E9F8537BD}">
  <sheetPr>
    <tabColor theme="5" tint="-0.249977111117893"/>
  </sheetPr>
  <dimension ref="B2:N336"/>
  <sheetViews>
    <sheetView showGridLines="0" zoomScale="112" workbookViewId="0">
      <selection activeCell="L32" sqref="L32"/>
    </sheetView>
  </sheetViews>
  <sheetFormatPr defaultRowHeight="15"/>
  <cols>
    <col min="2" max="2" width="10.42578125" bestFit="1" customWidth="1"/>
    <col min="3" max="6" width="7" bestFit="1" customWidth="1"/>
    <col min="7" max="7" width="9.5703125" bestFit="1" customWidth="1"/>
    <col min="10" max="10" width="23.7109375" bestFit="1" customWidth="1"/>
    <col min="12" max="12" width="23.42578125" bestFit="1" customWidth="1"/>
    <col min="13" max="13" width="8.140625" style="2" bestFit="1" customWidth="1"/>
    <col min="14" max="14" width="9.140625" style="9"/>
  </cols>
  <sheetData>
    <row r="2" spans="2:14">
      <c r="B2" s="57" t="s">
        <v>9</v>
      </c>
      <c r="C2" s="31" t="s">
        <v>187</v>
      </c>
      <c r="D2" s="31" t="s">
        <v>8</v>
      </c>
      <c r="E2" s="31" t="s">
        <v>1</v>
      </c>
      <c r="F2" s="31" t="s">
        <v>2</v>
      </c>
      <c r="G2" s="31" t="s">
        <v>10</v>
      </c>
      <c r="I2" s="58" t="s">
        <v>0</v>
      </c>
      <c r="J2" s="31" t="s">
        <v>120</v>
      </c>
      <c r="L2" s="31" t="s">
        <v>188</v>
      </c>
      <c r="M2" s="59" t="s">
        <v>115</v>
      </c>
      <c r="N2" s="50">
        <f>AVERAGE(J11:J30)</f>
        <v>7.4051208333333354E-2</v>
      </c>
    </row>
    <row r="3" spans="2:14">
      <c r="B3" s="1">
        <v>45992</v>
      </c>
      <c r="C3" s="11">
        <v>6.6059999999999994E-2</v>
      </c>
      <c r="D3" s="11">
        <v>6.5460000000000004E-2</v>
      </c>
      <c r="E3" s="11">
        <v>6.6680000000000003E-2</v>
      </c>
      <c r="F3" s="11">
        <v>6.4890000000000003E-2</v>
      </c>
      <c r="G3" s="12">
        <v>1.1900000000000001E-2</v>
      </c>
      <c r="I3" s="2">
        <v>1998</v>
      </c>
      <c r="J3" s="3">
        <f>AVERAGEIFS($C$3:$C$336,$B$3:$B$336,"&gt;="&amp;DATE(I3,1,1),$B$3:$B$336,"&lt;="&amp;DATE(I3,12,31))</f>
        <v>0.12149700000000001</v>
      </c>
      <c r="L3" s="13"/>
      <c r="M3" s="14"/>
      <c r="N3" s="51"/>
    </row>
    <row r="4" spans="2:14">
      <c r="B4" s="1">
        <v>45962</v>
      </c>
      <c r="C4" s="11">
        <v>6.5279999999999991E-2</v>
      </c>
      <c r="D4" s="11">
        <v>6.5199999999999994E-2</v>
      </c>
      <c r="E4" s="11">
        <v>6.5500000000000003E-2</v>
      </c>
      <c r="F4" s="11">
        <v>6.480000000000001E-2</v>
      </c>
      <c r="G4" s="12">
        <v>-2.0000000000000001E-4</v>
      </c>
      <c r="I4" s="2">
        <f>I3+1</f>
        <v>1999</v>
      </c>
      <c r="J4" s="3">
        <f t="shared" ref="J4:J30" si="0">AVERAGEIFS($C$3:$C$336,$B$3:$B$336,"&gt;="&amp;DATE(I4,1,1),$B$3:$B$336,"&lt;="&amp;DATE(I4,12,31))</f>
        <v>0.11739166666666667</v>
      </c>
      <c r="L4" s="31" t="s">
        <v>188</v>
      </c>
      <c r="M4" s="59" t="s">
        <v>119</v>
      </c>
      <c r="N4" s="50">
        <f>AVERAGE(J16:J30)</f>
        <v>7.3223277777777776E-2</v>
      </c>
    </row>
    <row r="5" spans="2:14">
      <c r="B5" s="1">
        <v>45931</v>
      </c>
      <c r="C5" s="11">
        <v>6.5290000000000001E-2</v>
      </c>
      <c r="D5" s="11">
        <v>6.5199999999999994E-2</v>
      </c>
      <c r="E5" s="11">
        <v>6.5700000000000008E-2</v>
      </c>
      <c r="F5" s="11">
        <v>6.480000000000001E-2</v>
      </c>
      <c r="G5" s="12">
        <v>-6.4000000000000003E-3</v>
      </c>
      <c r="I5" s="2">
        <f t="shared" ref="I5:I30" si="1">I4+1</f>
        <v>2000</v>
      </c>
      <c r="J5" s="3">
        <f t="shared" si="0"/>
        <v>0.11044916666666667</v>
      </c>
      <c r="L5" s="13"/>
      <c r="M5" s="14"/>
      <c r="N5" s="51"/>
    </row>
    <row r="6" spans="2:14">
      <c r="B6" s="1">
        <v>45901</v>
      </c>
      <c r="C6" s="11">
        <v>6.5709999999999991E-2</v>
      </c>
      <c r="D6" s="11">
        <v>6.5799999999999997E-2</v>
      </c>
      <c r="E6" s="11">
        <v>6.5799999999999997E-2</v>
      </c>
      <c r="F6" s="11">
        <v>6.4500000000000002E-2</v>
      </c>
      <c r="G6" s="12">
        <v>-2.5999999999999999E-3</v>
      </c>
      <c r="I6" s="2">
        <f t="shared" si="1"/>
        <v>2001</v>
      </c>
      <c r="J6" s="3">
        <f t="shared" si="0"/>
        <v>9.3700833333333344E-2</v>
      </c>
      <c r="L6" s="31" t="s">
        <v>188</v>
      </c>
      <c r="M6" s="59" t="s">
        <v>118</v>
      </c>
      <c r="N6" s="50">
        <f>AVERAGE(J24:J30)</f>
        <v>6.7187619047619052E-2</v>
      </c>
    </row>
    <row r="7" spans="2:14">
      <c r="B7" s="1">
        <v>45870</v>
      </c>
      <c r="C7" s="11">
        <v>6.5879999999999994E-2</v>
      </c>
      <c r="D7" s="11">
        <v>6.3600000000000004E-2</v>
      </c>
      <c r="E7" s="11">
        <v>6.6100000000000006E-2</v>
      </c>
      <c r="F7" s="11">
        <v>6.3099999999999989E-2</v>
      </c>
      <c r="G7" s="12">
        <v>3.32E-2</v>
      </c>
      <c r="I7" s="2">
        <f t="shared" si="1"/>
        <v>2002</v>
      </c>
      <c r="J7" s="3">
        <f t="shared" si="0"/>
        <v>7.1952500000000016E-2</v>
      </c>
      <c r="L7" s="13"/>
      <c r="M7" s="14"/>
      <c r="N7" s="51"/>
    </row>
    <row r="8" spans="2:14">
      <c r="B8" s="1">
        <v>45839</v>
      </c>
      <c r="C8" s="11">
        <v>6.3759999999999997E-2</v>
      </c>
      <c r="D8" s="11">
        <v>6.2899999999999998E-2</v>
      </c>
      <c r="E8" s="11">
        <v>6.3700000000000007E-2</v>
      </c>
      <c r="F8" s="11">
        <v>6.2800000000000009E-2</v>
      </c>
      <c r="G8" s="12">
        <v>9.4999999999999998E-3</v>
      </c>
      <c r="I8" s="2">
        <f t="shared" si="1"/>
        <v>2003</v>
      </c>
      <c r="J8" s="3">
        <f t="shared" si="0"/>
        <v>5.6047500000000007E-2</v>
      </c>
      <c r="L8" s="31" t="s">
        <v>188</v>
      </c>
      <c r="M8" s="59" t="s">
        <v>117</v>
      </c>
      <c r="N8" s="50">
        <f>AVERAGE(J26:J30)</f>
        <v>6.8103166666666659E-2</v>
      </c>
    </row>
    <row r="9" spans="2:14">
      <c r="B9" s="1">
        <v>45809</v>
      </c>
      <c r="C9" s="11">
        <v>6.3159999999999994E-2</v>
      </c>
      <c r="D9" s="11">
        <v>6.2199999999999998E-2</v>
      </c>
      <c r="E9" s="11">
        <v>6.3099999999999989E-2</v>
      </c>
      <c r="F9" s="11">
        <v>6.1799999999999994E-2</v>
      </c>
      <c r="G9" s="12">
        <v>1.7100000000000001E-2</v>
      </c>
      <c r="I9" s="2">
        <f t="shared" si="1"/>
        <v>2004</v>
      </c>
      <c r="J9" s="3">
        <f>AVERAGEIFS($C$3:$C$336,$B$3:$B$336,"&gt;="&amp;DATE(I9,1,1),$B$3:$B$336,"&lt;="&amp;DATE(I9,12,31))</f>
        <v>5.9314166666666675E-2</v>
      </c>
      <c r="L9" s="13"/>
      <c r="M9" s="14"/>
      <c r="N9" s="51"/>
    </row>
    <row r="10" spans="2:14">
      <c r="B10" s="1">
        <v>45778</v>
      </c>
      <c r="C10" s="11">
        <v>6.2100000000000002E-2</v>
      </c>
      <c r="D10" s="11">
        <v>6.3500000000000001E-2</v>
      </c>
      <c r="E10" s="11">
        <v>6.3899999999999998E-2</v>
      </c>
      <c r="F10" s="11">
        <v>6.1600000000000002E-2</v>
      </c>
      <c r="G10" s="12">
        <v>-2.24E-2</v>
      </c>
      <c r="I10" s="2">
        <f t="shared" si="1"/>
        <v>2005</v>
      </c>
      <c r="J10" s="3">
        <f t="shared" si="0"/>
        <v>6.9710000000000008E-2</v>
      </c>
      <c r="L10" s="31" t="s">
        <v>188</v>
      </c>
      <c r="M10" s="59" t="s">
        <v>116</v>
      </c>
      <c r="N10" s="52">
        <v>6.6000000000000003E-2</v>
      </c>
    </row>
    <row r="11" spans="2:14">
      <c r="B11" s="1">
        <v>45748</v>
      </c>
      <c r="C11" s="11">
        <v>6.3520000000000007E-2</v>
      </c>
      <c r="D11" s="11">
        <v>6.5700000000000008E-2</v>
      </c>
      <c r="E11" s="11">
        <v>6.5700000000000008E-2</v>
      </c>
      <c r="F11" s="11">
        <v>6.3099999999999989E-2</v>
      </c>
      <c r="G11" s="12">
        <v>-3.32E-2</v>
      </c>
      <c r="I11" s="2">
        <f t="shared" si="1"/>
        <v>2006</v>
      </c>
      <c r="J11" s="3">
        <f t="shared" si="0"/>
        <v>7.662833333333334E-2</v>
      </c>
    </row>
    <row r="12" spans="2:14">
      <c r="B12" s="1">
        <v>45717</v>
      </c>
      <c r="C12" s="11">
        <v>6.5700000000000008E-2</v>
      </c>
      <c r="D12" s="11">
        <v>6.7299999999999999E-2</v>
      </c>
      <c r="E12" s="11">
        <v>6.7400000000000002E-2</v>
      </c>
      <c r="F12" s="11">
        <v>6.5700000000000008E-2</v>
      </c>
      <c r="G12" s="12">
        <v>-2.23E-2</v>
      </c>
      <c r="I12" s="2">
        <f t="shared" si="1"/>
        <v>2007</v>
      </c>
      <c r="J12" s="3">
        <f t="shared" si="0"/>
        <v>7.9529166666666651E-2</v>
      </c>
    </row>
    <row r="13" spans="2:14">
      <c r="B13" s="1">
        <v>45689</v>
      </c>
      <c r="C13" s="11">
        <v>6.7199999999999996E-2</v>
      </c>
      <c r="D13" s="11">
        <v>6.6600000000000006E-2</v>
      </c>
      <c r="E13" s="11">
        <v>6.7199999999999996E-2</v>
      </c>
      <c r="F13" s="11">
        <v>6.6500000000000004E-2</v>
      </c>
      <c r="G13" s="12">
        <v>4.4999999999999997E-3</v>
      </c>
      <c r="I13" s="2">
        <f t="shared" si="1"/>
        <v>2008</v>
      </c>
      <c r="J13" s="3">
        <f t="shared" si="0"/>
        <v>7.8546666666666667E-2</v>
      </c>
    </row>
    <row r="14" spans="2:14">
      <c r="B14" s="1">
        <v>45658</v>
      </c>
      <c r="C14" s="11">
        <v>6.6900000000000001E-2</v>
      </c>
      <c r="D14" s="11">
        <v>6.7799999999999999E-2</v>
      </c>
      <c r="E14" s="11">
        <v>6.8400000000000002E-2</v>
      </c>
      <c r="F14" s="11">
        <v>6.6699999999999995E-2</v>
      </c>
      <c r="G14" s="12">
        <v>-1.04E-2</v>
      </c>
      <c r="I14" s="2">
        <f t="shared" si="1"/>
        <v>2009</v>
      </c>
      <c r="J14" s="3">
        <f t="shared" si="0"/>
        <v>6.948583333333333E-2</v>
      </c>
    </row>
    <row r="15" spans="2:14">
      <c r="B15" s="1">
        <v>45627</v>
      </c>
      <c r="C15" s="11">
        <v>6.7599999999999993E-2</v>
      </c>
      <c r="D15" s="11">
        <v>6.8019999999999997E-2</v>
      </c>
      <c r="E15" s="11">
        <v>6.8070000000000006E-2</v>
      </c>
      <c r="F15" s="11">
        <v>6.6680000000000003E-2</v>
      </c>
      <c r="G15" s="12">
        <v>1.2999999999999999E-3</v>
      </c>
      <c r="I15" s="2">
        <f t="shared" si="1"/>
        <v>2010</v>
      </c>
      <c r="J15" s="3">
        <f t="shared" si="0"/>
        <v>7.8485000000000013E-2</v>
      </c>
    </row>
    <row r="16" spans="2:14">
      <c r="B16" s="1">
        <v>45597</v>
      </c>
      <c r="C16" s="11">
        <v>6.7510000000000001E-2</v>
      </c>
      <c r="D16" s="11">
        <v>6.831000000000001E-2</v>
      </c>
      <c r="E16" s="11">
        <v>6.863000000000001E-2</v>
      </c>
      <c r="F16" s="11">
        <v>6.7390000000000005E-2</v>
      </c>
      <c r="G16" s="12">
        <v>-1.32E-2</v>
      </c>
      <c r="I16" s="2">
        <f t="shared" si="1"/>
        <v>2011</v>
      </c>
      <c r="J16" s="3">
        <f t="shared" si="0"/>
        <v>8.3657499999999996E-2</v>
      </c>
    </row>
    <row r="17" spans="2:10">
      <c r="B17" s="1">
        <v>45566</v>
      </c>
      <c r="C17" s="11">
        <v>6.8409999999999999E-2</v>
      </c>
      <c r="D17" s="11">
        <v>6.7589999999999997E-2</v>
      </c>
      <c r="E17" s="11">
        <v>6.8750000000000006E-2</v>
      </c>
      <c r="F17" s="11">
        <v>6.7299999999999999E-2</v>
      </c>
      <c r="G17" s="12">
        <v>1.35E-2</v>
      </c>
      <c r="I17" s="2">
        <f t="shared" si="1"/>
        <v>2012</v>
      </c>
      <c r="J17" s="3">
        <f t="shared" si="0"/>
        <v>8.2949999999999996E-2</v>
      </c>
    </row>
    <row r="18" spans="2:10">
      <c r="B18" s="1">
        <v>45536</v>
      </c>
      <c r="C18" s="11">
        <v>6.7500000000000004E-2</v>
      </c>
      <c r="D18" s="11">
        <v>6.8769999999999998E-2</v>
      </c>
      <c r="E18" s="11">
        <v>6.8849999999999995E-2</v>
      </c>
      <c r="F18" s="11">
        <v>6.7060000000000008E-2</v>
      </c>
      <c r="G18" s="12">
        <v>-1.6500000000000001E-2</v>
      </c>
      <c r="I18" s="2">
        <f t="shared" si="1"/>
        <v>2013</v>
      </c>
      <c r="J18" s="3">
        <f t="shared" si="0"/>
        <v>8.1975833333333317E-2</v>
      </c>
    </row>
    <row r="19" spans="2:10">
      <c r="B19" s="1">
        <v>45505</v>
      </c>
      <c r="C19" s="11">
        <v>6.863000000000001E-2</v>
      </c>
      <c r="D19" s="11">
        <v>6.9120000000000001E-2</v>
      </c>
      <c r="E19" s="11">
        <v>6.9190000000000002E-2</v>
      </c>
      <c r="F19" s="11">
        <v>6.8430000000000005E-2</v>
      </c>
      <c r="G19" s="12">
        <v>-8.8000000000000005E-3</v>
      </c>
      <c r="I19" s="2">
        <f t="shared" si="1"/>
        <v>2014</v>
      </c>
      <c r="J19" s="3">
        <f t="shared" si="0"/>
        <v>8.555083333333334E-2</v>
      </c>
    </row>
    <row r="20" spans="2:10">
      <c r="B20" s="1">
        <v>45474</v>
      </c>
      <c r="C20" s="11">
        <v>6.924000000000001E-2</v>
      </c>
      <c r="D20" s="11">
        <v>7.0230000000000001E-2</v>
      </c>
      <c r="E20" s="11">
        <v>7.0239999999999997E-2</v>
      </c>
      <c r="F20" s="11">
        <v>6.9099999999999995E-2</v>
      </c>
      <c r="G20" s="12">
        <v>-1.2E-2</v>
      </c>
      <c r="I20" s="2">
        <f t="shared" si="1"/>
        <v>2015</v>
      </c>
      <c r="J20" s="3">
        <f t="shared" si="0"/>
        <v>7.7501666666666677E-2</v>
      </c>
    </row>
    <row r="21" spans="2:10">
      <c r="B21" s="1">
        <v>45444</v>
      </c>
      <c r="C21" s="11">
        <v>7.0080000000000003E-2</v>
      </c>
      <c r="D21" s="11">
        <v>6.9550000000000001E-2</v>
      </c>
      <c r="E21" s="11">
        <v>7.0620000000000002E-2</v>
      </c>
      <c r="F21" s="11">
        <v>6.9449999999999998E-2</v>
      </c>
      <c r="G21" s="12">
        <v>3.0999999999999999E-3</v>
      </c>
      <c r="I21" s="2">
        <f t="shared" si="1"/>
        <v>2016</v>
      </c>
      <c r="J21" s="3">
        <f t="shared" si="0"/>
        <v>7.1738333333333348E-2</v>
      </c>
    </row>
    <row r="22" spans="2:10">
      <c r="B22" s="1">
        <v>45413</v>
      </c>
      <c r="C22" s="11">
        <v>6.9859999999999992E-2</v>
      </c>
      <c r="D22" s="11">
        <v>7.17E-2</v>
      </c>
      <c r="E22" s="11">
        <v>7.1730000000000002E-2</v>
      </c>
      <c r="F22" s="11">
        <v>6.9669999999999996E-2</v>
      </c>
      <c r="G22" s="12">
        <v>-2.9000000000000001E-2</v>
      </c>
      <c r="I22" s="2">
        <f t="shared" si="1"/>
        <v>2017</v>
      </c>
      <c r="J22" s="3">
        <f t="shared" si="0"/>
        <v>6.7472499999999991E-2</v>
      </c>
    </row>
    <row r="23" spans="2:10">
      <c r="B23" s="1">
        <v>45383</v>
      </c>
      <c r="C23" s="11">
        <v>7.195E-2</v>
      </c>
      <c r="D23" s="11">
        <v>7.0849999999999996E-2</v>
      </c>
      <c r="E23" s="11">
        <v>7.2419999999999998E-2</v>
      </c>
      <c r="F23" s="11">
        <v>7.0750000000000007E-2</v>
      </c>
      <c r="G23" s="12">
        <v>2.0299999999999999E-2</v>
      </c>
      <c r="I23" s="2">
        <f t="shared" si="1"/>
        <v>2018</v>
      </c>
      <c r="J23" s="3">
        <f t="shared" si="0"/>
        <v>7.718916666666667E-2</v>
      </c>
    </row>
    <row r="24" spans="2:10">
      <c r="B24" s="1">
        <v>45352</v>
      </c>
      <c r="C24" s="11">
        <v>7.0519999999999999E-2</v>
      </c>
      <c r="D24" s="11">
        <v>7.0620000000000002E-2</v>
      </c>
      <c r="E24" s="11">
        <v>7.1029999999999996E-2</v>
      </c>
      <c r="F24" s="11">
        <v>7.0059999999999997E-2</v>
      </c>
      <c r="G24" s="12">
        <v>-3.7000000000000002E-3</v>
      </c>
      <c r="I24" s="2">
        <f t="shared" si="1"/>
        <v>2019</v>
      </c>
      <c r="J24" s="3">
        <f t="shared" si="0"/>
        <v>6.918500000000001E-2</v>
      </c>
    </row>
    <row r="25" spans="2:10">
      <c r="B25" s="1">
        <v>45323</v>
      </c>
      <c r="C25" s="11">
        <v>7.078000000000001E-2</v>
      </c>
      <c r="D25" s="11">
        <v>7.1289999999999992E-2</v>
      </c>
      <c r="E25" s="11">
        <v>7.1399999999999991E-2</v>
      </c>
      <c r="F25" s="11">
        <v>7.0209999999999995E-2</v>
      </c>
      <c r="G25" s="12">
        <v>-9.1999999999999998E-3</v>
      </c>
      <c r="I25" s="2">
        <f t="shared" si="1"/>
        <v>2020</v>
      </c>
      <c r="J25" s="3">
        <f t="shared" si="0"/>
        <v>6.0612500000000007E-2</v>
      </c>
    </row>
    <row r="26" spans="2:10">
      <c r="B26" s="1">
        <v>45292</v>
      </c>
      <c r="C26" s="11">
        <v>7.1440000000000003E-2</v>
      </c>
      <c r="D26" s="11">
        <v>7.2069999999999995E-2</v>
      </c>
      <c r="E26" s="11">
        <v>7.2389999999999996E-2</v>
      </c>
      <c r="F26" s="11">
        <v>7.1340000000000001E-2</v>
      </c>
      <c r="G26" s="12">
        <v>-4.4999999999999997E-3</v>
      </c>
      <c r="I26" s="2">
        <f t="shared" si="1"/>
        <v>2021</v>
      </c>
      <c r="J26" s="3">
        <f t="shared" si="0"/>
        <v>6.1889999999999994E-2</v>
      </c>
    </row>
    <row r="27" spans="2:10">
      <c r="B27" s="1">
        <v>45261</v>
      </c>
      <c r="C27" s="11">
        <v>7.1760000000000004E-2</v>
      </c>
      <c r="D27" s="11">
        <v>7.2929999999999995E-2</v>
      </c>
      <c r="E27" s="11">
        <v>7.2980000000000003E-2</v>
      </c>
      <c r="F27" s="11">
        <v>7.1470000000000006E-2</v>
      </c>
      <c r="G27" s="12">
        <v>-1.4200000000000001E-2</v>
      </c>
      <c r="I27" s="2">
        <f t="shared" si="1"/>
        <v>2022</v>
      </c>
      <c r="J27" s="3">
        <f t="shared" si="0"/>
        <v>7.1882500000000002E-2</v>
      </c>
    </row>
    <row r="28" spans="2:10">
      <c r="B28" s="1">
        <v>45231</v>
      </c>
      <c r="C28" s="11">
        <v>7.2789999999999994E-2</v>
      </c>
      <c r="D28" s="11">
        <v>7.3760000000000006E-2</v>
      </c>
      <c r="E28" s="11">
        <v>7.3760000000000006E-2</v>
      </c>
      <c r="F28" s="11">
        <v>7.1940000000000004E-2</v>
      </c>
      <c r="G28" s="12">
        <v>-9.7999999999999997E-3</v>
      </c>
      <c r="I28" s="2">
        <f t="shared" si="1"/>
        <v>2023</v>
      </c>
      <c r="J28" s="3">
        <f t="shared" si="0"/>
        <v>7.2236666666666671E-2</v>
      </c>
    </row>
    <row r="29" spans="2:10">
      <c r="B29" s="1">
        <v>45200</v>
      </c>
      <c r="C29" s="11">
        <v>7.3510000000000006E-2</v>
      </c>
      <c r="D29" s="11">
        <v>7.2389999999999996E-2</v>
      </c>
      <c r="E29" s="11">
        <v>7.3950000000000002E-2</v>
      </c>
      <c r="F29" s="11">
        <v>7.2050000000000003E-2</v>
      </c>
      <c r="G29" s="12">
        <v>1.9599999999999999E-2</v>
      </c>
      <c r="I29" s="2">
        <f t="shared" si="1"/>
        <v>2024</v>
      </c>
      <c r="J29" s="3">
        <f t="shared" si="0"/>
        <v>6.9460000000000008E-2</v>
      </c>
    </row>
    <row r="30" spans="2:10">
      <c r="B30" s="1">
        <v>45170</v>
      </c>
      <c r="C30" s="11">
        <v>7.2099999999999997E-2</v>
      </c>
      <c r="D30" s="11">
        <v>7.1739999999999998E-2</v>
      </c>
      <c r="E30" s="11">
        <v>7.2410000000000002E-2</v>
      </c>
      <c r="F30" s="11">
        <v>7.0860000000000006E-2</v>
      </c>
      <c r="G30" s="12">
        <v>6.1000000000000004E-3</v>
      </c>
      <c r="I30" s="2">
        <f t="shared" si="1"/>
        <v>2025</v>
      </c>
      <c r="J30" s="3">
        <f t="shared" si="0"/>
        <v>6.5046666666666655E-2</v>
      </c>
    </row>
    <row r="31" spans="2:10">
      <c r="B31" s="1">
        <v>45139</v>
      </c>
      <c r="C31" s="11">
        <v>7.1660000000000001E-2</v>
      </c>
      <c r="D31" s="11">
        <v>7.1859999999999993E-2</v>
      </c>
      <c r="E31" s="11">
        <v>7.2559999999999999E-2</v>
      </c>
      <c r="F31" s="11">
        <v>7.1470000000000006E-2</v>
      </c>
      <c r="G31" s="12">
        <v>-8.0000000000000004E-4</v>
      </c>
    </row>
    <row r="32" spans="2:10">
      <c r="B32" s="1">
        <v>45108</v>
      </c>
      <c r="C32" s="11">
        <v>7.1719999999999992E-2</v>
      </c>
      <c r="D32" s="11">
        <v>7.1129999999999999E-2</v>
      </c>
      <c r="E32" s="11">
        <v>7.1849999999999997E-2</v>
      </c>
      <c r="F32" s="11">
        <v>7.0469999999999991E-2</v>
      </c>
      <c r="G32" s="12">
        <v>8.6999999999999994E-3</v>
      </c>
      <c r="I32" s="16" t="s">
        <v>127</v>
      </c>
    </row>
    <row r="33" spans="2:7">
      <c r="B33" s="1">
        <v>45078</v>
      </c>
      <c r="C33" s="11">
        <v>7.1099999999999997E-2</v>
      </c>
      <c r="D33" s="11">
        <v>7.0190000000000002E-2</v>
      </c>
      <c r="E33" s="11">
        <v>7.1169999999999997E-2</v>
      </c>
      <c r="F33" s="11">
        <v>6.9629999999999997E-2</v>
      </c>
      <c r="G33" s="12">
        <v>1.7299999999999999E-2</v>
      </c>
    </row>
    <row r="34" spans="2:7">
      <c r="B34" s="1">
        <v>45047</v>
      </c>
      <c r="C34" s="11">
        <v>6.9889999999999994E-2</v>
      </c>
      <c r="D34" s="11">
        <v>7.1349999999999997E-2</v>
      </c>
      <c r="E34" s="11">
        <v>7.1379999999999999E-2</v>
      </c>
      <c r="F34" s="11">
        <v>6.9470000000000004E-2</v>
      </c>
      <c r="G34" s="12">
        <v>-1.78E-2</v>
      </c>
    </row>
    <row r="35" spans="2:7">
      <c r="B35" s="1">
        <v>45017</v>
      </c>
      <c r="C35" s="11">
        <v>7.1160000000000001E-2</v>
      </c>
      <c r="D35" s="11">
        <v>7.3700000000000002E-2</v>
      </c>
      <c r="E35" s="11">
        <v>7.3700000000000002E-2</v>
      </c>
      <c r="F35" s="11">
        <v>7.077E-2</v>
      </c>
      <c r="G35" s="12">
        <v>-2.7199999999999998E-2</v>
      </c>
    </row>
    <row r="36" spans="2:7">
      <c r="B36" s="1">
        <v>44986</v>
      </c>
      <c r="C36" s="11">
        <v>7.3150000000000007E-2</v>
      </c>
      <c r="D36" s="11">
        <v>7.4679999999999996E-2</v>
      </c>
      <c r="E36" s="11">
        <v>7.4730000000000005E-2</v>
      </c>
      <c r="F36" s="11">
        <v>7.2800000000000004E-2</v>
      </c>
      <c r="G36" s="12">
        <v>-1.9E-2</v>
      </c>
    </row>
    <row r="37" spans="2:7">
      <c r="B37" s="1">
        <v>44958</v>
      </c>
      <c r="C37" s="11">
        <v>7.4569999999999997E-2</v>
      </c>
      <c r="D37" s="11">
        <v>7.4160000000000004E-2</v>
      </c>
      <c r="E37" s="11">
        <v>7.4649999999999994E-2</v>
      </c>
      <c r="F37" s="11">
        <v>7.2450000000000001E-2</v>
      </c>
      <c r="G37" s="12">
        <v>1.55E-2</v>
      </c>
    </row>
    <row r="38" spans="2:7">
      <c r="B38" s="1">
        <v>44927</v>
      </c>
      <c r="C38" s="11">
        <v>7.3429999999999995E-2</v>
      </c>
      <c r="D38" s="11">
        <v>7.3459999999999998E-2</v>
      </c>
      <c r="E38" s="11">
        <v>7.4069999999999997E-2</v>
      </c>
      <c r="F38" s="11">
        <v>7.2660000000000002E-2</v>
      </c>
      <c r="G38" s="12">
        <v>2.2000000000000001E-3</v>
      </c>
    </row>
    <row r="39" spans="2:7">
      <c r="B39" s="1">
        <v>44896</v>
      </c>
      <c r="C39" s="11">
        <v>7.3270000000000002E-2</v>
      </c>
      <c r="D39" s="11">
        <v>7.2550000000000003E-2</v>
      </c>
      <c r="E39" s="11">
        <v>7.3440000000000005E-2</v>
      </c>
      <c r="F39" s="11">
        <v>7.1809999999999999E-2</v>
      </c>
      <c r="G39" s="12">
        <v>6.4999999999999997E-3</v>
      </c>
    </row>
    <row r="40" spans="2:7">
      <c r="B40" s="1">
        <v>44866</v>
      </c>
      <c r="C40" s="11">
        <v>7.2800000000000004E-2</v>
      </c>
      <c r="D40" s="11">
        <v>7.4349999999999999E-2</v>
      </c>
      <c r="E40" s="11">
        <v>7.4969999999999995E-2</v>
      </c>
      <c r="F40" s="11">
        <v>7.2349999999999998E-2</v>
      </c>
      <c r="G40" s="12">
        <v>-2.2200000000000001E-2</v>
      </c>
    </row>
    <row r="41" spans="2:7">
      <c r="B41" s="1">
        <v>44835</v>
      </c>
      <c r="C41" s="11">
        <v>7.4450000000000002E-2</v>
      </c>
      <c r="D41" s="11">
        <v>7.4029999999999999E-2</v>
      </c>
      <c r="E41" s="11">
        <v>7.5410000000000005E-2</v>
      </c>
      <c r="F41" s="11">
        <v>7.3609999999999995E-2</v>
      </c>
      <c r="G41" s="12">
        <v>6.4000000000000003E-3</v>
      </c>
    </row>
    <row r="42" spans="2:7">
      <c r="B42" s="1">
        <v>44805</v>
      </c>
      <c r="C42" s="11">
        <v>7.397999999999999E-2</v>
      </c>
      <c r="D42" s="11">
        <v>7.2300000000000003E-2</v>
      </c>
      <c r="E42" s="11">
        <v>7.4230000000000004E-2</v>
      </c>
      <c r="F42" s="11">
        <v>7.1059999999999998E-2</v>
      </c>
      <c r="G42" s="12">
        <v>2.92E-2</v>
      </c>
    </row>
    <row r="43" spans="2:7">
      <c r="B43" s="1">
        <v>44774</v>
      </c>
      <c r="C43" s="11">
        <v>7.1879999999999999E-2</v>
      </c>
      <c r="D43" s="11">
        <v>7.3569999999999997E-2</v>
      </c>
      <c r="E43" s="11">
        <v>7.3660000000000003E-2</v>
      </c>
      <c r="F43" s="11">
        <v>7.1099999999999997E-2</v>
      </c>
      <c r="G43" s="12">
        <v>-1.7999999999999999E-2</v>
      </c>
    </row>
    <row r="44" spans="2:7">
      <c r="B44" s="1">
        <v>44743</v>
      </c>
      <c r="C44" s="11">
        <v>7.3200000000000001E-2</v>
      </c>
      <c r="D44" s="11">
        <v>7.4270000000000003E-2</v>
      </c>
      <c r="E44" s="11">
        <v>7.4749999999999997E-2</v>
      </c>
      <c r="F44" s="11">
        <v>7.2550000000000003E-2</v>
      </c>
      <c r="G44" s="12">
        <v>-1.7399999999999999E-2</v>
      </c>
    </row>
    <row r="45" spans="2:7">
      <c r="B45" s="1">
        <v>44713</v>
      </c>
      <c r="C45" s="11">
        <v>7.4499999999999997E-2</v>
      </c>
      <c r="D45" s="11">
        <v>7.4370000000000006E-2</v>
      </c>
      <c r="E45" s="11">
        <v>7.6170000000000002E-2</v>
      </c>
      <c r="F45" s="11">
        <v>7.3650000000000007E-2</v>
      </c>
      <c r="G45" s="12">
        <v>4.7000000000000002E-3</v>
      </c>
    </row>
    <row r="46" spans="2:7">
      <c r="B46" s="1">
        <v>44682</v>
      </c>
      <c r="C46" s="11">
        <v>7.4149999999999994E-2</v>
      </c>
      <c r="D46" s="11">
        <v>7.1379999999999999E-2</v>
      </c>
      <c r="E46" s="11">
        <v>7.490999999999999E-2</v>
      </c>
      <c r="F46" s="11">
        <v>7.1160000000000001E-2</v>
      </c>
      <c r="G46" s="12">
        <v>3.8699999999999998E-2</v>
      </c>
    </row>
    <row r="47" spans="2:7">
      <c r="B47" s="1">
        <v>44652</v>
      </c>
      <c r="C47" s="11">
        <v>7.1390000000000009E-2</v>
      </c>
      <c r="D47" s="11">
        <v>6.9510000000000002E-2</v>
      </c>
      <c r="E47" s="11">
        <v>7.2849999999999998E-2</v>
      </c>
      <c r="F47" s="11">
        <v>6.8909999999999999E-2</v>
      </c>
      <c r="G47" s="12">
        <v>4.3299999999999998E-2</v>
      </c>
    </row>
    <row r="48" spans="2:7">
      <c r="B48" s="1">
        <v>44621</v>
      </c>
      <c r="C48" s="11">
        <v>6.8430000000000005E-2</v>
      </c>
      <c r="D48" s="11">
        <v>6.7990000000000009E-2</v>
      </c>
      <c r="E48" s="11">
        <v>6.9190000000000002E-2</v>
      </c>
      <c r="F48" s="11">
        <v>6.7729999999999999E-2</v>
      </c>
      <c r="G48" s="12">
        <v>1.0800000000000001E-2</v>
      </c>
    </row>
    <row r="49" spans="2:7">
      <c r="B49" s="1">
        <v>44593</v>
      </c>
      <c r="C49" s="11">
        <v>6.7699999999999996E-2</v>
      </c>
      <c r="D49" s="11">
        <v>6.7279999999999993E-2</v>
      </c>
      <c r="E49" s="11">
        <v>6.9550000000000001E-2</v>
      </c>
      <c r="F49" s="11">
        <v>6.615E-2</v>
      </c>
      <c r="G49" s="12">
        <v>1.29E-2</v>
      </c>
    </row>
    <row r="50" spans="2:7">
      <c r="B50" s="1">
        <v>44562</v>
      </c>
      <c r="C50" s="11">
        <v>6.6839999999999997E-2</v>
      </c>
      <c r="D50" s="11">
        <v>6.4630000000000007E-2</v>
      </c>
      <c r="E50" s="11">
        <v>6.8019999999999997E-2</v>
      </c>
      <c r="F50" s="11">
        <v>6.4549999999999996E-2</v>
      </c>
      <c r="G50" s="12">
        <v>3.56E-2</v>
      </c>
    </row>
    <row r="51" spans="2:7">
      <c r="B51" s="1">
        <v>44531</v>
      </c>
      <c r="C51" s="11">
        <v>6.454E-2</v>
      </c>
      <c r="D51" s="11">
        <v>6.3600000000000004E-2</v>
      </c>
      <c r="E51" s="11">
        <v>6.497E-2</v>
      </c>
      <c r="F51" s="11">
        <v>6.3399999999999998E-2</v>
      </c>
      <c r="G51" s="12">
        <v>2.0199999999999999E-2</v>
      </c>
    </row>
    <row r="52" spans="2:7">
      <c r="B52" s="1">
        <v>44501</v>
      </c>
      <c r="C52" s="11">
        <v>6.3259999999999997E-2</v>
      </c>
      <c r="D52" s="11">
        <v>6.3909999999999995E-2</v>
      </c>
      <c r="E52" s="11">
        <v>6.3930000000000001E-2</v>
      </c>
      <c r="F52" s="11">
        <v>6.2869999999999995E-2</v>
      </c>
      <c r="G52" s="12">
        <v>-9.7000000000000003E-3</v>
      </c>
    </row>
    <row r="53" spans="2:7">
      <c r="B53" s="1">
        <v>44470</v>
      </c>
      <c r="C53" s="11">
        <v>6.3879999999999992E-2</v>
      </c>
      <c r="D53" s="11">
        <v>6.2300000000000001E-2</v>
      </c>
      <c r="E53" s="11">
        <v>6.429E-2</v>
      </c>
      <c r="F53" s="11">
        <v>6.2260000000000003E-2</v>
      </c>
      <c r="G53" s="12">
        <v>2.6499999999999999E-2</v>
      </c>
    </row>
    <row r="54" spans="2:7">
      <c r="B54" s="1">
        <v>44440</v>
      </c>
      <c r="C54" s="11">
        <v>6.2230000000000001E-2</v>
      </c>
      <c r="D54" s="11">
        <v>6.2350000000000003E-2</v>
      </c>
      <c r="E54" s="11">
        <v>6.2350000000000003E-2</v>
      </c>
      <c r="F54" s="11">
        <v>6.1159999999999999E-2</v>
      </c>
      <c r="G54" s="12">
        <v>1.2999999999999999E-3</v>
      </c>
    </row>
    <row r="55" spans="2:7">
      <c r="B55" s="1">
        <v>44409</v>
      </c>
      <c r="C55" s="11">
        <v>6.2149999999999997E-2</v>
      </c>
      <c r="D55" s="11">
        <v>6.2039999999999998E-2</v>
      </c>
      <c r="E55" s="11">
        <v>6.2839999999999993E-2</v>
      </c>
      <c r="F55" s="11">
        <v>6.1879999999999998E-2</v>
      </c>
      <c r="G55" s="12">
        <v>1.8E-3</v>
      </c>
    </row>
    <row r="56" spans="2:7">
      <c r="B56" s="1">
        <v>44378</v>
      </c>
      <c r="C56" s="11">
        <v>6.2039999999999998E-2</v>
      </c>
      <c r="D56" s="11">
        <v>6.0819999999999999E-2</v>
      </c>
      <c r="E56" s="11">
        <v>6.2770000000000006E-2</v>
      </c>
      <c r="F56" s="11">
        <v>6.0350000000000001E-2</v>
      </c>
      <c r="G56" s="12">
        <v>2.53E-2</v>
      </c>
    </row>
    <row r="57" spans="2:7">
      <c r="B57" s="1">
        <v>44348</v>
      </c>
      <c r="C57" s="11">
        <v>6.0510000000000001E-2</v>
      </c>
      <c r="D57" s="11">
        <v>6.0319999999999999E-2</v>
      </c>
      <c r="E57" s="11">
        <v>6.0890000000000007E-2</v>
      </c>
      <c r="F57" s="11">
        <v>5.9839999999999997E-2</v>
      </c>
      <c r="G57" s="12">
        <v>4.7999999999999996E-3</v>
      </c>
    </row>
    <row r="58" spans="2:7">
      <c r="B58" s="1">
        <v>44317</v>
      </c>
      <c r="C58" s="11">
        <v>6.0220000000000003E-2</v>
      </c>
      <c r="D58" s="11">
        <v>6.0289999999999996E-2</v>
      </c>
      <c r="E58" s="11">
        <v>6.0479999999999999E-2</v>
      </c>
      <c r="F58" s="11">
        <v>5.9580000000000001E-2</v>
      </c>
      <c r="G58" s="12">
        <v>-1.2999999999999999E-3</v>
      </c>
    </row>
    <row r="59" spans="2:7">
      <c r="B59" s="1">
        <v>44287</v>
      </c>
      <c r="C59" s="11">
        <v>6.0299999999999999E-2</v>
      </c>
      <c r="D59" s="11">
        <v>6.2019999999999999E-2</v>
      </c>
      <c r="E59" s="11">
        <v>6.2019999999999999E-2</v>
      </c>
      <c r="F59" s="11">
        <v>5.9900000000000002E-2</v>
      </c>
      <c r="G59" s="12">
        <v>-2.3800000000000002E-2</v>
      </c>
    </row>
    <row r="60" spans="2:7">
      <c r="B60" s="1">
        <v>44256</v>
      </c>
      <c r="C60" s="11">
        <v>6.1769999999999999E-2</v>
      </c>
      <c r="D60" s="11">
        <v>6.2359999999999999E-2</v>
      </c>
      <c r="E60" s="11">
        <v>6.2740000000000004E-2</v>
      </c>
      <c r="F60" s="11">
        <v>6.114E-2</v>
      </c>
      <c r="G60" s="12">
        <v>-8.3000000000000001E-3</v>
      </c>
    </row>
    <row r="61" spans="2:7">
      <c r="B61" s="1">
        <v>44228</v>
      </c>
      <c r="C61" s="11">
        <v>6.2289999999999998E-2</v>
      </c>
      <c r="D61" s="11">
        <v>5.917E-2</v>
      </c>
      <c r="E61" s="11">
        <v>6.2420000000000003E-2</v>
      </c>
      <c r="F61" s="11">
        <v>5.8880000000000002E-2</v>
      </c>
      <c r="G61" s="12">
        <v>4.7100000000000003E-2</v>
      </c>
    </row>
    <row r="62" spans="2:7">
      <c r="B62" s="1">
        <v>44197</v>
      </c>
      <c r="C62" s="11">
        <v>5.9490000000000001E-2</v>
      </c>
      <c r="D62" s="11">
        <v>5.9050000000000005E-2</v>
      </c>
      <c r="E62" s="11">
        <v>5.9880000000000003E-2</v>
      </c>
      <c r="F62" s="11">
        <v>5.8390000000000004E-2</v>
      </c>
      <c r="G62" s="12">
        <v>9.2999999999999992E-3</v>
      </c>
    </row>
    <row r="63" spans="2:7">
      <c r="B63" s="1">
        <v>44166</v>
      </c>
      <c r="C63" s="11">
        <v>5.8939999999999999E-2</v>
      </c>
      <c r="D63" s="11">
        <v>5.9189999999999993E-2</v>
      </c>
      <c r="E63" s="11">
        <v>5.9810000000000002E-2</v>
      </c>
      <c r="F63" s="11">
        <v>5.8869999999999999E-2</v>
      </c>
      <c r="G63" s="12">
        <v>-2.8999999999999998E-3</v>
      </c>
    </row>
    <row r="64" spans="2:7">
      <c r="B64" s="1">
        <v>44136</v>
      </c>
      <c r="C64" s="11">
        <v>5.9109999999999996E-2</v>
      </c>
      <c r="D64" s="11">
        <v>5.8899999999999994E-2</v>
      </c>
      <c r="E64" s="11">
        <v>5.9359999999999996E-2</v>
      </c>
      <c r="F64" s="11">
        <v>5.8369999999999998E-2</v>
      </c>
      <c r="G64" s="12">
        <v>5.1000000000000004E-3</v>
      </c>
    </row>
    <row r="65" spans="2:7">
      <c r="B65" s="1">
        <v>44105</v>
      </c>
      <c r="C65" s="11">
        <v>5.8810000000000001E-2</v>
      </c>
      <c r="D65" s="11">
        <v>5.9650000000000002E-2</v>
      </c>
      <c r="E65" s="11">
        <v>6.0420000000000001E-2</v>
      </c>
      <c r="F65" s="11">
        <v>5.7910000000000003E-2</v>
      </c>
      <c r="G65" s="12">
        <v>-2.23E-2</v>
      </c>
    </row>
    <row r="66" spans="2:7">
      <c r="B66" s="1">
        <v>44075</v>
      </c>
      <c r="C66" s="11">
        <v>6.0149999999999995E-2</v>
      </c>
      <c r="D66" s="11">
        <v>5.9490000000000001E-2</v>
      </c>
      <c r="E66" s="11">
        <v>6.1089999999999998E-2</v>
      </c>
      <c r="F66" s="11">
        <v>5.8779999999999999E-2</v>
      </c>
      <c r="G66" s="12">
        <v>-1.04E-2</v>
      </c>
    </row>
    <row r="67" spans="2:7">
      <c r="B67" s="1">
        <v>44044</v>
      </c>
      <c r="C67" s="11">
        <v>6.0780000000000001E-2</v>
      </c>
      <c r="D67" s="11">
        <v>5.8459999999999998E-2</v>
      </c>
      <c r="E67" s="11">
        <v>6.2309999999999997E-2</v>
      </c>
      <c r="F67" s="11">
        <v>5.808E-2</v>
      </c>
      <c r="G67" s="12">
        <v>4.1300000000000003E-2</v>
      </c>
    </row>
    <row r="68" spans="2:7">
      <c r="B68" s="1">
        <v>44013</v>
      </c>
      <c r="C68" s="11">
        <v>5.8369999999999998E-2</v>
      </c>
      <c r="D68" s="11">
        <v>5.9069999999999998E-2</v>
      </c>
      <c r="E68" s="11">
        <v>5.9069999999999998E-2</v>
      </c>
      <c r="F68" s="11">
        <v>5.747E-2</v>
      </c>
      <c r="G68" s="12">
        <v>-8.6999999999999994E-3</v>
      </c>
    </row>
    <row r="69" spans="2:7">
      <c r="B69" s="1">
        <v>43983</v>
      </c>
      <c r="C69" s="11">
        <v>5.8880000000000002E-2</v>
      </c>
      <c r="D69" s="11">
        <v>6.055E-2</v>
      </c>
      <c r="E69" s="11">
        <v>6.0890000000000007E-2</v>
      </c>
      <c r="F69" s="11">
        <v>5.7549999999999997E-2</v>
      </c>
      <c r="G69" s="12">
        <v>-2.0799999999999999E-2</v>
      </c>
    </row>
    <row r="70" spans="2:7">
      <c r="B70" s="1">
        <v>43952</v>
      </c>
      <c r="C70" s="11">
        <v>6.0129999999999996E-2</v>
      </c>
      <c r="D70" s="11">
        <v>6.1379999999999997E-2</v>
      </c>
      <c r="E70" s="11">
        <v>6.25E-2</v>
      </c>
      <c r="F70" s="11">
        <v>5.8789999999999995E-2</v>
      </c>
      <c r="G70" s="12">
        <v>-1.5900000000000001E-2</v>
      </c>
    </row>
    <row r="71" spans="2:7">
      <c r="B71" s="1">
        <v>43922</v>
      </c>
      <c r="C71" s="11">
        <v>6.1100000000000002E-2</v>
      </c>
      <c r="D71" s="11">
        <v>6.2869999999999995E-2</v>
      </c>
      <c r="E71" s="11">
        <v>6.5040000000000001E-2</v>
      </c>
      <c r="F71" s="11">
        <v>6.0149999999999995E-2</v>
      </c>
      <c r="G71" s="12">
        <v>-4.5999999999999999E-3</v>
      </c>
    </row>
    <row r="72" spans="2:7">
      <c r="B72" s="1">
        <v>43891</v>
      </c>
      <c r="C72" s="11">
        <v>6.1379999999999997E-2</v>
      </c>
      <c r="D72" s="11">
        <v>6.343E-2</v>
      </c>
      <c r="E72" s="11">
        <v>6.4489999999999992E-2</v>
      </c>
      <c r="F72" s="11">
        <v>5.9950000000000003E-2</v>
      </c>
      <c r="G72" s="12">
        <v>-3.6600000000000001E-2</v>
      </c>
    </row>
    <row r="73" spans="2:7">
      <c r="B73" s="1">
        <v>43862</v>
      </c>
      <c r="C73" s="11">
        <v>6.3710000000000003E-2</v>
      </c>
      <c r="D73" s="11">
        <v>6.5090000000000009E-2</v>
      </c>
      <c r="E73" s="11">
        <v>6.5199999999999994E-2</v>
      </c>
      <c r="F73" s="11">
        <v>6.3259999999999997E-2</v>
      </c>
      <c r="G73" s="12">
        <v>-3.4599999999999999E-2</v>
      </c>
    </row>
    <row r="74" spans="2:7">
      <c r="B74" s="1">
        <v>43831</v>
      </c>
      <c r="C74" s="11">
        <v>6.5990000000000007E-2</v>
      </c>
      <c r="D74" s="11">
        <v>6.5479999999999997E-2</v>
      </c>
      <c r="E74" s="11">
        <v>6.6920000000000007E-2</v>
      </c>
      <c r="F74" s="11">
        <v>6.4850000000000005E-2</v>
      </c>
      <c r="G74" s="12">
        <v>6.8999999999999999E-3</v>
      </c>
    </row>
    <row r="75" spans="2:7">
      <c r="B75" s="1">
        <v>43800</v>
      </c>
      <c r="C75" s="11">
        <v>6.5540000000000001E-2</v>
      </c>
      <c r="D75" s="11">
        <v>6.4630000000000007E-2</v>
      </c>
      <c r="E75" s="11">
        <v>6.837E-2</v>
      </c>
      <c r="F75" s="11">
        <v>6.448000000000001E-2</v>
      </c>
      <c r="G75" s="12">
        <v>1.46E-2</v>
      </c>
    </row>
    <row r="76" spans="2:7">
      <c r="B76" s="1">
        <v>43770</v>
      </c>
      <c r="C76" s="11">
        <v>6.4600000000000005E-2</v>
      </c>
      <c r="D76" s="11">
        <v>6.4310000000000006E-2</v>
      </c>
      <c r="E76" s="11">
        <v>6.5739999999999993E-2</v>
      </c>
      <c r="F76" s="11">
        <v>6.4149999999999999E-2</v>
      </c>
      <c r="G76" s="12">
        <v>-2.75E-2</v>
      </c>
    </row>
    <row r="77" spans="2:7">
      <c r="B77" s="1">
        <v>43739</v>
      </c>
      <c r="C77" s="11">
        <v>6.6430000000000003E-2</v>
      </c>
      <c r="D77" s="11">
        <v>6.6799999999999998E-2</v>
      </c>
      <c r="E77" s="11">
        <v>6.7390000000000005E-2</v>
      </c>
      <c r="F77" s="11">
        <v>6.5820000000000004E-2</v>
      </c>
      <c r="G77" s="12">
        <v>-7.7999999999999996E-3</v>
      </c>
    </row>
    <row r="78" spans="2:7">
      <c r="B78" s="1">
        <v>43709</v>
      </c>
      <c r="C78" s="11">
        <v>6.695000000000001E-2</v>
      </c>
      <c r="D78" s="11">
        <v>6.4979999999999996E-2</v>
      </c>
      <c r="E78" s="11">
        <v>6.8739999999999996E-2</v>
      </c>
      <c r="F78" s="11">
        <v>6.4880000000000007E-2</v>
      </c>
      <c r="G78" s="12">
        <v>2.12E-2</v>
      </c>
    </row>
    <row r="79" spans="2:7">
      <c r="B79" s="1">
        <v>43678</v>
      </c>
      <c r="C79" s="11">
        <v>6.5560000000000007E-2</v>
      </c>
      <c r="D79" s="11">
        <v>6.3939999999999997E-2</v>
      </c>
      <c r="E79" s="11">
        <v>6.6390000000000005E-2</v>
      </c>
      <c r="F79" s="11">
        <v>6.2960000000000002E-2</v>
      </c>
      <c r="G79" s="12">
        <v>2.9399999999999999E-2</v>
      </c>
    </row>
    <row r="80" spans="2:7">
      <c r="B80" s="1">
        <v>43647</v>
      </c>
      <c r="C80" s="11">
        <v>6.3689999999999997E-2</v>
      </c>
      <c r="D80" s="11">
        <v>6.9059999999999996E-2</v>
      </c>
      <c r="E80" s="11">
        <v>6.93E-2</v>
      </c>
      <c r="F80" s="11">
        <v>6.2659999999999993E-2</v>
      </c>
      <c r="G80" s="12">
        <v>-7.4099999999999999E-2</v>
      </c>
    </row>
    <row r="81" spans="2:7">
      <c r="B81" s="1">
        <v>43617</v>
      </c>
      <c r="C81" s="11">
        <v>6.878999999999999E-2</v>
      </c>
      <c r="D81" s="11">
        <v>6.9489999999999996E-2</v>
      </c>
      <c r="E81" s="11">
        <v>7.0970000000000005E-2</v>
      </c>
      <c r="F81" s="11">
        <v>6.7339999999999997E-2</v>
      </c>
      <c r="G81" s="12">
        <v>-2.18E-2</v>
      </c>
    </row>
    <row r="82" spans="2:7">
      <c r="B82" s="1">
        <v>43586</v>
      </c>
      <c r="C82" s="11">
        <v>7.0319999999999994E-2</v>
      </c>
      <c r="D82" s="11">
        <v>7.4109999999999995E-2</v>
      </c>
      <c r="E82" s="11">
        <v>7.4260000000000007E-2</v>
      </c>
      <c r="F82" s="11">
        <v>7.0300000000000001E-2</v>
      </c>
      <c r="G82" s="12">
        <v>-5.1499999999999997E-2</v>
      </c>
    </row>
    <row r="83" spans="2:7">
      <c r="B83" s="1">
        <v>43556</v>
      </c>
      <c r="C83" s="11">
        <v>7.4139999999999998E-2</v>
      </c>
      <c r="D83" s="11">
        <v>7.356E-2</v>
      </c>
      <c r="E83" s="11">
        <v>7.4969999999999995E-2</v>
      </c>
      <c r="F83" s="11">
        <v>7.2290000000000007E-2</v>
      </c>
      <c r="G83" s="12">
        <v>9.2999999999999992E-3</v>
      </c>
    </row>
    <row r="84" spans="2:7">
      <c r="B84" s="1">
        <v>43525</v>
      </c>
      <c r="C84" s="11">
        <v>7.3459999999999998E-2</v>
      </c>
      <c r="D84" s="11">
        <v>7.5880000000000003E-2</v>
      </c>
      <c r="E84" s="11">
        <v>7.5899999999999995E-2</v>
      </c>
      <c r="F84" s="11">
        <v>7.3010000000000005E-2</v>
      </c>
      <c r="G84" s="12">
        <v>-3.2300000000000002E-2</v>
      </c>
    </row>
    <row r="85" spans="2:7">
      <c r="B85" s="1">
        <v>43497</v>
      </c>
      <c r="C85" s="11">
        <v>7.5910000000000005E-2</v>
      </c>
      <c r="D85" s="11">
        <v>7.4700000000000003E-2</v>
      </c>
      <c r="E85" s="11">
        <v>7.6990000000000003E-2</v>
      </c>
      <c r="F85" s="11">
        <v>7.4249999999999997E-2</v>
      </c>
      <c r="G85" s="12">
        <v>1.44E-2</v>
      </c>
    </row>
    <row r="86" spans="2:7">
      <c r="B86" s="1">
        <v>43466</v>
      </c>
      <c r="C86" s="11">
        <v>7.4829999999999994E-2</v>
      </c>
      <c r="D86" s="11">
        <v>7.4009999999999992E-2</v>
      </c>
      <c r="E86" s="11">
        <v>7.6499999999999999E-2</v>
      </c>
      <c r="F86" s="11">
        <v>7.3499999999999996E-2</v>
      </c>
      <c r="G86" s="12">
        <v>1.5299999999999999E-2</v>
      </c>
    </row>
    <row r="87" spans="2:7">
      <c r="B87" s="1">
        <v>43435</v>
      </c>
      <c r="C87" s="11">
        <v>7.3700000000000002E-2</v>
      </c>
      <c r="D87" s="11">
        <v>7.646E-2</v>
      </c>
      <c r="E87" s="11">
        <v>7.7030000000000001E-2</v>
      </c>
      <c r="F87" s="11">
        <v>7.2179999999999994E-2</v>
      </c>
      <c r="G87" s="12">
        <v>-3.1199999999999999E-2</v>
      </c>
    </row>
    <row r="88" spans="2:7">
      <c r="B88" s="1">
        <v>43405</v>
      </c>
      <c r="C88" s="11">
        <v>7.6069999999999999E-2</v>
      </c>
      <c r="D88" s="11">
        <v>7.8310000000000005E-2</v>
      </c>
      <c r="E88" s="11">
        <v>7.8399999999999997E-2</v>
      </c>
      <c r="F88" s="11">
        <v>7.5759999999999994E-2</v>
      </c>
      <c r="G88" s="12">
        <v>-3.1300000000000001E-2</v>
      </c>
    </row>
    <row r="89" spans="2:7">
      <c r="B89" s="1">
        <v>43374</v>
      </c>
      <c r="C89" s="11">
        <v>7.8530000000000003E-2</v>
      </c>
      <c r="D89" s="11">
        <v>7.9229999999999995E-2</v>
      </c>
      <c r="E89" s="11">
        <v>8.2100000000000006E-2</v>
      </c>
      <c r="F89" s="11">
        <v>7.7969999999999998E-2</v>
      </c>
      <c r="G89" s="12">
        <v>-2.1299999999999999E-2</v>
      </c>
    </row>
    <row r="90" spans="2:7">
      <c r="B90" s="1">
        <v>43344</v>
      </c>
      <c r="C90" s="11">
        <v>8.0239999999999992E-2</v>
      </c>
      <c r="D90" s="11">
        <v>7.9399999999999998E-2</v>
      </c>
      <c r="E90" s="11">
        <v>8.2309999999999994E-2</v>
      </c>
      <c r="F90" s="11">
        <v>7.9170000000000004E-2</v>
      </c>
      <c r="G90" s="12">
        <v>9.1999999999999998E-3</v>
      </c>
    </row>
    <row r="91" spans="2:7">
      <c r="B91" s="1">
        <v>43313</v>
      </c>
      <c r="C91" s="11">
        <v>7.9509999999999997E-2</v>
      </c>
      <c r="D91" s="11">
        <v>7.7670000000000003E-2</v>
      </c>
      <c r="E91" s="11">
        <v>7.9579999999999998E-2</v>
      </c>
      <c r="F91" s="11">
        <v>7.6810000000000003E-2</v>
      </c>
      <c r="G91" s="12">
        <v>2.3E-2</v>
      </c>
    </row>
    <row r="92" spans="2:7">
      <c r="B92" s="1">
        <v>43282</v>
      </c>
      <c r="C92" s="11">
        <v>7.7719999999999997E-2</v>
      </c>
      <c r="D92" s="11">
        <v>7.8890000000000002E-2</v>
      </c>
      <c r="E92" s="11">
        <v>7.9170000000000004E-2</v>
      </c>
      <c r="F92" s="11">
        <v>7.7229999999999993E-2</v>
      </c>
      <c r="G92" s="12">
        <v>-1.66E-2</v>
      </c>
    </row>
    <row r="93" spans="2:7">
      <c r="B93" s="1">
        <v>43252</v>
      </c>
      <c r="C93" s="11">
        <v>7.9029999999999989E-2</v>
      </c>
      <c r="D93" s="11">
        <v>7.8600000000000003E-2</v>
      </c>
      <c r="E93" s="11">
        <v>0.08</v>
      </c>
      <c r="F93" s="11">
        <v>7.7689999999999995E-2</v>
      </c>
      <c r="G93" s="12">
        <v>9.7999999999999997E-3</v>
      </c>
    </row>
    <row r="94" spans="2:7">
      <c r="B94" s="1">
        <v>43221</v>
      </c>
      <c r="C94" s="11">
        <v>7.8259999999999996E-2</v>
      </c>
      <c r="D94" s="11">
        <v>7.7310000000000004E-2</v>
      </c>
      <c r="E94" s="11">
        <v>7.9450000000000007E-2</v>
      </c>
      <c r="F94" s="11">
        <v>7.553E-2</v>
      </c>
      <c r="G94" s="12">
        <v>7.6E-3</v>
      </c>
    </row>
    <row r="95" spans="2:7">
      <c r="B95" s="1">
        <v>43191</v>
      </c>
      <c r="C95" s="11">
        <v>7.7670000000000003E-2</v>
      </c>
      <c r="D95" s="11">
        <v>7.3330000000000006E-2</v>
      </c>
      <c r="E95" s="11">
        <v>7.7969999999999998E-2</v>
      </c>
      <c r="F95" s="11">
        <v>7.1230000000000002E-2</v>
      </c>
      <c r="G95" s="12">
        <v>4.99E-2</v>
      </c>
    </row>
    <row r="96" spans="2:7">
      <c r="B96" s="1">
        <v>43160</v>
      </c>
      <c r="C96" s="11">
        <v>7.397999999999999E-2</v>
      </c>
      <c r="D96" s="11">
        <v>7.7259999999999995E-2</v>
      </c>
      <c r="E96" s="11">
        <v>7.8E-2</v>
      </c>
      <c r="F96" s="11">
        <v>7.2859999999999994E-2</v>
      </c>
      <c r="G96" s="12">
        <v>-4.2500000000000003E-2</v>
      </c>
    </row>
    <row r="97" spans="2:7">
      <c r="B97" s="1">
        <v>43132</v>
      </c>
      <c r="C97" s="11">
        <v>7.7259999999999995E-2</v>
      </c>
      <c r="D97" s="11">
        <v>7.4459999999999998E-2</v>
      </c>
      <c r="E97" s="11">
        <v>7.8159999999999993E-2</v>
      </c>
      <c r="F97" s="11">
        <v>7.399E-2</v>
      </c>
      <c r="G97" s="12">
        <v>3.9800000000000002E-2</v>
      </c>
    </row>
    <row r="98" spans="2:7">
      <c r="B98" s="1">
        <v>43101</v>
      </c>
      <c r="C98" s="11">
        <v>7.4299999999999991E-2</v>
      </c>
      <c r="D98" s="11">
        <v>7.349E-2</v>
      </c>
      <c r="E98" s="11">
        <v>7.5869999999999993E-2</v>
      </c>
      <c r="F98" s="11">
        <v>7.2430000000000008E-2</v>
      </c>
      <c r="G98" s="12">
        <v>1.4200000000000001E-2</v>
      </c>
    </row>
    <row r="99" spans="2:7">
      <c r="B99" s="1">
        <v>43070</v>
      </c>
      <c r="C99" s="11">
        <v>7.3259999999999992E-2</v>
      </c>
      <c r="D99" s="11">
        <v>7.0879999999999999E-2</v>
      </c>
      <c r="E99" s="11">
        <v>7.4099999999999999E-2</v>
      </c>
      <c r="F99" s="11">
        <v>7.0120000000000002E-2</v>
      </c>
      <c r="G99" s="12">
        <v>3.7999999999999999E-2</v>
      </c>
    </row>
    <row r="100" spans="2:7">
      <c r="B100" s="1">
        <v>43040</v>
      </c>
      <c r="C100" s="11">
        <v>7.0580000000000004E-2</v>
      </c>
      <c r="D100" s="11">
        <v>6.878999999999999E-2</v>
      </c>
      <c r="E100" s="11">
        <v>7.084E-2</v>
      </c>
      <c r="F100" s="11">
        <v>6.8470000000000003E-2</v>
      </c>
      <c r="G100" s="12">
        <v>2.86E-2</v>
      </c>
    </row>
    <row r="101" spans="2:7">
      <c r="B101" s="1">
        <v>43009</v>
      </c>
      <c r="C101" s="11">
        <v>6.862E-2</v>
      </c>
      <c r="D101" s="11">
        <v>6.6740000000000008E-2</v>
      </c>
      <c r="E101" s="11">
        <v>6.898E-2</v>
      </c>
      <c r="F101" s="11">
        <v>6.6250000000000003E-2</v>
      </c>
      <c r="G101" s="12">
        <v>2.9899999999999999E-2</v>
      </c>
    </row>
    <row r="102" spans="2:7">
      <c r="B102" s="1">
        <v>42979</v>
      </c>
      <c r="C102" s="11">
        <v>6.6630000000000009E-2</v>
      </c>
      <c r="D102" s="11">
        <v>6.4920000000000005E-2</v>
      </c>
      <c r="E102" s="11">
        <v>6.7099999999999993E-2</v>
      </c>
      <c r="F102" s="11">
        <v>6.4770000000000008E-2</v>
      </c>
      <c r="G102" s="12">
        <v>2.1100000000000001E-2</v>
      </c>
    </row>
    <row r="103" spans="2:7">
      <c r="B103" s="1">
        <v>42948</v>
      </c>
      <c r="C103" s="11">
        <v>6.5250000000000002E-2</v>
      </c>
      <c r="D103" s="11">
        <v>6.4659999999999995E-2</v>
      </c>
      <c r="E103" s="11">
        <v>6.5759999999999999E-2</v>
      </c>
      <c r="F103" s="11">
        <v>6.4189999999999997E-2</v>
      </c>
      <c r="G103" s="12">
        <v>9.2999999999999992E-3</v>
      </c>
    </row>
    <row r="104" spans="2:7">
      <c r="B104" s="1">
        <v>42917</v>
      </c>
      <c r="C104" s="11">
        <v>6.4649999999999999E-2</v>
      </c>
      <c r="D104" s="11">
        <v>6.6100000000000006E-2</v>
      </c>
      <c r="E104" s="11">
        <v>6.6180000000000003E-2</v>
      </c>
      <c r="F104" s="11">
        <v>6.404E-2</v>
      </c>
      <c r="G104" s="12">
        <v>-7.1000000000000004E-3</v>
      </c>
    </row>
    <row r="105" spans="2:7">
      <c r="B105" s="1">
        <v>42887</v>
      </c>
      <c r="C105" s="11">
        <v>6.5110000000000001E-2</v>
      </c>
      <c r="D105" s="11">
        <v>6.6489999999999994E-2</v>
      </c>
      <c r="E105" s="11">
        <v>6.6720000000000002E-2</v>
      </c>
      <c r="F105" s="11">
        <v>6.4189999999999997E-2</v>
      </c>
      <c r="G105" s="12">
        <v>-2.2499999999999999E-2</v>
      </c>
    </row>
    <row r="106" spans="2:7">
      <c r="B106" s="1">
        <v>42856</v>
      </c>
      <c r="C106" s="11">
        <v>6.6610000000000003E-2</v>
      </c>
      <c r="D106" s="11">
        <v>6.9680000000000006E-2</v>
      </c>
      <c r="E106" s="11">
        <v>6.9940000000000002E-2</v>
      </c>
      <c r="F106" s="11">
        <v>6.6529999999999992E-2</v>
      </c>
      <c r="G106" s="12">
        <v>-4.3099999999999999E-2</v>
      </c>
    </row>
    <row r="107" spans="2:7">
      <c r="B107" s="1">
        <v>42826</v>
      </c>
      <c r="C107" s="11">
        <v>6.9610000000000005E-2</v>
      </c>
      <c r="D107" s="11">
        <v>6.658E-2</v>
      </c>
      <c r="E107" s="11">
        <v>6.9830000000000003E-2</v>
      </c>
      <c r="F107" s="11">
        <v>6.5540000000000001E-2</v>
      </c>
      <c r="G107" s="12">
        <v>4.5499999999999999E-2</v>
      </c>
    </row>
    <row r="108" spans="2:7">
      <c r="B108" s="1">
        <v>42795</v>
      </c>
      <c r="C108" s="11">
        <v>6.658E-2</v>
      </c>
      <c r="D108" s="11">
        <v>6.898E-2</v>
      </c>
      <c r="E108" s="11">
        <v>6.9320000000000007E-2</v>
      </c>
      <c r="F108" s="11">
        <v>6.6650000000000001E-2</v>
      </c>
      <c r="G108" s="12">
        <v>-3.09E-2</v>
      </c>
    </row>
    <row r="109" spans="2:7">
      <c r="B109" s="1">
        <v>42767</v>
      </c>
      <c r="C109" s="11">
        <v>6.8699999999999997E-2</v>
      </c>
      <c r="D109" s="11">
        <v>6.402999999999999E-2</v>
      </c>
      <c r="E109" s="11">
        <v>6.9530000000000008E-2</v>
      </c>
      <c r="F109" s="11">
        <v>6.3759999999999997E-2</v>
      </c>
      <c r="G109" s="12">
        <v>7.2300000000000003E-2</v>
      </c>
    </row>
    <row r="110" spans="2:7">
      <c r="B110" s="1">
        <v>42736</v>
      </c>
      <c r="C110" s="11">
        <v>6.4070000000000002E-2</v>
      </c>
      <c r="D110" s="11">
        <v>6.4829999999999999E-2</v>
      </c>
      <c r="E110" s="11">
        <v>6.4939999999999998E-2</v>
      </c>
      <c r="F110" s="11">
        <v>6.2939999999999996E-2</v>
      </c>
      <c r="G110" s="12">
        <v>-1.61E-2</v>
      </c>
    </row>
    <row r="111" spans="2:7">
      <c r="B111" s="1">
        <v>42705</v>
      </c>
      <c r="C111" s="11">
        <v>6.5119999999999997E-2</v>
      </c>
      <c r="D111" s="11">
        <v>6.2570000000000001E-2</v>
      </c>
      <c r="E111" s="11">
        <v>6.6199999999999995E-2</v>
      </c>
      <c r="F111" s="11">
        <v>6.1689999999999995E-2</v>
      </c>
      <c r="G111" s="12">
        <v>4.3099999999999999E-2</v>
      </c>
    </row>
    <row r="112" spans="2:7">
      <c r="B112" s="1">
        <v>42675</v>
      </c>
      <c r="C112" s="11">
        <v>6.2430000000000006E-2</v>
      </c>
      <c r="D112" s="11">
        <v>6.8729999999999999E-2</v>
      </c>
      <c r="E112" s="11">
        <v>6.9290000000000004E-2</v>
      </c>
      <c r="F112" s="11">
        <v>6.1130000000000004E-2</v>
      </c>
      <c r="G112" s="12">
        <v>-9.3200000000000005E-2</v>
      </c>
    </row>
    <row r="113" spans="2:7">
      <c r="B113" s="1">
        <v>42644</v>
      </c>
      <c r="C113" s="11">
        <v>6.8849999999999995E-2</v>
      </c>
      <c r="D113" s="11">
        <v>6.9560000000000011E-2</v>
      </c>
      <c r="E113" s="11">
        <v>6.9560000000000011E-2</v>
      </c>
      <c r="F113" s="11">
        <v>6.7830000000000001E-2</v>
      </c>
      <c r="G113" s="12">
        <v>-1.0500000000000001E-2</v>
      </c>
    </row>
    <row r="114" spans="2:7">
      <c r="B114" s="1">
        <v>42614</v>
      </c>
      <c r="C114" s="11">
        <v>6.9580000000000003E-2</v>
      </c>
      <c r="D114" s="11">
        <v>7.1040000000000006E-2</v>
      </c>
      <c r="E114" s="11">
        <v>7.1260000000000004E-2</v>
      </c>
      <c r="F114" s="11">
        <v>6.9099999999999995E-2</v>
      </c>
      <c r="G114" s="12">
        <v>-2.1399999999999999E-2</v>
      </c>
    </row>
    <row r="115" spans="2:7">
      <c r="B115" s="1">
        <v>42583</v>
      </c>
      <c r="C115" s="11">
        <v>7.1099999999999997E-2</v>
      </c>
      <c r="D115" s="11">
        <v>7.1379999999999999E-2</v>
      </c>
      <c r="E115" s="11">
        <v>7.2249999999999995E-2</v>
      </c>
      <c r="F115" s="11">
        <v>7.0739999999999997E-2</v>
      </c>
      <c r="G115" s="12">
        <v>-7.4000000000000003E-3</v>
      </c>
    </row>
    <row r="116" spans="2:7">
      <c r="B116" s="1">
        <v>42552</v>
      </c>
      <c r="C116" s="11">
        <v>7.1629999999999999E-2</v>
      </c>
      <c r="D116" s="11">
        <v>7.4410000000000004E-2</v>
      </c>
      <c r="E116" s="11">
        <v>7.4410000000000004E-2</v>
      </c>
      <c r="F116" s="11">
        <v>7.1609999999999993E-2</v>
      </c>
      <c r="G116" s="12">
        <v>-3.8300000000000001E-2</v>
      </c>
    </row>
    <row r="117" spans="2:7">
      <c r="B117" s="1">
        <v>42522</v>
      </c>
      <c r="C117" s="11">
        <v>7.4480000000000005E-2</v>
      </c>
      <c r="D117" s="11">
        <v>7.4730000000000005E-2</v>
      </c>
      <c r="E117" s="11">
        <v>7.5459999999999999E-2</v>
      </c>
      <c r="F117" s="11">
        <v>7.4209999999999998E-2</v>
      </c>
      <c r="G117" s="12">
        <v>-3.0999999999999999E-3</v>
      </c>
    </row>
    <row r="118" spans="2:7">
      <c r="B118" s="1">
        <v>42491</v>
      </c>
      <c r="C118" s="11">
        <v>7.4709999999999999E-2</v>
      </c>
      <c r="D118" s="11">
        <v>7.4389999999999998E-2</v>
      </c>
      <c r="E118" s="11">
        <v>7.4990000000000001E-2</v>
      </c>
      <c r="F118" s="11">
        <v>7.4189999999999992E-2</v>
      </c>
      <c r="G118" s="12">
        <v>4.7999999999999996E-3</v>
      </c>
    </row>
    <row r="119" spans="2:7">
      <c r="B119" s="1">
        <v>42461</v>
      </c>
      <c r="C119" s="11">
        <v>7.4349999999999999E-2</v>
      </c>
      <c r="D119" s="11">
        <v>7.4509999999999993E-2</v>
      </c>
      <c r="E119" s="11">
        <v>7.4959999999999999E-2</v>
      </c>
      <c r="F119" s="11">
        <v>7.3529999999999998E-2</v>
      </c>
      <c r="G119" s="12">
        <v>-3.2000000000000002E-3</v>
      </c>
    </row>
    <row r="120" spans="2:7">
      <c r="B120" s="1">
        <v>42430</v>
      </c>
      <c r="C120" s="11">
        <v>7.458999999999999E-2</v>
      </c>
      <c r="D120" s="11">
        <v>7.6299999999999993E-2</v>
      </c>
      <c r="E120" s="11">
        <v>7.6719999999999997E-2</v>
      </c>
      <c r="F120" s="11">
        <v>7.4529999999999999E-2</v>
      </c>
      <c r="G120" s="12">
        <v>-2.1499999999999998E-2</v>
      </c>
    </row>
    <row r="121" spans="2:7">
      <c r="B121" s="1">
        <v>42401</v>
      </c>
      <c r="C121" s="11">
        <v>7.6230000000000006E-2</v>
      </c>
      <c r="D121" s="11">
        <v>7.7929999999999999E-2</v>
      </c>
      <c r="E121" s="11">
        <v>7.8789999999999999E-2</v>
      </c>
      <c r="F121" s="11">
        <v>7.6170000000000002E-2</v>
      </c>
      <c r="G121" s="12">
        <v>-2.01E-2</v>
      </c>
    </row>
    <row r="122" spans="2:7">
      <c r="B122" s="1">
        <v>42370</v>
      </c>
      <c r="C122" s="11">
        <v>7.7789999999999998E-2</v>
      </c>
      <c r="D122" s="11">
        <v>7.7539999999999998E-2</v>
      </c>
      <c r="E122" s="11">
        <v>7.8320000000000001E-2</v>
      </c>
      <c r="F122" s="11">
        <v>7.707E-2</v>
      </c>
      <c r="G122" s="12">
        <v>2.7000000000000001E-3</v>
      </c>
    </row>
    <row r="123" spans="2:7">
      <c r="B123" s="1">
        <v>42339</v>
      </c>
      <c r="C123" s="11">
        <v>7.7579999999999996E-2</v>
      </c>
      <c r="D123" s="11">
        <v>7.7850000000000003E-2</v>
      </c>
      <c r="E123" s="11">
        <v>7.8179999999999999E-2</v>
      </c>
      <c r="F123" s="11">
        <v>7.6859999999999998E-2</v>
      </c>
      <c r="G123" s="12">
        <v>-3.5999999999999999E-3</v>
      </c>
    </row>
    <row r="124" spans="2:7">
      <c r="B124" s="1">
        <v>42309</v>
      </c>
      <c r="C124" s="11">
        <v>7.7859999999999999E-2</v>
      </c>
      <c r="D124" s="11">
        <v>7.6399999999999996E-2</v>
      </c>
      <c r="E124" s="11">
        <v>7.7880000000000005E-2</v>
      </c>
      <c r="F124" s="11">
        <v>7.6100000000000001E-2</v>
      </c>
      <c r="G124" s="12">
        <v>1.9099999999999999E-2</v>
      </c>
    </row>
    <row r="125" spans="2:7">
      <c r="B125" s="1">
        <v>42278</v>
      </c>
      <c r="C125" s="11">
        <v>7.6399999999999996E-2</v>
      </c>
      <c r="D125" s="11">
        <v>7.5270000000000004E-2</v>
      </c>
      <c r="E125" s="11">
        <v>7.6479999999999992E-2</v>
      </c>
      <c r="F125" s="11">
        <v>7.4959999999999999E-2</v>
      </c>
      <c r="G125" s="12">
        <v>1.34E-2</v>
      </c>
    </row>
    <row r="126" spans="2:7">
      <c r="B126" s="1">
        <v>42248</v>
      </c>
      <c r="C126" s="11">
        <v>7.5389999999999999E-2</v>
      </c>
      <c r="D126" s="11">
        <v>7.7929999999999999E-2</v>
      </c>
      <c r="E126" s="11">
        <v>7.8030000000000002E-2</v>
      </c>
      <c r="F126" s="11">
        <v>7.5270000000000004E-2</v>
      </c>
      <c r="G126" s="12">
        <v>-3.15E-2</v>
      </c>
    </row>
    <row r="127" spans="2:7">
      <c r="B127" s="1">
        <v>42217</v>
      </c>
      <c r="C127" s="11">
        <v>7.7839999999999993E-2</v>
      </c>
      <c r="D127" s="11">
        <v>7.7880000000000005E-2</v>
      </c>
      <c r="E127" s="11">
        <v>7.911E-2</v>
      </c>
      <c r="F127" s="11">
        <v>7.7119999999999994E-2</v>
      </c>
      <c r="G127" s="12">
        <v>-2.8E-3</v>
      </c>
    </row>
    <row r="128" spans="2:7">
      <c r="B128" s="1">
        <v>42186</v>
      </c>
      <c r="C128" s="11">
        <v>7.8060000000000004E-2</v>
      </c>
      <c r="D128" s="11">
        <v>7.8649999999999998E-2</v>
      </c>
      <c r="E128" s="11">
        <v>7.9089999999999994E-2</v>
      </c>
      <c r="F128" s="11">
        <v>7.7249999999999999E-2</v>
      </c>
      <c r="G128" s="12">
        <v>-7.0000000000000001E-3</v>
      </c>
    </row>
    <row r="129" spans="2:7">
      <c r="B129" s="1">
        <v>42156</v>
      </c>
      <c r="C129" s="11">
        <v>7.8609999999999999E-2</v>
      </c>
      <c r="D129" s="11">
        <v>7.8149999999999997E-2</v>
      </c>
      <c r="E129" s="11">
        <v>8.0169999999999991E-2</v>
      </c>
      <c r="F129" s="11">
        <v>7.689E-2</v>
      </c>
      <c r="G129" s="12">
        <v>5.8999999999999999E-3</v>
      </c>
    </row>
    <row r="130" spans="2:7">
      <c r="B130" s="1">
        <v>42125</v>
      </c>
      <c r="C130" s="11">
        <v>7.8149999999999997E-2</v>
      </c>
      <c r="D130" s="11">
        <v>7.8750000000000001E-2</v>
      </c>
      <c r="E130" s="11">
        <v>8.0070000000000002E-2</v>
      </c>
      <c r="F130" s="11">
        <v>7.8090000000000007E-2</v>
      </c>
      <c r="G130" s="12">
        <v>-5.7000000000000002E-3</v>
      </c>
    </row>
    <row r="131" spans="2:7">
      <c r="B131" s="1">
        <v>42095</v>
      </c>
      <c r="C131" s="11">
        <v>7.8600000000000003E-2</v>
      </c>
      <c r="D131" s="11">
        <v>7.7220000000000011E-2</v>
      </c>
      <c r="E131" s="11">
        <v>7.8730000000000008E-2</v>
      </c>
      <c r="F131" s="11">
        <v>7.7109999999999998E-2</v>
      </c>
      <c r="G131" s="12">
        <v>1.5800000000000002E-2</v>
      </c>
    </row>
    <row r="132" spans="2:7">
      <c r="B132" s="1">
        <v>42064</v>
      </c>
      <c r="C132" s="11">
        <v>7.7380000000000004E-2</v>
      </c>
      <c r="D132" s="11">
        <v>7.7380000000000004E-2</v>
      </c>
      <c r="E132" s="11">
        <v>7.8109999999999999E-2</v>
      </c>
      <c r="F132" s="11">
        <v>7.6479999999999992E-2</v>
      </c>
      <c r="G132" s="12">
        <v>1.8E-3</v>
      </c>
    </row>
    <row r="133" spans="2:7">
      <c r="B133" s="1">
        <v>42036</v>
      </c>
      <c r="C133" s="11">
        <v>7.7240000000000003E-2</v>
      </c>
      <c r="D133" s="11">
        <v>7.6999999999999999E-2</v>
      </c>
      <c r="E133" s="11">
        <v>7.7519999999999992E-2</v>
      </c>
      <c r="F133" s="11">
        <v>7.6399999999999996E-2</v>
      </c>
      <c r="G133" s="12">
        <v>4.3E-3</v>
      </c>
    </row>
    <row r="134" spans="2:7">
      <c r="B134" s="1">
        <v>42005</v>
      </c>
      <c r="C134" s="11">
        <v>7.6909999999999992E-2</v>
      </c>
      <c r="D134" s="11">
        <v>7.8520000000000006E-2</v>
      </c>
      <c r="E134" s="11">
        <v>7.918E-2</v>
      </c>
      <c r="F134" s="11">
        <v>7.6719999999999997E-2</v>
      </c>
      <c r="G134" s="12">
        <v>-2.0899999999999998E-2</v>
      </c>
    </row>
    <row r="135" spans="2:7">
      <c r="B135" s="1">
        <v>41974</v>
      </c>
      <c r="C135" s="11">
        <v>7.8550000000000009E-2</v>
      </c>
      <c r="D135" s="11">
        <v>8.0579999999999999E-2</v>
      </c>
      <c r="E135" s="11">
        <v>8.1099999999999992E-2</v>
      </c>
      <c r="F135" s="11">
        <v>7.7800000000000008E-2</v>
      </c>
      <c r="G135" s="12">
        <v>-2.87E-2</v>
      </c>
    </row>
    <row r="136" spans="2:7">
      <c r="B136" s="1">
        <v>41944</v>
      </c>
      <c r="C136" s="11">
        <v>8.0869999999999997E-2</v>
      </c>
      <c r="D136" s="11">
        <v>8.2619999999999999E-2</v>
      </c>
      <c r="E136" s="11">
        <v>8.2659999999999997E-2</v>
      </c>
      <c r="F136" s="11">
        <v>8.0589999999999995E-2</v>
      </c>
      <c r="G136" s="12">
        <v>-2.3099999999999999E-2</v>
      </c>
    </row>
    <row r="137" spans="2:7">
      <c r="B137" s="1">
        <v>41913</v>
      </c>
      <c r="C137" s="11">
        <v>8.2780000000000006E-2</v>
      </c>
      <c r="D137" s="11">
        <v>8.5109999999999991E-2</v>
      </c>
      <c r="E137" s="11">
        <v>8.5109999999999991E-2</v>
      </c>
      <c r="F137" s="11">
        <v>8.2550000000000012E-2</v>
      </c>
      <c r="G137" s="12">
        <v>-2.7400000000000001E-2</v>
      </c>
    </row>
    <row r="138" spans="2:7">
      <c r="B138" s="1">
        <v>41883</v>
      </c>
      <c r="C138" s="11">
        <v>8.5109999999999991E-2</v>
      </c>
      <c r="D138" s="11">
        <v>8.5630000000000012E-2</v>
      </c>
      <c r="E138" s="11">
        <v>8.5630000000000012E-2</v>
      </c>
      <c r="F138" s="11">
        <v>8.4229999999999999E-2</v>
      </c>
      <c r="G138" s="12">
        <v>-5.5999999999999999E-3</v>
      </c>
    </row>
    <row r="139" spans="2:7">
      <c r="B139" s="1">
        <v>41852</v>
      </c>
      <c r="C139" s="11">
        <v>8.5589999999999999E-2</v>
      </c>
      <c r="D139" s="11">
        <v>8.7469999999999992E-2</v>
      </c>
      <c r="E139" s="11">
        <v>8.8900000000000007E-2</v>
      </c>
      <c r="F139" s="11">
        <v>8.478999999999999E-2</v>
      </c>
      <c r="G139" s="12">
        <v>-1.8200000000000001E-2</v>
      </c>
    </row>
    <row r="140" spans="2:7">
      <c r="B140" s="1">
        <v>41821</v>
      </c>
      <c r="C140" s="11">
        <v>8.7179999999999994E-2</v>
      </c>
      <c r="D140" s="11">
        <v>8.7390000000000009E-2</v>
      </c>
      <c r="E140" s="11">
        <v>8.8399999999999992E-2</v>
      </c>
      <c r="F140" s="11">
        <v>8.634E-2</v>
      </c>
      <c r="G140" s="12">
        <v>-3.0000000000000001E-3</v>
      </c>
    </row>
    <row r="141" spans="2:7">
      <c r="B141" s="1">
        <v>41791</v>
      </c>
      <c r="C141" s="11">
        <v>8.7440000000000004E-2</v>
      </c>
      <c r="D141" s="11">
        <v>8.6519999999999986E-2</v>
      </c>
      <c r="E141" s="11">
        <v>8.7849999999999998E-2</v>
      </c>
      <c r="F141" s="11">
        <v>8.4970000000000004E-2</v>
      </c>
      <c r="G141" s="12">
        <v>1.15E-2</v>
      </c>
    </row>
    <row r="142" spans="2:7">
      <c r="B142" s="1">
        <v>41760</v>
      </c>
      <c r="C142" s="11">
        <v>8.6449999999999999E-2</v>
      </c>
      <c r="D142" s="11">
        <v>8.8160000000000002E-2</v>
      </c>
      <c r="E142" s="11">
        <v>8.8749999999999996E-2</v>
      </c>
      <c r="F142" s="11">
        <v>8.5999999999999993E-2</v>
      </c>
      <c r="G142" s="12">
        <v>-2.07E-2</v>
      </c>
    </row>
    <row r="143" spans="2:7">
      <c r="B143" s="1">
        <v>41730</v>
      </c>
      <c r="C143" s="11">
        <v>8.8279999999999997E-2</v>
      </c>
      <c r="D143" s="11">
        <v>8.863E-2</v>
      </c>
      <c r="E143" s="11">
        <v>9.1289999999999996E-2</v>
      </c>
      <c r="F143" s="11">
        <v>8.8109999999999994E-2</v>
      </c>
      <c r="G143" s="12">
        <v>2.7000000000000001E-3</v>
      </c>
    </row>
    <row r="144" spans="2:7">
      <c r="B144" s="1">
        <v>41699</v>
      </c>
      <c r="C144" s="11">
        <v>8.8040000000000007E-2</v>
      </c>
      <c r="D144" s="11">
        <v>8.8650000000000007E-2</v>
      </c>
      <c r="E144" s="11">
        <v>8.925000000000001E-2</v>
      </c>
      <c r="F144" s="11">
        <v>8.695E-2</v>
      </c>
      <c r="G144" s="12">
        <v>-6.4999999999999997E-3</v>
      </c>
    </row>
    <row r="145" spans="2:7">
      <c r="B145" s="1">
        <v>41671</v>
      </c>
      <c r="C145" s="11">
        <v>8.8620000000000004E-2</v>
      </c>
      <c r="D145" s="11">
        <v>8.7739999999999985E-2</v>
      </c>
      <c r="E145" s="11">
        <v>8.9429999999999996E-2</v>
      </c>
      <c r="F145" s="11">
        <v>8.659E-2</v>
      </c>
      <c r="G145" s="12">
        <v>1.0500000000000001E-2</v>
      </c>
    </row>
    <row r="146" spans="2:7">
      <c r="B146" s="1">
        <v>41640</v>
      </c>
      <c r="C146" s="11">
        <v>8.77E-2</v>
      </c>
      <c r="D146" s="11">
        <v>8.8279999999999997E-2</v>
      </c>
      <c r="E146" s="11">
        <v>8.8779999999999998E-2</v>
      </c>
      <c r="F146" s="11">
        <v>8.4930000000000005E-2</v>
      </c>
      <c r="G146" s="12">
        <v>-5.7000000000000002E-3</v>
      </c>
    </row>
    <row r="147" spans="2:7">
      <c r="B147" s="1">
        <v>41609</v>
      </c>
      <c r="C147" s="11">
        <v>8.8200000000000001E-2</v>
      </c>
      <c r="D147" s="11">
        <v>9.0579999999999994E-2</v>
      </c>
      <c r="E147" s="11">
        <v>9.1899999999999996E-2</v>
      </c>
      <c r="F147" s="11">
        <v>8.7430000000000008E-2</v>
      </c>
      <c r="G147" s="12">
        <v>-2.4799999999999999E-2</v>
      </c>
    </row>
    <row r="148" spans="2:7">
      <c r="B148" s="1">
        <v>41579</v>
      </c>
      <c r="C148" s="11">
        <v>9.0440000000000006E-2</v>
      </c>
      <c r="D148" s="11">
        <v>8.657999999999999E-2</v>
      </c>
      <c r="E148" s="11">
        <v>9.1440000000000007E-2</v>
      </c>
      <c r="F148" s="11">
        <v>8.6379999999999998E-2</v>
      </c>
      <c r="G148" s="12">
        <v>4.8599999999999997E-2</v>
      </c>
    </row>
    <row r="149" spans="2:7">
      <c r="B149" s="1">
        <v>41548</v>
      </c>
      <c r="C149" s="11">
        <v>8.6249999999999993E-2</v>
      </c>
      <c r="D149" s="11">
        <v>8.7129999999999985E-2</v>
      </c>
      <c r="E149" s="11">
        <v>8.7430000000000008E-2</v>
      </c>
      <c r="F149" s="11">
        <v>8.3960000000000007E-2</v>
      </c>
      <c r="G149" s="12">
        <v>-1.61E-2</v>
      </c>
    </row>
    <row r="150" spans="2:7">
      <c r="B150" s="1">
        <v>41518</v>
      </c>
      <c r="C150" s="11">
        <v>8.7660000000000002E-2</v>
      </c>
      <c r="D150" s="11">
        <v>8.5879999999999998E-2</v>
      </c>
      <c r="E150" s="11">
        <v>8.9009999999999992E-2</v>
      </c>
      <c r="F150" s="11">
        <v>8.1630000000000008E-2</v>
      </c>
      <c r="G150" s="12">
        <v>1.9800000000000002E-2</v>
      </c>
    </row>
    <row r="151" spans="2:7">
      <c r="B151" s="1">
        <v>41487</v>
      </c>
      <c r="C151" s="11">
        <v>8.5959999999999995E-2</v>
      </c>
      <c r="D151" s="11">
        <v>8.1720000000000001E-2</v>
      </c>
      <c r="E151" s="11">
        <v>9.4839999999999994E-2</v>
      </c>
      <c r="F151" s="11">
        <v>8.0380000000000007E-2</v>
      </c>
      <c r="G151" s="12">
        <v>5.1900000000000002E-2</v>
      </c>
    </row>
    <row r="152" spans="2:7">
      <c r="B152" s="1">
        <v>41456</v>
      </c>
      <c r="C152" s="11">
        <v>8.1720000000000001E-2</v>
      </c>
      <c r="D152" s="11">
        <v>7.4630000000000002E-2</v>
      </c>
      <c r="E152" s="11">
        <v>8.4809999999999997E-2</v>
      </c>
      <c r="F152" s="11">
        <v>7.4090000000000003E-2</v>
      </c>
      <c r="G152" s="12">
        <v>9.8500000000000004E-2</v>
      </c>
    </row>
    <row r="153" spans="2:7">
      <c r="B153" s="1">
        <v>41426</v>
      </c>
      <c r="C153" s="11">
        <v>7.4389999999999998E-2</v>
      </c>
      <c r="D153" s="11">
        <v>7.424E-2</v>
      </c>
      <c r="E153" s="11">
        <v>7.5920000000000001E-2</v>
      </c>
      <c r="F153" s="11">
        <v>7.1919999999999998E-2</v>
      </c>
      <c r="G153" s="12">
        <v>-5.0000000000000001E-4</v>
      </c>
    </row>
    <row r="154" spans="2:7">
      <c r="B154" s="1">
        <v>41395</v>
      </c>
      <c r="C154" s="11">
        <v>7.4429999999999996E-2</v>
      </c>
      <c r="D154" s="11">
        <v>7.7130000000000004E-2</v>
      </c>
      <c r="E154" s="11">
        <v>7.8009999999999996E-2</v>
      </c>
      <c r="F154" s="11">
        <v>7.3150000000000007E-2</v>
      </c>
      <c r="G154" s="12">
        <v>-3.73E-2</v>
      </c>
    </row>
    <row r="155" spans="2:7">
      <c r="B155" s="1">
        <v>41365</v>
      </c>
      <c r="C155" s="11">
        <v>7.7310000000000004E-2</v>
      </c>
      <c r="D155" s="11">
        <v>7.9600000000000004E-2</v>
      </c>
      <c r="E155" s="11">
        <v>8.0070000000000002E-2</v>
      </c>
      <c r="F155" s="11">
        <v>7.7109999999999998E-2</v>
      </c>
      <c r="G155" s="12">
        <v>-2.7699999999999999E-2</v>
      </c>
    </row>
    <row r="156" spans="2:7">
      <c r="B156" s="1">
        <v>41334</v>
      </c>
      <c r="C156" s="11">
        <v>7.9509999999999997E-2</v>
      </c>
      <c r="D156" s="11">
        <v>7.8550000000000009E-2</v>
      </c>
      <c r="E156" s="11">
        <v>7.9909999999999995E-2</v>
      </c>
      <c r="F156" s="11">
        <v>7.8320000000000001E-2</v>
      </c>
      <c r="G156" s="12">
        <v>0.01</v>
      </c>
    </row>
    <row r="157" spans="2:7">
      <c r="B157" s="1">
        <v>41306</v>
      </c>
      <c r="C157" s="11">
        <v>7.8719999999999998E-2</v>
      </c>
      <c r="D157" s="11">
        <v>7.9250000000000001E-2</v>
      </c>
      <c r="E157" s="11">
        <v>7.9390000000000002E-2</v>
      </c>
      <c r="F157" s="11">
        <v>7.782E-2</v>
      </c>
      <c r="G157" s="12">
        <v>-5.1000000000000004E-3</v>
      </c>
    </row>
    <row r="158" spans="2:7">
      <c r="B158" s="1">
        <v>41275</v>
      </c>
      <c r="C158" s="11">
        <v>7.9119999999999996E-2</v>
      </c>
      <c r="D158" s="11">
        <v>7.9839999999999994E-2</v>
      </c>
      <c r="E158" s="11">
        <v>8.0100000000000005E-2</v>
      </c>
      <c r="F158" s="11">
        <v>7.7910000000000007E-2</v>
      </c>
      <c r="G158" s="12">
        <v>-1.7000000000000001E-2</v>
      </c>
    </row>
    <row r="159" spans="2:7">
      <c r="B159" s="1">
        <v>41244</v>
      </c>
      <c r="C159" s="11">
        <v>8.0489999999999992E-2</v>
      </c>
      <c r="D159" s="11">
        <v>8.1689999999999999E-2</v>
      </c>
      <c r="E159" s="11">
        <v>8.1869999999999998E-2</v>
      </c>
      <c r="F159" s="11">
        <v>8.0350000000000005E-2</v>
      </c>
      <c r="G159" s="12">
        <v>-1.54E-2</v>
      </c>
    </row>
    <row r="160" spans="2:7">
      <c r="B160" s="1">
        <v>41214</v>
      </c>
      <c r="C160" s="11">
        <v>8.1750000000000003E-2</v>
      </c>
      <c r="D160" s="11">
        <v>8.2210000000000005E-2</v>
      </c>
      <c r="E160" s="11">
        <v>8.2369999999999999E-2</v>
      </c>
      <c r="F160" s="11">
        <v>8.1630000000000008E-2</v>
      </c>
      <c r="G160" s="12">
        <v>-4.8999999999999998E-3</v>
      </c>
    </row>
    <row r="161" spans="2:7">
      <c r="B161" s="1">
        <v>41183</v>
      </c>
      <c r="C161" s="11">
        <v>8.2150000000000001E-2</v>
      </c>
      <c r="D161" s="11">
        <v>8.1470000000000001E-2</v>
      </c>
      <c r="E161" s="11">
        <v>8.2210000000000005E-2</v>
      </c>
      <c r="F161" s="11">
        <v>8.1140000000000004E-2</v>
      </c>
      <c r="G161" s="12">
        <v>8.0999999999999996E-3</v>
      </c>
    </row>
    <row r="162" spans="2:7">
      <c r="B162" s="1">
        <v>41153</v>
      </c>
      <c r="C162" s="11">
        <v>8.1489999999999993E-2</v>
      </c>
      <c r="D162" s="11">
        <v>8.2360000000000003E-2</v>
      </c>
      <c r="E162" s="11">
        <v>8.2360000000000003E-2</v>
      </c>
      <c r="F162" s="11">
        <v>8.1180000000000002E-2</v>
      </c>
      <c r="G162" s="12">
        <v>-1.12E-2</v>
      </c>
    </row>
    <row r="163" spans="2:7">
      <c r="B163" s="1">
        <v>41122</v>
      </c>
      <c r="C163" s="11">
        <v>8.2409999999999997E-2</v>
      </c>
      <c r="D163" s="11">
        <v>8.2430000000000003E-2</v>
      </c>
      <c r="E163" s="11">
        <v>8.2799999999999999E-2</v>
      </c>
      <c r="F163" s="11">
        <v>8.1079999999999999E-2</v>
      </c>
      <c r="G163" s="12">
        <v>-5.0000000000000001E-4</v>
      </c>
    </row>
    <row r="164" spans="2:7">
      <c r="B164" s="1">
        <v>41091</v>
      </c>
      <c r="C164" s="11">
        <v>8.2449999999999996E-2</v>
      </c>
      <c r="D164" s="11">
        <v>8.4339999999999998E-2</v>
      </c>
      <c r="E164" s="11">
        <v>8.4339999999999998E-2</v>
      </c>
      <c r="F164" s="11">
        <v>8.0180000000000001E-2</v>
      </c>
      <c r="G164" s="12">
        <v>-1.61E-2</v>
      </c>
    </row>
    <row r="165" spans="2:7">
      <c r="B165" s="1">
        <v>41061</v>
      </c>
      <c r="C165" s="11">
        <v>8.3800000000000013E-2</v>
      </c>
      <c r="D165" s="11">
        <v>8.3589999999999998E-2</v>
      </c>
      <c r="E165" s="11">
        <v>8.4589999999999999E-2</v>
      </c>
      <c r="F165" s="11">
        <v>8.2449999999999996E-2</v>
      </c>
      <c r="G165" s="12">
        <v>4.0000000000000002E-4</v>
      </c>
    </row>
    <row r="166" spans="2:7">
      <c r="B166" s="1">
        <v>41030</v>
      </c>
      <c r="C166" s="11">
        <v>8.3770000000000011E-2</v>
      </c>
      <c r="D166" s="11">
        <v>8.7029999999999996E-2</v>
      </c>
      <c r="E166" s="11">
        <v>8.7029999999999996E-2</v>
      </c>
      <c r="F166" s="11">
        <v>8.3640000000000006E-2</v>
      </c>
      <c r="G166" s="12">
        <v>-3.39E-2</v>
      </c>
    </row>
    <row r="167" spans="2:7">
      <c r="B167" s="1">
        <v>41000</v>
      </c>
      <c r="C167" s="11">
        <v>8.6709999999999995E-2</v>
      </c>
      <c r="D167" s="11">
        <v>8.5139999999999993E-2</v>
      </c>
      <c r="E167" s="11">
        <v>8.7569999999999995E-2</v>
      </c>
      <c r="F167" s="11">
        <v>8.3119999999999999E-2</v>
      </c>
      <c r="G167" s="12">
        <v>1.15E-2</v>
      </c>
    </row>
    <row r="168" spans="2:7">
      <c r="B168" s="1">
        <v>40969</v>
      </c>
      <c r="C168" s="11">
        <v>8.5719999999999991E-2</v>
      </c>
      <c r="D168" s="11">
        <v>8.2089999999999996E-2</v>
      </c>
      <c r="E168" s="11">
        <v>8.6300000000000002E-2</v>
      </c>
      <c r="F168" s="11">
        <v>8.1989999999999993E-2</v>
      </c>
      <c r="G168" s="12">
        <v>4.5499999999999999E-2</v>
      </c>
    </row>
    <row r="169" spans="2:7">
      <c r="B169" s="1">
        <v>40940</v>
      </c>
      <c r="C169" s="11">
        <v>8.1989999999999993E-2</v>
      </c>
      <c r="D169" s="11">
        <v>8.1329999999999986E-2</v>
      </c>
      <c r="E169" s="11">
        <v>8.2729999999999998E-2</v>
      </c>
      <c r="F169" s="11">
        <v>8.0990000000000006E-2</v>
      </c>
      <c r="G169" s="12">
        <v>-8.2000000000000007E-3</v>
      </c>
    </row>
    <row r="170" spans="2:7">
      <c r="B170" s="1">
        <v>40909</v>
      </c>
      <c r="C170" s="11">
        <v>8.2669999999999993E-2</v>
      </c>
      <c r="D170" s="11">
        <v>8.632999999999999E-2</v>
      </c>
      <c r="E170" s="11">
        <v>8.632999999999999E-2</v>
      </c>
      <c r="F170" s="11">
        <v>8.1089999999999995E-2</v>
      </c>
      <c r="G170" s="12">
        <v>-3.4200000000000001E-2</v>
      </c>
    </row>
    <row r="171" spans="2:7">
      <c r="B171" s="1">
        <v>40878</v>
      </c>
      <c r="C171" s="11">
        <v>8.5600000000000009E-2</v>
      </c>
      <c r="D171" s="11">
        <v>8.7400000000000005E-2</v>
      </c>
      <c r="E171" s="11">
        <v>8.7400000000000005E-2</v>
      </c>
      <c r="F171" s="11">
        <v>8.276E-2</v>
      </c>
      <c r="G171" s="12">
        <v>-2.0400000000000001E-2</v>
      </c>
    </row>
    <row r="172" spans="2:7">
      <c r="B172" s="1">
        <v>40848</v>
      </c>
      <c r="C172" s="11">
        <v>8.7379999999999999E-2</v>
      </c>
      <c r="D172" s="11">
        <v>8.9560000000000001E-2</v>
      </c>
      <c r="E172" s="11">
        <v>9.1319999999999998E-2</v>
      </c>
      <c r="F172" s="11">
        <v>8.7300000000000003E-2</v>
      </c>
      <c r="G172" s="12">
        <v>-1.5900000000000001E-2</v>
      </c>
    </row>
    <row r="173" spans="2:7">
      <c r="B173" s="1">
        <v>40817</v>
      </c>
      <c r="C173" s="11">
        <v>8.8789999999999994E-2</v>
      </c>
      <c r="D173" s="11">
        <v>8.5059999999999997E-2</v>
      </c>
      <c r="E173" s="11">
        <v>8.8789999999999994E-2</v>
      </c>
      <c r="F173" s="11">
        <v>8.5059999999999997E-2</v>
      </c>
      <c r="G173" s="12">
        <v>5.1799999999999999E-2</v>
      </c>
    </row>
    <row r="174" spans="2:7">
      <c r="B174" s="1">
        <v>40787</v>
      </c>
      <c r="C174" s="11">
        <v>8.4419999999999995E-2</v>
      </c>
      <c r="D174" s="11">
        <v>8.3379999999999996E-2</v>
      </c>
      <c r="E174" s="11">
        <v>8.4419999999999995E-2</v>
      </c>
      <c r="F174" s="11">
        <v>8.2810000000000009E-2</v>
      </c>
      <c r="G174" s="12">
        <v>1.4800000000000001E-2</v>
      </c>
    </row>
    <row r="175" spans="2:7">
      <c r="B175" s="1">
        <v>40756</v>
      </c>
      <c r="C175" s="11">
        <v>8.3190000000000014E-2</v>
      </c>
      <c r="D175" s="11">
        <v>8.4280000000000008E-2</v>
      </c>
      <c r="E175" s="11">
        <v>8.4610000000000005E-2</v>
      </c>
      <c r="F175" s="11">
        <v>8.1920000000000007E-2</v>
      </c>
      <c r="G175" s="12">
        <v>-1.6E-2</v>
      </c>
    </row>
    <row r="176" spans="2:7">
      <c r="B176" s="1">
        <v>40725</v>
      </c>
      <c r="C176" s="11">
        <v>8.4540000000000004E-2</v>
      </c>
      <c r="D176" s="11">
        <v>8.3569999999999992E-2</v>
      </c>
      <c r="E176" s="11">
        <v>8.471999999999999E-2</v>
      </c>
      <c r="F176" s="11">
        <v>8.2379999999999995E-2</v>
      </c>
      <c r="G176" s="12">
        <v>1.54E-2</v>
      </c>
    </row>
    <row r="177" spans="2:7">
      <c r="B177" s="1">
        <v>40695</v>
      </c>
      <c r="C177" s="11">
        <v>8.3260000000000001E-2</v>
      </c>
      <c r="D177" s="11">
        <v>8.3569999999999992E-2</v>
      </c>
      <c r="E177" s="11">
        <v>8.3970000000000003E-2</v>
      </c>
      <c r="F177" s="11">
        <v>8.1959999999999991E-2</v>
      </c>
      <c r="G177" s="12">
        <v>-1.01E-2</v>
      </c>
    </row>
    <row r="178" spans="2:7">
      <c r="B178" s="1">
        <v>40664</v>
      </c>
      <c r="C178" s="11">
        <v>8.410999999999999E-2</v>
      </c>
      <c r="D178" s="11">
        <v>8.1479999999999997E-2</v>
      </c>
      <c r="E178" s="11">
        <v>8.4610000000000005E-2</v>
      </c>
      <c r="F178" s="11">
        <v>8.138999999999999E-2</v>
      </c>
      <c r="G178" s="12">
        <v>3.39E-2</v>
      </c>
    </row>
    <row r="179" spans="2:7">
      <c r="B179" s="1">
        <v>40634</v>
      </c>
      <c r="C179" s="11">
        <v>8.1349999999999992E-2</v>
      </c>
      <c r="D179" s="11">
        <v>7.9890000000000003E-2</v>
      </c>
      <c r="E179" s="11">
        <v>8.1349999999999992E-2</v>
      </c>
      <c r="F179" s="11">
        <v>7.9640000000000002E-2</v>
      </c>
      <c r="G179" s="12">
        <v>1.8800000000000001E-2</v>
      </c>
    </row>
    <row r="180" spans="2:7">
      <c r="B180" s="1">
        <v>40603</v>
      </c>
      <c r="C180" s="11">
        <v>7.9850000000000004E-2</v>
      </c>
      <c r="D180" s="11">
        <v>8.0159999999999995E-2</v>
      </c>
      <c r="E180" s="11">
        <v>8.0180000000000001E-2</v>
      </c>
      <c r="F180" s="11">
        <v>7.9310000000000005E-2</v>
      </c>
      <c r="G180" s="12">
        <v>-8.9999999999999998E-4</v>
      </c>
    </row>
    <row r="181" spans="2:7">
      <c r="B181" s="1">
        <v>40575</v>
      </c>
      <c r="C181" s="11">
        <v>7.9920000000000005E-2</v>
      </c>
      <c r="D181" s="11">
        <v>8.1449999999999995E-2</v>
      </c>
      <c r="E181" s="11">
        <v>8.2119999999999999E-2</v>
      </c>
      <c r="F181" s="11">
        <v>7.9920000000000005E-2</v>
      </c>
      <c r="G181" s="12">
        <v>-1.9099999999999999E-2</v>
      </c>
    </row>
    <row r="182" spans="2:7">
      <c r="B182" s="1">
        <v>40544</v>
      </c>
      <c r="C182" s="11">
        <v>8.1479999999999997E-2</v>
      </c>
      <c r="D182" s="11">
        <v>7.9500000000000001E-2</v>
      </c>
      <c r="E182" s="11">
        <v>8.2339999999999997E-2</v>
      </c>
      <c r="F182" s="11">
        <v>7.9500000000000001E-2</v>
      </c>
      <c r="G182" s="12">
        <v>2.9700000000000001E-2</v>
      </c>
    </row>
    <row r="183" spans="2:7">
      <c r="B183" s="1">
        <v>40513</v>
      </c>
      <c r="C183" s="11">
        <v>7.9130000000000006E-2</v>
      </c>
      <c r="D183" s="11">
        <v>8.0829999999999999E-2</v>
      </c>
      <c r="E183" s="11">
        <v>8.2189999999999999E-2</v>
      </c>
      <c r="F183" s="11">
        <v>7.893E-2</v>
      </c>
      <c r="G183" s="12">
        <v>-1.9E-2</v>
      </c>
    </row>
    <row r="184" spans="2:7">
      <c r="B184" s="1">
        <v>40483</v>
      </c>
      <c r="C184" s="11">
        <v>8.0660000000000009E-2</v>
      </c>
      <c r="D184" s="11">
        <v>8.115E-2</v>
      </c>
      <c r="E184" s="11">
        <v>8.115E-2</v>
      </c>
      <c r="F184" s="11">
        <v>7.9369999999999996E-2</v>
      </c>
      <c r="G184" s="12">
        <v>-6.7999999999999996E-3</v>
      </c>
    </row>
    <row r="185" spans="2:7">
      <c r="B185" s="1">
        <v>40452</v>
      </c>
      <c r="C185" s="11">
        <v>8.1210000000000004E-2</v>
      </c>
      <c r="D185" s="11">
        <v>7.8960000000000002E-2</v>
      </c>
      <c r="E185" s="11">
        <v>8.1769999999999995E-2</v>
      </c>
      <c r="F185" s="11">
        <v>7.8960000000000002E-2</v>
      </c>
      <c r="G185" s="12">
        <v>3.4299999999999997E-2</v>
      </c>
    </row>
    <row r="186" spans="2:7">
      <c r="B186" s="1">
        <v>40422</v>
      </c>
      <c r="C186" s="11">
        <v>7.8520000000000006E-2</v>
      </c>
      <c r="D186" s="11">
        <v>7.9420000000000004E-2</v>
      </c>
      <c r="E186" s="11">
        <v>8.0090000000000008E-2</v>
      </c>
      <c r="F186" s="11">
        <v>7.8329999999999997E-2</v>
      </c>
      <c r="G186" s="12">
        <v>-1.06E-2</v>
      </c>
    </row>
    <row r="187" spans="2:7">
      <c r="B187" s="1">
        <v>40391</v>
      </c>
      <c r="C187" s="11">
        <v>7.936E-2</v>
      </c>
      <c r="D187" s="11">
        <v>7.8570000000000001E-2</v>
      </c>
      <c r="E187" s="11">
        <v>8.0670000000000006E-2</v>
      </c>
      <c r="F187" s="11">
        <v>7.7839999999999993E-2</v>
      </c>
      <c r="G187" s="12">
        <v>1.7000000000000001E-2</v>
      </c>
    </row>
    <row r="188" spans="2:7">
      <c r="B188" s="1">
        <v>40360</v>
      </c>
      <c r="C188" s="11">
        <v>7.8030000000000002E-2</v>
      </c>
      <c r="D188" s="11">
        <v>7.5209999999999999E-2</v>
      </c>
      <c r="E188" s="11">
        <v>7.8030000000000002E-2</v>
      </c>
      <c r="F188" s="11">
        <v>7.5209999999999999E-2</v>
      </c>
      <c r="G188" s="12">
        <v>3.2000000000000001E-2</v>
      </c>
    </row>
    <row r="189" spans="2:7">
      <c r="B189" s="1">
        <v>40330</v>
      </c>
      <c r="C189" s="11">
        <v>7.5609999999999997E-2</v>
      </c>
      <c r="D189" s="11">
        <v>7.5639999999999999E-2</v>
      </c>
      <c r="E189" s="11">
        <v>7.6859999999999998E-2</v>
      </c>
      <c r="F189" s="11">
        <v>7.4630000000000002E-2</v>
      </c>
      <c r="G189" s="12">
        <v>-4.0000000000000002E-4</v>
      </c>
    </row>
    <row r="190" spans="2:7">
      <c r="B190" s="1">
        <v>40299</v>
      </c>
      <c r="C190" s="11">
        <v>7.5639999999999999E-2</v>
      </c>
      <c r="D190" s="11">
        <v>8.0700000000000008E-2</v>
      </c>
      <c r="E190" s="11">
        <v>8.0700000000000008E-2</v>
      </c>
      <c r="F190" s="11">
        <v>7.3680000000000009E-2</v>
      </c>
      <c r="G190" s="12">
        <v>-6.1699999999999998E-2</v>
      </c>
    </row>
    <row r="191" spans="2:7">
      <c r="B191" s="1">
        <v>40269</v>
      </c>
      <c r="C191" s="11">
        <v>8.0610000000000001E-2</v>
      </c>
      <c r="D191" s="11">
        <v>7.843E-2</v>
      </c>
      <c r="E191" s="11">
        <v>8.1240000000000007E-2</v>
      </c>
      <c r="F191" s="11">
        <v>7.7719999999999997E-2</v>
      </c>
      <c r="G191" s="12">
        <v>2.69E-2</v>
      </c>
    </row>
    <row r="192" spans="2:7">
      <c r="B192" s="1">
        <v>40238</v>
      </c>
      <c r="C192" s="11">
        <v>7.85E-2</v>
      </c>
      <c r="D192" s="11">
        <v>7.9199999999999993E-2</v>
      </c>
      <c r="E192" s="11">
        <v>8.0149999999999999E-2</v>
      </c>
      <c r="F192" s="11">
        <v>7.7380000000000004E-2</v>
      </c>
      <c r="G192" s="12">
        <v>-1.8E-3</v>
      </c>
    </row>
    <row r="193" spans="2:7">
      <c r="B193" s="1">
        <v>40210</v>
      </c>
      <c r="C193" s="11">
        <v>7.8640000000000002E-2</v>
      </c>
      <c r="D193" s="11">
        <v>7.5839999999999991E-2</v>
      </c>
      <c r="E193" s="11">
        <v>7.9229999999999995E-2</v>
      </c>
      <c r="F193" s="11">
        <v>7.5839999999999991E-2</v>
      </c>
      <c r="G193" s="12">
        <v>3.5999999999999997E-2</v>
      </c>
    </row>
    <row r="194" spans="2:7">
      <c r="B194" s="1">
        <v>40179</v>
      </c>
      <c r="C194" s="11">
        <v>7.5910000000000005E-2</v>
      </c>
      <c r="D194" s="11">
        <v>7.7060000000000003E-2</v>
      </c>
      <c r="E194" s="11">
        <v>7.8060000000000004E-2</v>
      </c>
      <c r="F194" s="11">
        <v>7.5380000000000003E-2</v>
      </c>
      <c r="G194" s="12">
        <v>-1.15E-2</v>
      </c>
    </row>
    <row r="195" spans="2:7">
      <c r="B195" s="1">
        <v>40148</v>
      </c>
      <c r="C195" s="11">
        <v>7.6789999999999997E-2</v>
      </c>
      <c r="D195" s="11">
        <v>7.2599999999999998E-2</v>
      </c>
      <c r="E195" s="11">
        <v>7.739E-2</v>
      </c>
      <c r="F195" s="11">
        <v>7.2599999999999998E-2</v>
      </c>
      <c r="G195" s="12">
        <v>5.8200000000000002E-2</v>
      </c>
    </row>
    <row r="196" spans="2:7">
      <c r="B196" s="1">
        <v>40118</v>
      </c>
      <c r="C196" s="11">
        <v>7.2569999999999996E-2</v>
      </c>
      <c r="D196" s="11">
        <v>7.288E-2</v>
      </c>
      <c r="E196" s="11">
        <v>7.3590000000000003E-2</v>
      </c>
      <c r="F196" s="11">
        <v>7.1680000000000008E-2</v>
      </c>
      <c r="G196" s="12">
        <v>-6.7000000000000002E-3</v>
      </c>
    </row>
    <row r="197" spans="2:7">
      <c r="B197" s="1">
        <v>40087</v>
      </c>
      <c r="C197" s="11">
        <v>7.306E-2</v>
      </c>
      <c r="D197" s="11">
        <v>7.1940000000000004E-2</v>
      </c>
      <c r="E197" s="11">
        <v>7.4619999999999992E-2</v>
      </c>
      <c r="F197" s="11">
        <v>7.1639999999999995E-2</v>
      </c>
      <c r="G197" s="12">
        <v>1.26E-2</v>
      </c>
    </row>
    <row r="198" spans="2:7">
      <c r="B198" s="1">
        <v>40057</v>
      </c>
      <c r="C198" s="11">
        <v>7.2149999999999992E-2</v>
      </c>
      <c r="D198" s="11">
        <v>7.2149999999999992E-2</v>
      </c>
      <c r="E198" s="11">
        <v>7.2149999999999992E-2</v>
      </c>
      <c r="F198" s="11">
        <v>7.2149999999999992E-2</v>
      </c>
      <c r="G198" s="12">
        <v>-2.9499999999999998E-2</v>
      </c>
    </row>
    <row r="199" spans="2:7">
      <c r="B199" s="1">
        <v>40026</v>
      </c>
      <c r="C199" s="11">
        <v>7.4340000000000003E-2</v>
      </c>
      <c r="D199" s="11">
        <v>7.4340000000000003E-2</v>
      </c>
      <c r="E199" s="11">
        <v>7.4340000000000003E-2</v>
      </c>
      <c r="F199" s="11">
        <v>7.4340000000000003E-2</v>
      </c>
      <c r="G199" s="12">
        <v>6.2300000000000001E-2</v>
      </c>
    </row>
    <row r="200" spans="2:7">
      <c r="B200" s="1">
        <v>39995</v>
      </c>
      <c r="C200" s="11">
        <v>6.9980000000000001E-2</v>
      </c>
      <c r="D200" s="11">
        <v>6.9980000000000001E-2</v>
      </c>
      <c r="E200" s="11">
        <v>6.9980000000000001E-2</v>
      </c>
      <c r="F200" s="11">
        <v>6.9980000000000001E-2</v>
      </c>
      <c r="G200" s="12">
        <v>-2.0999999999999999E-3</v>
      </c>
    </row>
    <row r="201" spans="2:7">
      <c r="B201" s="1">
        <v>39965</v>
      </c>
      <c r="C201" s="11">
        <v>7.0129999999999998E-2</v>
      </c>
      <c r="D201" s="11">
        <v>7.0129999999999998E-2</v>
      </c>
      <c r="E201" s="11">
        <v>7.0129999999999998E-2</v>
      </c>
      <c r="F201" s="11">
        <v>7.0129999999999998E-2</v>
      </c>
      <c r="G201" s="12">
        <v>4.5199999999999997E-2</v>
      </c>
    </row>
    <row r="202" spans="2:7">
      <c r="B202" s="1">
        <v>39934</v>
      </c>
      <c r="C202" s="11">
        <v>6.7099999999999993E-2</v>
      </c>
      <c r="D202" s="11">
        <v>6.7099999999999993E-2</v>
      </c>
      <c r="E202" s="11">
        <v>6.7099999999999993E-2</v>
      </c>
      <c r="F202" s="11">
        <v>6.7099999999999993E-2</v>
      </c>
      <c r="G202" s="12">
        <v>7.4999999999999997E-2</v>
      </c>
    </row>
    <row r="203" spans="2:7">
      <c r="B203" s="1">
        <v>39904</v>
      </c>
      <c r="C203" s="11">
        <v>6.2420000000000003E-2</v>
      </c>
      <c r="D203" s="11">
        <v>6.2420000000000003E-2</v>
      </c>
      <c r="E203" s="11">
        <v>6.2420000000000003E-2</v>
      </c>
      <c r="F203" s="11">
        <v>6.2420000000000003E-2</v>
      </c>
      <c r="G203" s="12">
        <v>-0.1101</v>
      </c>
    </row>
    <row r="204" spans="2:7">
      <c r="B204" s="1">
        <v>39873</v>
      </c>
      <c r="C204" s="11">
        <v>7.0140000000000008E-2</v>
      </c>
      <c r="D204" s="11">
        <v>7.0140000000000008E-2</v>
      </c>
      <c r="E204" s="11">
        <v>7.0140000000000008E-2</v>
      </c>
      <c r="F204" s="11">
        <v>7.0140000000000008E-2</v>
      </c>
      <c r="G204" s="12">
        <v>0.1084</v>
      </c>
    </row>
    <row r="205" spans="2:7">
      <c r="B205" s="1">
        <v>39845</v>
      </c>
      <c r="C205" s="11">
        <v>6.3280000000000003E-2</v>
      </c>
      <c r="D205" s="11">
        <v>6.3280000000000003E-2</v>
      </c>
      <c r="E205" s="11">
        <v>6.3280000000000003E-2</v>
      </c>
      <c r="F205" s="11">
        <v>6.3280000000000003E-2</v>
      </c>
      <c r="G205" s="12">
        <v>2.2800000000000001E-2</v>
      </c>
    </row>
    <row r="206" spans="2:7">
      <c r="B206" s="1">
        <v>39814</v>
      </c>
      <c r="C206" s="11">
        <v>6.1870000000000001E-2</v>
      </c>
      <c r="D206" s="11">
        <v>6.1870000000000001E-2</v>
      </c>
      <c r="E206" s="11">
        <v>6.1870000000000001E-2</v>
      </c>
      <c r="F206" s="11">
        <v>6.1870000000000001E-2</v>
      </c>
      <c r="G206" s="12">
        <v>0.1762</v>
      </c>
    </row>
    <row r="207" spans="2:7">
      <c r="B207" s="1">
        <v>39783</v>
      </c>
      <c r="C207" s="11">
        <v>5.2600000000000001E-2</v>
      </c>
      <c r="D207" s="11">
        <v>5.2600000000000001E-2</v>
      </c>
      <c r="E207" s="11">
        <v>5.2600000000000001E-2</v>
      </c>
      <c r="F207" s="11">
        <v>5.2600000000000001E-2</v>
      </c>
      <c r="G207" s="12">
        <v>-0.2571</v>
      </c>
    </row>
    <row r="208" spans="2:7">
      <c r="B208" s="1">
        <v>39753</v>
      </c>
      <c r="C208" s="11">
        <v>7.0800000000000002E-2</v>
      </c>
      <c r="D208" s="11">
        <v>7.0800000000000002E-2</v>
      </c>
      <c r="E208" s="11">
        <v>7.0800000000000002E-2</v>
      </c>
      <c r="F208" s="11">
        <v>7.0800000000000002E-2</v>
      </c>
      <c r="G208" s="12">
        <v>-5.3199999999999997E-2</v>
      </c>
    </row>
    <row r="209" spans="2:7">
      <c r="B209" s="1">
        <v>39722</v>
      </c>
      <c r="C209" s="11">
        <v>7.4779999999999999E-2</v>
      </c>
      <c r="D209" s="11">
        <v>7.4779999999999999E-2</v>
      </c>
      <c r="E209" s="11">
        <v>7.4779999999999999E-2</v>
      </c>
      <c r="F209" s="11">
        <v>7.4779999999999999E-2</v>
      </c>
      <c r="G209" s="12">
        <v>-0.13220000000000001</v>
      </c>
    </row>
    <row r="210" spans="2:7">
      <c r="B210" s="1">
        <v>39692</v>
      </c>
      <c r="C210" s="11">
        <v>8.617000000000001E-2</v>
      </c>
      <c r="D210" s="11">
        <v>8.617000000000001E-2</v>
      </c>
      <c r="E210" s="11">
        <v>8.617000000000001E-2</v>
      </c>
      <c r="F210" s="11">
        <v>8.617000000000001E-2</v>
      </c>
      <c r="G210" s="12">
        <v>-9.4999999999999998E-3</v>
      </c>
    </row>
    <row r="211" spans="2:7">
      <c r="B211" s="1">
        <v>39661</v>
      </c>
      <c r="C211" s="11">
        <v>8.6999999999999994E-2</v>
      </c>
      <c r="D211" s="11">
        <v>8.6999999999999994E-2</v>
      </c>
      <c r="E211" s="11">
        <v>8.6999999999999994E-2</v>
      </c>
      <c r="F211" s="11">
        <v>8.6999999999999994E-2</v>
      </c>
      <c r="G211" s="12">
        <v>-6.6100000000000006E-2</v>
      </c>
    </row>
    <row r="212" spans="2:7">
      <c r="B212" s="1">
        <v>39630</v>
      </c>
      <c r="C212" s="11">
        <v>9.3160000000000007E-2</v>
      </c>
      <c r="D212" s="11">
        <v>9.3160000000000007E-2</v>
      </c>
      <c r="E212" s="11">
        <v>9.3160000000000007E-2</v>
      </c>
      <c r="F212" s="11">
        <v>9.3160000000000007E-2</v>
      </c>
      <c r="G212" s="12">
        <v>6.9199999999999998E-2</v>
      </c>
    </row>
    <row r="213" spans="2:7">
      <c r="B213" s="1">
        <v>39600</v>
      </c>
      <c r="C213" s="11">
        <v>8.7129999999999985E-2</v>
      </c>
      <c r="D213" s="11">
        <v>8.7129999999999985E-2</v>
      </c>
      <c r="E213" s="11">
        <v>8.7129999999999985E-2</v>
      </c>
      <c r="F213" s="11">
        <v>8.7129999999999985E-2</v>
      </c>
      <c r="G213" s="12">
        <v>7.5499999999999998E-2</v>
      </c>
    </row>
    <row r="214" spans="2:7">
      <c r="B214" s="1">
        <v>39569</v>
      </c>
      <c r="C214" s="11">
        <v>8.1010000000000013E-2</v>
      </c>
      <c r="D214" s="11">
        <v>8.1010000000000013E-2</v>
      </c>
      <c r="E214" s="11">
        <v>8.1010000000000013E-2</v>
      </c>
      <c r="F214" s="11">
        <v>8.1010000000000013E-2</v>
      </c>
      <c r="G214" s="12">
        <v>1.8200000000000001E-2</v>
      </c>
    </row>
    <row r="215" spans="2:7">
      <c r="B215" s="1">
        <v>39539</v>
      </c>
      <c r="C215" s="11">
        <v>7.9560000000000006E-2</v>
      </c>
      <c r="D215" s="11">
        <v>7.9560000000000006E-2</v>
      </c>
      <c r="E215" s="11">
        <v>7.9560000000000006E-2</v>
      </c>
      <c r="F215" s="11">
        <v>7.9560000000000006E-2</v>
      </c>
      <c r="G215" s="12">
        <v>2.3E-3</v>
      </c>
    </row>
    <row r="216" spans="2:7">
      <c r="B216" s="1">
        <v>39508</v>
      </c>
      <c r="C216" s="11">
        <v>7.9379999999999992E-2</v>
      </c>
      <c r="D216" s="11">
        <v>7.9379999999999992E-2</v>
      </c>
      <c r="E216" s="11">
        <v>7.9379999999999992E-2</v>
      </c>
      <c r="F216" s="11">
        <v>7.9379999999999992E-2</v>
      </c>
      <c r="G216" s="12">
        <v>4.8899999999999999E-2</v>
      </c>
    </row>
    <row r="217" spans="2:7">
      <c r="B217" s="1">
        <v>39479</v>
      </c>
      <c r="C217" s="11">
        <v>7.5679999999999997E-2</v>
      </c>
      <c r="D217" s="11">
        <v>7.5679999999999997E-2</v>
      </c>
      <c r="E217" s="11">
        <v>7.5679999999999997E-2</v>
      </c>
      <c r="F217" s="11">
        <v>7.5679999999999997E-2</v>
      </c>
      <c r="G217" s="12">
        <v>5.1999999999999998E-3</v>
      </c>
    </row>
    <row r="218" spans="2:7">
      <c r="B218" s="1">
        <v>39448</v>
      </c>
      <c r="C218" s="11">
        <v>7.5289999999999996E-2</v>
      </c>
      <c r="D218" s="11">
        <v>7.5289999999999996E-2</v>
      </c>
      <c r="E218" s="11">
        <v>7.5289999999999996E-2</v>
      </c>
      <c r="F218" s="11">
        <v>7.5289999999999996E-2</v>
      </c>
      <c r="G218" s="12">
        <v>-3.3599999999999998E-2</v>
      </c>
    </row>
    <row r="219" spans="2:7">
      <c r="B219" s="1">
        <v>39417</v>
      </c>
      <c r="C219" s="11">
        <v>7.7910000000000007E-2</v>
      </c>
      <c r="D219" s="11">
        <v>7.7910000000000007E-2</v>
      </c>
      <c r="E219" s="11">
        <v>7.7910000000000007E-2</v>
      </c>
      <c r="F219" s="11">
        <v>7.7910000000000007E-2</v>
      </c>
      <c r="G219" s="12">
        <v>-1.44E-2</v>
      </c>
    </row>
    <row r="220" spans="2:7">
      <c r="B220" s="1">
        <v>39387</v>
      </c>
      <c r="C220" s="11">
        <v>7.9050000000000009E-2</v>
      </c>
      <c r="D220" s="11">
        <v>7.9050000000000009E-2</v>
      </c>
      <c r="E220" s="11">
        <v>7.9050000000000009E-2</v>
      </c>
      <c r="F220" s="11">
        <v>7.9050000000000009E-2</v>
      </c>
      <c r="G220" s="12">
        <v>8.3999999999999995E-3</v>
      </c>
    </row>
    <row r="221" spans="2:7">
      <c r="B221" s="1">
        <v>39356</v>
      </c>
      <c r="C221" s="11">
        <v>7.8390000000000001E-2</v>
      </c>
      <c r="D221" s="11">
        <v>7.8390000000000001E-2</v>
      </c>
      <c r="E221" s="11">
        <v>7.8390000000000001E-2</v>
      </c>
      <c r="F221" s="11">
        <v>7.8390000000000001E-2</v>
      </c>
      <c r="G221" s="12">
        <v>-1.09E-2</v>
      </c>
    </row>
    <row r="222" spans="2:7">
      <c r="B222" s="1">
        <v>39326</v>
      </c>
      <c r="C222" s="11">
        <v>7.9250000000000001E-2</v>
      </c>
      <c r="D222" s="11">
        <v>7.9250000000000001E-2</v>
      </c>
      <c r="E222" s="11">
        <v>7.9250000000000001E-2</v>
      </c>
      <c r="F222" s="11">
        <v>7.9250000000000001E-2</v>
      </c>
      <c r="G222" s="12">
        <v>-5.9999999999999995E-4</v>
      </c>
    </row>
    <row r="223" spans="2:7">
      <c r="B223" s="1">
        <v>39295</v>
      </c>
      <c r="C223" s="11">
        <v>7.9299999999999995E-2</v>
      </c>
      <c r="D223" s="11">
        <v>7.9299999999999995E-2</v>
      </c>
      <c r="E223" s="11">
        <v>7.9299999999999995E-2</v>
      </c>
      <c r="F223" s="11">
        <v>7.9299999999999995E-2</v>
      </c>
      <c r="G223" s="12">
        <v>1.0800000000000001E-2</v>
      </c>
    </row>
    <row r="224" spans="2:7">
      <c r="B224" s="1">
        <v>39264</v>
      </c>
      <c r="C224" s="11">
        <v>7.8449999999999992E-2</v>
      </c>
      <c r="D224" s="11">
        <v>7.8449999999999992E-2</v>
      </c>
      <c r="E224" s="11">
        <v>7.8449999999999992E-2</v>
      </c>
      <c r="F224" s="11">
        <v>7.8449999999999992E-2</v>
      </c>
      <c r="G224" s="12">
        <v>-4.1799999999999997E-2</v>
      </c>
    </row>
    <row r="225" spans="2:7">
      <c r="B225" s="1">
        <v>39234</v>
      </c>
      <c r="C225" s="11">
        <v>8.1869999999999998E-2</v>
      </c>
      <c r="D225" s="11">
        <v>8.1869999999999998E-2</v>
      </c>
      <c r="E225" s="11">
        <v>8.1869999999999998E-2</v>
      </c>
      <c r="F225" s="11">
        <v>8.1869999999999998E-2</v>
      </c>
      <c r="G225" s="12">
        <v>1.32E-2</v>
      </c>
    </row>
    <row r="226" spans="2:7">
      <c r="B226" s="1">
        <v>39203</v>
      </c>
      <c r="C226" s="11">
        <v>8.0799999999999997E-2</v>
      </c>
      <c r="D226" s="11">
        <v>8.0799999999999997E-2</v>
      </c>
      <c r="E226" s="11">
        <v>8.0799999999999997E-2</v>
      </c>
      <c r="F226" s="11">
        <v>8.0799999999999997E-2</v>
      </c>
      <c r="G226" s="12">
        <v>-1.14E-2</v>
      </c>
    </row>
    <row r="227" spans="2:7">
      <c r="B227" s="1">
        <v>39173</v>
      </c>
      <c r="C227" s="11">
        <v>8.1729999999999997E-2</v>
      </c>
      <c r="D227" s="11">
        <v>8.1729999999999997E-2</v>
      </c>
      <c r="E227" s="11">
        <v>8.1729999999999997E-2</v>
      </c>
      <c r="F227" s="11">
        <v>8.1729999999999997E-2</v>
      </c>
      <c r="G227" s="12">
        <v>1.8800000000000001E-2</v>
      </c>
    </row>
    <row r="228" spans="2:7">
      <c r="B228" s="1">
        <v>39142</v>
      </c>
      <c r="C228" s="11">
        <v>8.022E-2</v>
      </c>
      <c r="D228" s="11">
        <v>8.022E-2</v>
      </c>
      <c r="E228" s="11">
        <v>8.022E-2</v>
      </c>
      <c r="F228" s="11">
        <v>8.022E-2</v>
      </c>
      <c r="G228" s="12">
        <v>2.8E-3</v>
      </c>
    </row>
    <row r="229" spans="2:7">
      <c r="B229" s="1">
        <v>39114</v>
      </c>
      <c r="C229" s="11">
        <v>0.08</v>
      </c>
      <c r="D229" s="11">
        <v>0.08</v>
      </c>
      <c r="E229" s="11">
        <v>0.08</v>
      </c>
      <c r="F229" s="11">
        <v>0.08</v>
      </c>
      <c r="G229" s="12">
        <v>3.39E-2</v>
      </c>
    </row>
    <row r="230" spans="2:7">
      <c r="B230" s="1">
        <v>39083</v>
      </c>
      <c r="C230" s="11">
        <v>7.7380000000000004E-2</v>
      </c>
      <c r="D230" s="11">
        <v>7.7380000000000004E-2</v>
      </c>
      <c r="E230" s="11">
        <v>7.7380000000000004E-2</v>
      </c>
      <c r="F230" s="11">
        <v>7.7380000000000004E-2</v>
      </c>
      <c r="G230" s="12">
        <v>1.5599999999999999E-2</v>
      </c>
    </row>
    <row r="231" spans="2:7">
      <c r="B231" s="1">
        <v>39052</v>
      </c>
      <c r="C231" s="11">
        <v>7.6189999999999994E-2</v>
      </c>
      <c r="D231" s="11">
        <v>7.6189999999999994E-2</v>
      </c>
      <c r="E231" s="11">
        <v>7.6189999999999994E-2</v>
      </c>
      <c r="F231" s="11">
        <v>7.6189999999999994E-2</v>
      </c>
      <c r="G231" s="12">
        <v>2.63E-2</v>
      </c>
    </row>
    <row r="232" spans="2:7">
      <c r="B232" s="1">
        <v>39022</v>
      </c>
      <c r="C232" s="11">
        <v>7.424E-2</v>
      </c>
      <c r="D232" s="11">
        <v>7.424E-2</v>
      </c>
      <c r="E232" s="11">
        <v>7.424E-2</v>
      </c>
      <c r="F232" s="11">
        <v>7.424E-2</v>
      </c>
      <c r="G232" s="12">
        <v>-2.64E-2</v>
      </c>
    </row>
    <row r="233" spans="2:7">
      <c r="B233" s="1">
        <v>38991</v>
      </c>
      <c r="C233" s="11">
        <v>7.6249999999999998E-2</v>
      </c>
      <c r="D233" s="11">
        <v>7.6249999999999998E-2</v>
      </c>
      <c r="E233" s="11">
        <v>7.6249999999999998E-2</v>
      </c>
      <c r="F233" s="11">
        <v>7.6249999999999998E-2</v>
      </c>
      <c r="G233" s="12">
        <v>-2.2000000000000001E-3</v>
      </c>
    </row>
    <row r="234" spans="2:7">
      <c r="B234" s="1">
        <v>38961</v>
      </c>
      <c r="C234" s="11">
        <v>7.6420000000000002E-2</v>
      </c>
      <c r="D234" s="11">
        <v>7.6420000000000002E-2</v>
      </c>
      <c r="E234" s="11">
        <v>7.6420000000000002E-2</v>
      </c>
      <c r="F234" s="11">
        <v>7.6420000000000002E-2</v>
      </c>
      <c r="G234" s="12">
        <v>-3.1600000000000003E-2</v>
      </c>
    </row>
    <row r="235" spans="2:7">
      <c r="B235" s="1">
        <v>38930</v>
      </c>
      <c r="C235" s="11">
        <v>7.8909999999999994E-2</v>
      </c>
      <c r="D235" s="11">
        <v>7.8909999999999994E-2</v>
      </c>
      <c r="E235" s="11">
        <v>7.8909999999999994E-2</v>
      </c>
      <c r="F235" s="11">
        <v>7.8909999999999994E-2</v>
      </c>
      <c r="G235" s="12">
        <v>-4.2099999999999999E-2</v>
      </c>
    </row>
    <row r="236" spans="2:7">
      <c r="B236" s="1">
        <v>38899</v>
      </c>
      <c r="C236" s="11">
        <v>8.2379999999999995E-2</v>
      </c>
      <c r="D236" s="11">
        <v>8.2379999999999995E-2</v>
      </c>
      <c r="E236" s="11">
        <v>8.2379999999999995E-2</v>
      </c>
      <c r="F236" s="11">
        <v>8.2379999999999995E-2</v>
      </c>
      <c r="G236" s="12">
        <v>1.0699999999999999E-2</v>
      </c>
    </row>
    <row r="237" spans="2:7">
      <c r="B237" s="1">
        <v>38869</v>
      </c>
      <c r="C237" s="11">
        <v>8.1509999999999999E-2</v>
      </c>
      <c r="D237" s="11">
        <v>8.1509999999999999E-2</v>
      </c>
      <c r="E237" s="11">
        <v>8.1509999999999999E-2</v>
      </c>
      <c r="F237" s="11">
        <v>8.1509999999999999E-2</v>
      </c>
      <c r="G237" s="12">
        <v>6.4199999999999993E-2</v>
      </c>
    </row>
    <row r="238" spans="2:7">
      <c r="B238" s="1">
        <v>38838</v>
      </c>
      <c r="C238" s="11">
        <v>7.6589999999999991E-2</v>
      </c>
      <c r="D238" s="11">
        <v>7.6589999999999991E-2</v>
      </c>
      <c r="E238" s="11">
        <v>7.6589999999999991E-2</v>
      </c>
      <c r="F238" s="11">
        <v>7.6589999999999991E-2</v>
      </c>
      <c r="G238" s="12">
        <v>3.6400000000000002E-2</v>
      </c>
    </row>
    <row r="239" spans="2:7">
      <c r="B239" s="1">
        <v>38808</v>
      </c>
      <c r="C239" s="11">
        <v>7.3899999999999993E-2</v>
      </c>
      <c r="D239" s="11">
        <v>7.3899999999999993E-2</v>
      </c>
      <c r="E239" s="11">
        <v>7.3899999999999993E-2</v>
      </c>
      <c r="F239" s="11">
        <v>7.3899999999999993E-2</v>
      </c>
      <c r="G239" s="12">
        <v>-2.12E-2</v>
      </c>
    </row>
    <row r="240" spans="2:7">
      <c r="B240" s="1">
        <v>38777</v>
      </c>
      <c r="C240" s="11">
        <v>7.5499999999999998E-2</v>
      </c>
      <c r="D240" s="11">
        <v>7.5499999999999998E-2</v>
      </c>
      <c r="E240" s="11">
        <v>7.5499999999999998E-2</v>
      </c>
      <c r="F240" s="11">
        <v>7.5499999999999998E-2</v>
      </c>
      <c r="G240" s="12">
        <v>2.12E-2</v>
      </c>
    </row>
    <row r="241" spans="2:7">
      <c r="B241" s="1">
        <v>38749</v>
      </c>
      <c r="C241" s="11">
        <v>7.3929999999999996E-2</v>
      </c>
      <c r="D241" s="11">
        <v>7.3929999999999996E-2</v>
      </c>
      <c r="E241" s="11">
        <v>7.3929999999999996E-2</v>
      </c>
      <c r="F241" s="11">
        <v>7.3929999999999996E-2</v>
      </c>
      <c r="G241" s="12">
        <v>2.8E-3</v>
      </c>
    </row>
    <row r="242" spans="2:7">
      <c r="B242" s="1">
        <v>38718</v>
      </c>
      <c r="C242" s="11">
        <v>7.3719999999999994E-2</v>
      </c>
      <c r="D242" s="11">
        <v>7.3719999999999994E-2</v>
      </c>
      <c r="E242" s="11">
        <v>7.3719999999999994E-2</v>
      </c>
      <c r="F242" s="11">
        <v>7.3719999999999994E-2</v>
      </c>
      <c r="G242" s="12">
        <v>3.6799999999999999E-2</v>
      </c>
    </row>
    <row r="243" spans="2:7">
      <c r="B243" s="1">
        <v>38687</v>
      </c>
      <c r="C243" s="11">
        <v>7.1099999999999997E-2</v>
      </c>
      <c r="D243" s="11">
        <v>7.1099999999999997E-2</v>
      </c>
      <c r="E243" s="11">
        <v>7.1099999999999997E-2</v>
      </c>
      <c r="F243" s="11">
        <v>7.1099999999999997E-2</v>
      </c>
      <c r="G243" s="12">
        <v>3.8E-3</v>
      </c>
    </row>
    <row r="244" spans="2:7">
      <c r="B244" s="1">
        <v>38657</v>
      </c>
      <c r="C244" s="11">
        <v>7.0830000000000004E-2</v>
      </c>
      <c r="D244" s="11">
        <v>7.0830000000000004E-2</v>
      </c>
      <c r="E244" s="11">
        <v>7.0830000000000004E-2</v>
      </c>
      <c r="F244" s="11">
        <v>7.0830000000000004E-2</v>
      </c>
      <c r="G244" s="12">
        <v>-2.3E-3</v>
      </c>
    </row>
    <row r="245" spans="2:7">
      <c r="B245" s="1">
        <v>38626</v>
      </c>
      <c r="C245" s="11">
        <v>7.0989999999999998E-2</v>
      </c>
      <c r="D245" s="11">
        <v>7.0989999999999998E-2</v>
      </c>
      <c r="E245" s="11">
        <v>7.0989999999999998E-2</v>
      </c>
      <c r="F245" s="11">
        <v>7.0989999999999998E-2</v>
      </c>
      <c r="G245" s="12">
        <v>-2.9999999999999997E-4</v>
      </c>
    </row>
    <row r="246" spans="2:7">
      <c r="B246" s="1">
        <v>38596</v>
      </c>
      <c r="C246" s="11">
        <v>7.1010000000000004E-2</v>
      </c>
      <c r="D246" s="11">
        <v>7.1010000000000004E-2</v>
      </c>
      <c r="E246" s="11">
        <v>7.1010000000000004E-2</v>
      </c>
      <c r="F246" s="11">
        <v>7.1010000000000004E-2</v>
      </c>
      <c r="G246" s="12">
        <v>1E-3</v>
      </c>
    </row>
    <row r="247" spans="2:7">
      <c r="B247" s="1">
        <v>38565</v>
      </c>
      <c r="C247" s="11">
        <v>7.0940000000000003E-2</v>
      </c>
      <c r="D247" s="11">
        <v>7.0940000000000003E-2</v>
      </c>
      <c r="E247" s="11">
        <v>7.0940000000000003E-2</v>
      </c>
      <c r="F247" s="11">
        <v>7.0940000000000003E-2</v>
      </c>
      <c r="G247" s="12">
        <v>1.43E-2</v>
      </c>
    </row>
    <row r="248" spans="2:7">
      <c r="B248" s="1">
        <v>38534</v>
      </c>
      <c r="C248" s="11">
        <v>6.9940000000000002E-2</v>
      </c>
      <c r="D248" s="11">
        <v>6.9940000000000002E-2</v>
      </c>
      <c r="E248" s="11">
        <v>6.9940000000000002E-2</v>
      </c>
      <c r="F248" s="11">
        <v>6.9940000000000002E-2</v>
      </c>
      <c r="G248" s="12">
        <v>1.26E-2</v>
      </c>
    </row>
    <row r="249" spans="2:7">
      <c r="B249" s="1">
        <v>38504</v>
      </c>
      <c r="C249" s="11">
        <v>6.9070000000000006E-2</v>
      </c>
      <c r="D249" s="11">
        <v>6.9070000000000006E-2</v>
      </c>
      <c r="E249" s="11">
        <v>6.9070000000000006E-2</v>
      </c>
      <c r="F249" s="11">
        <v>6.9070000000000006E-2</v>
      </c>
      <c r="G249" s="12">
        <v>-1.03E-2</v>
      </c>
    </row>
    <row r="250" spans="2:7">
      <c r="B250" s="1">
        <v>38473</v>
      </c>
      <c r="C250" s="11">
        <v>6.9790000000000005E-2</v>
      </c>
      <c r="D250" s="11">
        <v>6.9790000000000005E-2</v>
      </c>
      <c r="E250" s="11">
        <v>6.9790000000000005E-2</v>
      </c>
      <c r="F250" s="11">
        <v>6.9790000000000005E-2</v>
      </c>
      <c r="G250" s="12">
        <v>-5.1400000000000001E-2</v>
      </c>
    </row>
    <row r="251" spans="2:7">
      <c r="B251" s="1">
        <v>38443</v>
      </c>
      <c r="C251" s="11">
        <v>7.3569999999999997E-2</v>
      </c>
      <c r="D251" s="11">
        <v>7.3569999999999997E-2</v>
      </c>
      <c r="E251" s="11">
        <v>7.3569999999999997E-2</v>
      </c>
      <c r="F251" s="11">
        <v>7.3569999999999997E-2</v>
      </c>
      <c r="G251" s="12">
        <v>0.10199999999999999</v>
      </c>
    </row>
    <row r="252" spans="2:7">
      <c r="B252" s="1">
        <v>38412</v>
      </c>
      <c r="C252" s="11">
        <v>6.676E-2</v>
      </c>
      <c r="D252" s="11">
        <v>6.676E-2</v>
      </c>
      <c r="E252" s="11">
        <v>6.676E-2</v>
      </c>
      <c r="F252" s="11">
        <v>6.676E-2</v>
      </c>
      <c r="G252" s="12">
        <v>1.9400000000000001E-2</v>
      </c>
    </row>
    <row r="253" spans="2:7">
      <c r="B253" s="1">
        <v>38384</v>
      </c>
      <c r="C253" s="11">
        <v>6.5490000000000007E-2</v>
      </c>
      <c r="D253" s="11">
        <v>6.5490000000000007E-2</v>
      </c>
      <c r="E253" s="11">
        <v>6.5490000000000007E-2</v>
      </c>
      <c r="F253" s="11">
        <v>6.5490000000000007E-2</v>
      </c>
      <c r="G253" s="12">
        <v>-2.3E-2</v>
      </c>
    </row>
    <row r="254" spans="2:7">
      <c r="B254" s="1">
        <v>38353</v>
      </c>
      <c r="C254" s="11">
        <v>6.7030000000000006E-2</v>
      </c>
      <c r="D254" s="11">
        <v>6.7030000000000006E-2</v>
      </c>
      <c r="E254" s="11">
        <v>6.7030000000000006E-2</v>
      </c>
      <c r="F254" s="11">
        <v>6.7030000000000006E-2</v>
      </c>
      <c r="G254" s="12">
        <v>-4.0000000000000002E-4</v>
      </c>
    </row>
    <row r="255" spans="2:7">
      <c r="B255" s="1">
        <v>38322</v>
      </c>
      <c r="C255" s="11">
        <v>6.7060000000000008E-2</v>
      </c>
      <c r="D255" s="11">
        <v>6.7060000000000008E-2</v>
      </c>
      <c r="E255" s="11">
        <v>6.7060000000000008E-2</v>
      </c>
      <c r="F255" s="11">
        <v>6.7060000000000008E-2</v>
      </c>
      <c r="G255" s="12">
        <v>-6.8199999999999997E-2</v>
      </c>
    </row>
    <row r="256" spans="2:7">
      <c r="B256" s="1">
        <v>38292</v>
      </c>
      <c r="C256" s="11">
        <v>7.1970000000000006E-2</v>
      </c>
      <c r="D256" s="11">
        <v>7.1970000000000006E-2</v>
      </c>
      <c r="E256" s="11">
        <v>7.1970000000000006E-2</v>
      </c>
      <c r="F256" s="11">
        <v>7.1970000000000006E-2</v>
      </c>
      <c r="G256" s="12">
        <v>3.8199999999999998E-2</v>
      </c>
    </row>
    <row r="257" spans="2:7">
      <c r="B257" s="1">
        <v>38261</v>
      </c>
      <c r="C257" s="11">
        <v>6.9320000000000007E-2</v>
      </c>
      <c r="D257" s="11">
        <v>6.9320000000000007E-2</v>
      </c>
      <c r="E257" s="11">
        <v>6.9320000000000007E-2</v>
      </c>
      <c r="F257" s="11">
        <v>6.9320000000000007E-2</v>
      </c>
      <c r="G257" s="12">
        <v>0.11020000000000001</v>
      </c>
    </row>
    <row r="258" spans="2:7">
      <c r="B258" s="1">
        <v>38231</v>
      </c>
      <c r="C258" s="11">
        <v>6.2439999999999996E-2</v>
      </c>
      <c r="D258" s="11">
        <v>6.2439999999999996E-2</v>
      </c>
      <c r="E258" s="11">
        <v>6.2439999999999996E-2</v>
      </c>
      <c r="F258" s="11">
        <v>6.2439999999999996E-2</v>
      </c>
      <c r="G258" s="12">
        <v>2.5499999999999998E-2</v>
      </c>
    </row>
    <row r="259" spans="2:7">
      <c r="B259" s="1">
        <v>38200</v>
      </c>
      <c r="C259" s="11">
        <v>6.0890000000000007E-2</v>
      </c>
      <c r="D259" s="11">
        <v>6.0890000000000007E-2</v>
      </c>
      <c r="E259" s="11">
        <v>6.0890000000000007E-2</v>
      </c>
      <c r="F259" s="11">
        <v>6.0890000000000007E-2</v>
      </c>
      <c r="G259" s="12">
        <v>-7.7999999999999996E-3</v>
      </c>
    </row>
    <row r="260" spans="2:7">
      <c r="B260" s="1">
        <v>38169</v>
      </c>
      <c r="C260" s="11">
        <v>6.1369999999999994E-2</v>
      </c>
      <c r="D260" s="11">
        <v>6.1369999999999994E-2</v>
      </c>
      <c r="E260" s="11">
        <v>6.1369999999999994E-2</v>
      </c>
      <c r="F260" s="11">
        <v>6.1369999999999994E-2</v>
      </c>
      <c r="G260" s="12">
        <v>4.9099999999999998E-2</v>
      </c>
    </row>
    <row r="261" spans="2:7">
      <c r="B261" s="1">
        <v>38139</v>
      </c>
      <c r="C261" s="11">
        <v>5.8499999999999996E-2</v>
      </c>
      <c r="D261" s="11">
        <v>5.8499999999999996E-2</v>
      </c>
      <c r="E261" s="11">
        <v>5.8499999999999996E-2</v>
      </c>
      <c r="F261" s="11">
        <v>5.8499999999999996E-2</v>
      </c>
      <c r="G261" s="12">
        <v>0.10920000000000001</v>
      </c>
    </row>
    <row r="262" spans="2:7">
      <c r="B262" s="1">
        <v>38108</v>
      </c>
      <c r="C262" s="11">
        <v>5.2740000000000002E-2</v>
      </c>
      <c r="D262" s="11">
        <v>5.2740000000000002E-2</v>
      </c>
      <c r="E262" s="11">
        <v>5.2740000000000002E-2</v>
      </c>
      <c r="F262" s="11">
        <v>5.2740000000000002E-2</v>
      </c>
      <c r="G262" s="12">
        <v>3.0700000000000002E-2</v>
      </c>
    </row>
    <row r="263" spans="2:7">
      <c r="B263" s="1">
        <v>38078</v>
      </c>
      <c r="C263" s="11">
        <v>5.117E-2</v>
      </c>
      <c r="D263" s="11">
        <v>5.117E-2</v>
      </c>
      <c r="E263" s="11">
        <v>5.117E-2</v>
      </c>
      <c r="F263" s="11">
        <v>5.117E-2</v>
      </c>
      <c r="G263" s="12">
        <v>-5.7999999999999996E-3</v>
      </c>
    </row>
    <row r="264" spans="2:7">
      <c r="B264" s="1">
        <v>38047</v>
      </c>
      <c r="C264" s="11">
        <v>5.1470000000000002E-2</v>
      </c>
      <c r="D264" s="11">
        <v>5.1470000000000002E-2</v>
      </c>
      <c r="E264" s="11">
        <v>5.1470000000000002E-2</v>
      </c>
      <c r="F264" s="11">
        <v>5.1470000000000002E-2</v>
      </c>
      <c r="G264" s="12">
        <v>-2.1700000000000001E-2</v>
      </c>
    </row>
    <row r="265" spans="2:7">
      <c r="B265" s="1">
        <v>38018</v>
      </c>
      <c r="C265" s="11">
        <v>5.2610000000000004E-2</v>
      </c>
      <c r="D265" s="11">
        <v>5.2610000000000004E-2</v>
      </c>
      <c r="E265" s="11">
        <v>5.2610000000000004E-2</v>
      </c>
      <c r="F265" s="11">
        <v>5.2610000000000004E-2</v>
      </c>
      <c r="G265" s="12">
        <v>7.3000000000000001E-3</v>
      </c>
    </row>
    <row r="266" spans="2:7">
      <c r="B266" s="1">
        <v>37987</v>
      </c>
      <c r="C266" s="11">
        <v>5.2229999999999999E-2</v>
      </c>
      <c r="D266" s="11">
        <v>5.2229999999999999E-2</v>
      </c>
      <c r="E266" s="11">
        <v>5.2229999999999999E-2</v>
      </c>
      <c r="F266" s="11">
        <v>5.2229999999999999E-2</v>
      </c>
      <c r="G266" s="12">
        <v>1.9699999999999999E-2</v>
      </c>
    </row>
    <row r="267" spans="2:7">
      <c r="B267" s="1">
        <v>37956</v>
      </c>
      <c r="C267" s="11">
        <v>5.1220000000000002E-2</v>
      </c>
      <c r="D267" s="11">
        <v>5.1220000000000002E-2</v>
      </c>
      <c r="E267" s="11">
        <v>5.1220000000000002E-2</v>
      </c>
      <c r="F267" s="11">
        <v>5.1220000000000002E-2</v>
      </c>
      <c r="G267" s="12">
        <v>-7.0000000000000001E-3</v>
      </c>
    </row>
    <row r="268" spans="2:7">
      <c r="B268" s="1">
        <v>37926</v>
      </c>
      <c r="C268" s="11">
        <v>5.1580000000000001E-2</v>
      </c>
      <c r="D268" s="11">
        <v>5.1580000000000001E-2</v>
      </c>
      <c r="E268" s="11">
        <v>5.1580000000000001E-2</v>
      </c>
      <c r="F268" s="11">
        <v>5.1580000000000001E-2</v>
      </c>
      <c r="G268" s="12">
        <v>1.14E-2</v>
      </c>
    </row>
    <row r="269" spans="2:7">
      <c r="B269" s="1">
        <v>37895</v>
      </c>
      <c r="C269" s="11">
        <v>5.0999999999999997E-2</v>
      </c>
      <c r="D269" s="11">
        <v>5.0999999999999997E-2</v>
      </c>
      <c r="E269" s="11">
        <v>5.0999999999999997E-2</v>
      </c>
      <c r="F269" s="11">
        <v>5.0999999999999997E-2</v>
      </c>
      <c r="G269" s="12">
        <v>-1.43E-2</v>
      </c>
    </row>
    <row r="270" spans="2:7">
      <c r="B270" s="1">
        <v>37865</v>
      </c>
      <c r="C270" s="11">
        <v>5.1740000000000001E-2</v>
      </c>
      <c r="D270" s="11">
        <v>5.1740000000000001E-2</v>
      </c>
      <c r="E270" s="11">
        <v>5.1740000000000001E-2</v>
      </c>
      <c r="F270" s="11">
        <v>5.1740000000000001E-2</v>
      </c>
      <c r="G270" s="12">
        <v>-1.7100000000000001E-2</v>
      </c>
    </row>
    <row r="271" spans="2:7">
      <c r="B271" s="1">
        <v>37834</v>
      </c>
      <c r="C271" s="11">
        <v>5.2639999999999999E-2</v>
      </c>
      <c r="D271" s="11">
        <v>5.2639999999999999E-2</v>
      </c>
      <c r="E271" s="11">
        <v>5.2639999999999999E-2</v>
      </c>
      <c r="F271" s="11">
        <v>5.2639999999999999E-2</v>
      </c>
      <c r="G271" s="12">
        <v>-6.2700000000000006E-2</v>
      </c>
    </row>
    <row r="272" spans="2:7">
      <c r="B272" s="1">
        <v>37803</v>
      </c>
      <c r="C272" s="11">
        <v>5.6159999999999995E-2</v>
      </c>
      <c r="D272" s="11">
        <v>5.6159999999999995E-2</v>
      </c>
      <c r="E272" s="11">
        <v>5.6159999999999995E-2</v>
      </c>
      <c r="F272" s="11">
        <v>5.6159999999999995E-2</v>
      </c>
      <c r="G272" s="12">
        <v>-1.9599999999999999E-2</v>
      </c>
    </row>
    <row r="273" spans="2:7">
      <c r="B273" s="1">
        <v>37773</v>
      </c>
      <c r="C273" s="11">
        <v>5.7279999999999998E-2</v>
      </c>
      <c r="D273" s="11">
        <v>5.7279999999999998E-2</v>
      </c>
      <c r="E273" s="11">
        <v>5.7279999999999998E-2</v>
      </c>
      <c r="F273" s="11">
        <v>5.7279999999999998E-2</v>
      </c>
      <c r="G273" s="12">
        <v>-1.1900000000000001E-2</v>
      </c>
    </row>
    <row r="274" spans="2:7">
      <c r="B274" s="1">
        <v>37742</v>
      </c>
      <c r="C274" s="11">
        <v>5.7969999999999994E-2</v>
      </c>
      <c r="D274" s="11">
        <v>5.7969999999999994E-2</v>
      </c>
      <c r="E274" s="11">
        <v>5.7969999999999994E-2</v>
      </c>
      <c r="F274" s="11">
        <v>5.7969999999999994E-2</v>
      </c>
      <c r="G274" s="12">
        <v>-1.4500000000000001E-2</v>
      </c>
    </row>
    <row r="275" spans="2:7">
      <c r="B275" s="1">
        <v>37712</v>
      </c>
      <c r="C275" s="11">
        <v>5.8819999999999997E-2</v>
      </c>
      <c r="D275" s="11">
        <v>5.8819999999999997E-2</v>
      </c>
      <c r="E275" s="11">
        <v>5.8819999999999997E-2</v>
      </c>
      <c r="F275" s="11">
        <v>5.8819999999999997E-2</v>
      </c>
      <c r="G275" s="12">
        <v>-0.04</v>
      </c>
    </row>
    <row r="276" spans="2:7">
      <c r="B276" s="1">
        <v>37681</v>
      </c>
      <c r="C276" s="11">
        <v>6.1269999999999998E-2</v>
      </c>
      <c r="D276" s="11">
        <v>6.1269999999999998E-2</v>
      </c>
      <c r="E276" s="11">
        <v>6.1269999999999998E-2</v>
      </c>
      <c r="F276" s="11">
        <v>6.1269999999999998E-2</v>
      </c>
      <c r="G276" s="12">
        <v>2.7E-2</v>
      </c>
    </row>
    <row r="277" spans="2:7">
      <c r="B277" s="1">
        <v>37653</v>
      </c>
      <c r="C277" s="11">
        <v>5.9660000000000005E-2</v>
      </c>
      <c r="D277" s="11">
        <v>5.9660000000000005E-2</v>
      </c>
      <c r="E277" s="11">
        <v>5.9660000000000005E-2</v>
      </c>
      <c r="F277" s="11">
        <v>5.9660000000000005E-2</v>
      </c>
      <c r="G277" s="12">
        <v>-5.6500000000000002E-2</v>
      </c>
    </row>
    <row r="278" spans="2:7">
      <c r="B278" s="1">
        <v>37622</v>
      </c>
      <c r="C278" s="11">
        <v>6.3230000000000008E-2</v>
      </c>
      <c r="D278" s="11">
        <v>6.3230000000000008E-2</v>
      </c>
      <c r="E278" s="11">
        <v>6.3230000000000008E-2</v>
      </c>
      <c r="F278" s="11">
        <v>6.3230000000000008E-2</v>
      </c>
      <c r="G278" s="12">
        <v>3.95E-2</v>
      </c>
    </row>
    <row r="279" spans="2:7">
      <c r="B279" s="1">
        <v>37591</v>
      </c>
      <c r="C279" s="11">
        <v>6.0830000000000002E-2</v>
      </c>
      <c r="D279" s="11">
        <v>6.0830000000000002E-2</v>
      </c>
      <c r="E279" s="11">
        <v>6.0830000000000002E-2</v>
      </c>
      <c r="F279" s="11">
        <v>6.0830000000000002E-2</v>
      </c>
      <c r="G279" s="12">
        <v>-5.3199999999999997E-2</v>
      </c>
    </row>
    <row r="280" spans="2:7">
      <c r="B280" s="1">
        <v>37561</v>
      </c>
      <c r="C280" s="11">
        <v>6.4250000000000002E-2</v>
      </c>
      <c r="D280" s="11">
        <v>6.4250000000000002E-2</v>
      </c>
      <c r="E280" s="11">
        <v>6.4250000000000002E-2</v>
      </c>
      <c r="F280" s="11">
        <v>6.4250000000000002E-2</v>
      </c>
      <c r="G280" s="12">
        <v>-7.22E-2</v>
      </c>
    </row>
    <row r="281" spans="2:7">
      <c r="B281" s="1">
        <v>37530</v>
      </c>
      <c r="C281" s="11">
        <v>6.9249999999999992E-2</v>
      </c>
      <c r="D281" s="11">
        <v>6.9249999999999992E-2</v>
      </c>
      <c r="E281" s="11">
        <v>6.9249999999999992E-2</v>
      </c>
      <c r="F281" s="11">
        <v>6.9249999999999992E-2</v>
      </c>
      <c r="G281" s="12">
        <v>-3.39E-2</v>
      </c>
    </row>
    <row r="282" spans="2:7">
      <c r="B282" s="1">
        <v>37500</v>
      </c>
      <c r="C282" s="11">
        <v>7.1680000000000008E-2</v>
      </c>
      <c r="D282" s="11">
        <v>7.1680000000000008E-2</v>
      </c>
      <c r="E282" s="11">
        <v>7.1680000000000008E-2</v>
      </c>
      <c r="F282" s="11">
        <v>7.1680000000000008E-2</v>
      </c>
      <c r="G282" s="12">
        <v>1E-3</v>
      </c>
    </row>
    <row r="283" spans="2:7">
      <c r="B283" s="1">
        <v>37469</v>
      </c>
      <c r="C283" s="11">
        <v>7.1609999999999993E-2</v>
      </c>
      <c r="D283" s="11">
        <v>7.1609999999999993E-2</v>
      </c>
      <c r="E283" s="11">
        <v>7.1609999999999993E-2</v>
      </c>
      <c r="F283" s="11">
        <v>7.1609999999999993E-2</v>
      </c>
      <c r="G283" s="12">
        <v>-2.01E-2</v>
      </c>
    </row>
    <row r="284" spans="2:7">
      <c r="B284" s="1">
        <v>37438</v>
      </c>
      <c r="C284" s="11">
        <v>7.3079999999999992E-2</v>
      </c>
      <c r="D284" s="11">
        <v>7.3079999999999992E-2</v>
      </c>
      <c r="E284" s="11">
        <v>7.3079999999999992E-2</v>
      </c>
      <c r="F284" s="11">
        <v>7.3079999999999992E-2</v>
      </c>
      <c r="G284" s="12">
        <v>-2.3599999999999999E-2</v>
      </c>
    </row>
    <row r="285" spans="2:7">
      <c r="B285" s="1">
        <v>37408</v>
      </c>
      <c r="C285" s="11">
        <v>7.485E-2</v>
      </c>
      <c r="D285" s="11">
        <v>7.485E-2</v>
      </c>
      <c r="E285" s="11">
        <v>7.485E-2</v>
      </c>
      <c r="F285" s="11">
        <v>7.485E-2</v>
      </c>
      <c r="G285" s="12">
        <v>-3.0800000000000001E-2</v>
      </c>
    </row>
    <row r="286" spans="2:7">
      <c r="B286" s="1">
        <v>37377</v>
      </c>
      <c r="C286" s="11">
        <v>7.7229999999999993E-2</v>
      </c>
      <c r="D286" s="11">
        <v>7.7229999999999993E-2</v>
      </c>
      <c r="E286" s="11">
        <v>7.7229999999999993E-2</v>
      </c>
      <c r="F286" s="11">
        <v>7.7229999999999993E-2</v>
      </c>
      <c r="G286" s="12">
        <v>4.2200000000000001E-2</v>
      </c>
    </row>
    <row r="287" spans="2:7">
      <c r="B287" s="1">
        <v>37347</v>
      </c>
      <c r="C287" s="11">
        <v>7.4099999999999999E-2</v>
      </c>
      <c r="D287" s="11">
        <v>7.4099999999999999E-2</v>
      </c>
      <c r="E287" s="11">
        <v>7.4099999999999999E-2</v>
      </c>
      <c r="F287" s="11">
        <v>7.4099999999999999E-2</v>
      </c>
      <c r="G287" s="12">
        <v>6.8999999999999999E-3</v>
      </c>
    </row>
    <row r="288" spans="2:7">
      <c r="B288" s="1">
        <v>37316</v>
      </c>
      <c r="C288" s="11">
        <v>7.3590000000000003E-2</v>
      </c>
      <c r="D288" s="11">
        <v>7.3590000000000003E-2</v>
      </c>
      <c r="E288" s="11">
        <v>7.3590000000000003E-2</v>
      </c>
      <c r="F288" s="11">
        <v>7.3590000000000003E-2</v>
      </c>
      <c r="G288" s="12">
        <v>-3.5099999999999999E-2</v>
      </c>
    </row>
    <row r="289" spans="2:7">
      <c r="B289" s="1">
        <v>37288</v>
      </c>
      <c r="C289" s="11">
        <v>7.6270000000000004E-2</v>
      </c>
      <c r="D289" s="11">
        <v>7.6270000000000004E-2</v>
      </c>
      <c r="E289" s="11">
        <v>7.6270000000000004E-2</v>
      </c>
      <c r="F289" s="11">
        <v>7.6270000000000004E-2</v>
      </c>
      <c r="G289" s="12">
        <v>-5.4999999999999997E-3</v>
      </c>
    </row>
    <row r="290" spans="2:7">
      <c r="B290" s="1">
        <v>37257</v>
      </c>
      <c r="C290" s="11">
        <v>7.6689999999999994E-2</v>
      </c>
      <c r="D290" s="11">
        <v>7.6689999999999994E-2</v>
      </c>
      <c r="E290" s="11">
        <v>7.6689999999999994E-2</v>
      </c>
      <c r="F290" s="11">
        <v>7.6689999999999994E-2</v>
      </c>
      <c r="G290" s="12">
        <v>-3.4000000000000002E-2</v>
      </c>
    </row>
    <row r="291" spans="2:7">
      <c r="B291" s="1">
        <v>37226</v>
      </c>
      <c r="C291" s="11">
        <v>7.9390000000000002E-2</v>
      </c>
      <c r="D291" s="11">
        <v>7.9390000000000002E-2</v>
      </c>
      <c r="E291" s="11">
        <v>7.9390000000000002E-2</v>
      </c>
      <c r="F291" s="11">
        <v>7.9390000000000002E-2</v>
      </c>
      <c r="G291" s="12">
        <v>7.4999999999999997E-3</v>
      </c>
    </row>
    <row r="292" spans="2:7">
      <c r="B292" s="1">
        <v>37196</v>
      </c>
      <c r="C292" s="11">
        <v>7.8799999999999995E-2</v>
      </c>
      <c r="D292" s="11">
        <v>7.8799999999999995E-2</v>
      </c>
      <c r="E292" s="11">
        <v>7.8799999999999995E-2</v>
      </c>
      <c r="F292" s="11">
        <v>7.8799999999999995E-2</v>
      </c>
      <c r="G292" s="12">
        <v>-0.1045</v>
      </c>
    </row>
    <row r="293" spans="2:7">
      <c r="B293" s="1">
        <v>37165</v>
      </c>
      <c r="C293" s="11">
        <v>8.8000000000000009E-2</v>
      </c>
      <c r="D293" s="11">
        <v>8.8000000000000009E-2</v>
      </c>
      <c r="E293" s="11">
        <v>8.8000000000000009E-2</v>
      </c>
      <c r="F293" s="11">
        <v>8.8000000000000009E-2</v>
      </c>
      <c r="G293" s="12">
        <v>-3.5299999999999998E-2</v>
      </c>
    </row>
    <row r="294" spans="2:7">
      <c r="B294" s="1">
        <v>37135</v>
      </c>
      <c r="C294" s="11">
        <v>9.1219999999999996E-2</v>
      </c>
      <c r="D294" s="11">
        <v>9.1219999999999996E-2</v>
      </c>
      <c r="E294" s="11">
        <v>9.1219999999999996E-2</v>
      </c>
      <c r="F294" s="11">
        <v>9.1219999999999996E-2</v>
      </c>
      <c r="G294" s="12">
        <v>8.9999999999999998E-4</v>
      </c>
    </row>
    <row r="295" spans="2:7">
      <c r="B295" s="1">
        <v>37104</v>
      </c>
      <c r="C295" s="11">
        <v>9.1140000000000013E-2</v>
      </c>
      <c r="D295" s="11">
        <v>9.1140000000000013E-2</v>
      </c>
      <c r="E295" s="11">
        <v>9.1140000000000013E-2</v>
      </c>
      <c r="F295" s="11">
        <v>9.1140000000000013E-2</v>
      </c>
      <c r="G295" s="12">
        <v>-2.6599999999999999E-2</v>
      </c>
    </row>
    <row r="296" spans="2:7">
      <c r="B296" s="1">
        <v>37073</v>
      </c>
      <c r="C296" s="11">
        <v>9.3629999999999991E-2</v>
      </c>
      <c r="D296" s="11">
        <v>9.3629999999999991E-2</v>
      </c>
      <c r="E296" s="11">
        <v>9.3629999999999991E-2</v>
      </c>
      <c r="F296" s="11">
        <v>9.3629999999999991E-2</v>
      </c>
      <c r="G296" s="12">
        <v>-1.4500000000000001E-2</v>
      </c>
    </row>
    <row r="297" spans="2:7">
      <c r="B297" s="1">
        <v>37043</v>
      </c>
      <c r="C297" s="11">
        <v>9.5009999999999997E-2</v>
      </c>
      <c r="D297" s="11">
        <v>9.5009999999999997E-2</v>
      </c>
      <c r="E297" s="11">
        <v>9.5009999999999997E-2</v>
      </c>
      <c r="F297" s="11">
        <v>9.5009999999999997E-2</v>
      </c>
      <c r="G297" s="12">
        <v>-2.6700000000000002E-2</v>
      </c>
    </row>
    <row r="298" spans="2:7">
      <c r="B298" s="1">
        <v>37012</v>
      </c>
      <c r="C298" s="11">
        <v>9.7619999999999998E-2</v>
      </c>
      <c r="D298" s="11">
        <v>9.7619999999999998E-2</v>
      </c>
      <c r="E298" s="11">
        <v>9.7619999999999998E-2</v>
      </c>
      <c r="F298" s="11">
        <v>9.7619999999999998E-2</v>
      </c>
      <c r="G298" s="12">
        <v>-3.5900000000000001E-2</v>
      </c>
    </row>
    <row r="299" spans="2:7">
      <c r="B299" s="1">
        <v>36982</v>
      </c>
      <c r="C299" s="11">
        <v>0.10125000000000001</v>
      </c>
      <c r="D299" s="11">
        <v>0.10125000000000001</v>
      </c>
      <c r="E299" s="11">
        <v>0.10125000000000001</v>
      </c>
      <c r="F299" s="11">
        <v>0.10125000000000001</v>
      </c>
      <c r="G299" s="12">
        <v>-2.01E-2</v>
      </c>
    </row>
    <row r="300" spans="2:7">
      <c r="B300" s="1">
        <v>36951</v>
      </c>
      <c r="C300" s="11">
        <v>0.10333000000000001</v>
      </c>
      <c r="D300" s="11">
        <v>0.10333000000000001</v>
      </c>
      <c r="E300" s="11">
        <v>0.10333000000000001</v>
      </c>
      <c r="F300" s="11">
        <v>0.10333000000000001</v>
      </c>
      <c r="G300" s="12">
        <v>2.53E-2</v>
      </c>
    </row>
    <row r="301" spans="2:7">
      <c r="B301" s="1">
        <v>36923</v>
      </c>
      <c r="C301" s="11">
        <v>0.10077999999999999</v>
      </c>
      <c r="D301" s="11">
        <v>0.10077999999999999</v>
      </c>
      <c r="E301" s="11">
        <v>0.10077999999999999</v>
      </c>
      <c r="F301" s="11">
        <v>0.10077999999999999</v>
      </c>
      <c r="G301" s="12">
        <v>-3.32E-2</v>
      </c>
    </row>
    <row r="302" spans="2:7">
      <c r="B302" s="1">
        <v>36892</v>
      </c>
      <c r="C302" s="11">
        <v>0.10424</v>
      </c>
      <c r="D302" s="11">
        <v>0.10424</v>
      </c>
      <c r="E302" s="11">
        <v>0.10424</v>
      </c>
      <c r="F302" s="11">
        <v>0.10424</v>
      </c>
      <c r="G302" s="12">
        <v>-4.2299999999999997E-2</v>
      </c>
    </row>
    <row r="303" spans="2:7">
      <c r="B303" s="1">
        <v>36861</v>
      </c>
      <c r="C303" s="11">
        <v>0.10884000000000001</v>
      </c>
      <c r="D303" s="11">
        <v>0.10884000000000001</v>
      </c>
      <c r="E303" s="11">
        <v>0.10884000000000001</v>
      </c>
      <c r="F303" s="11">
        <v>0.10884000000000001</v>
      </c>
      <c r="G303" s="12">
        <v>-4.0899999999999999E-2</v>
      </c>
    </row>
    <row r="304" spans="2:7">
      <c r="B304" s="1">
        <v>36831</v>
      </c>
      <c r="C304" s="11">
        <v>0.11348000000000001</v>
      </c>
      <c r="D304" s="11">
        <v>0.11348000000000001</v>
      </c>
      <c r="E304" s="11">
        <v>0.11348000000000001</v>
      </c>
      <c r="F304" s="11">
        <v>0.11348000000000001</v>
      </c>
      <c r="G304" s="12">
        <v>-2.1700000000000001E-2</v>
      </c>
    </row>
    <row r="305" spans="2:7">
      <c r="B305" s="1">
        <v>36800</v>
      </c>
      <c r="C305" s="11">
        <v>0.11599999999999999</v>
      </c>
      <c r="D305" s="11">
        <v>0.11599999999999999</v>
      </c>
      <c r="E305" s="11">
        <v>0.11599999999999999</v>
      </c>
      <c r="F305" s="11">
        <v>0.11599999999999999</v>
      </c>
      <c r="G305" s="12">
        <v>5.1999999999999998E-3</v>
      </c>
    </row>
    <row r="306" spans="2:7">
      <c r="B306" s="1">
        <v>36770</v>
      </c>
      <c r="C306" s="11">
        <v>0.11539999999999999</v>
      </c>
      <c r="D306" s="11">
        <v>0.11539999999999999</v>
      </c>
      <c r="E306" s="11">
        <v>0.11539999999999999</v>
      </c>
      <c r="F306" s="11">
        <v>0.11539999999999999</v>
      </c>
      <c r="G306" s="12">
        <v>3.0000000000000001E-3</v>
      </c>
    </row>
    <row r="307" spans="2:7">
      <c r="B307" s="1">
        <v>36739</v>
      </c>
      <c r="C307" s="11">
        <v>0.11505000000000001</v>
      </c>
      <c r="D307" s="11">
        <v>0.11505000000000001</v>
      </c>
      <c r="E307" s="11">
        <v>0.11505000000000001</v>
      </c>
      <c r="F307" s="11">
        <v>0.11505000000000001</v>
      </c>
      <c r="G307" s="12">
        <v>1.3299999999999999E-2</v>
      </c>
    </row>
    <row r="308" spans="2:7">
      <c r="B308" s="1">
        <v>36708</v>
      </c>
      <c r="C308" s="11">
        <v>0.11353999999999999</v>
      </c>
      <c r="D308" s="11">
        <v>0.11353999999999999</v>
      </c>
      <c r="E308" s="11">
        <v>0.11353999999999999</v>
      </c>
      <c r="F308" s="11">
        <v>0.11353999999999999</v>
      </c>
      <c r="G308" s="12">
        <v>2.6700000000000002E-2</v>
      </c>
    </row>
    <row r="309" spans="2:7">
      <c r="B309" s="1">
        <v>36678</v>
      </c>
      <c r="C309" s="11">
        <v>0.11058999999999999</v>
      </c>
      <c r="D309" s="11">
        <v>0.11058999999999999</v>
      </c>
      <c r="E309" s="11">
        <v>0.11058999999999999</v>
      </c>
      <c r="F309" s="11">
        <v>0.11058999999999999</v>
      </c>
      <c r="G309" s="12">
        <v>2.1399999999999999E-2</v>
      </c>
    </row>
    <row r="310" spans="2:7">
      <c r="B310" s="1">
        <v>36647</v>
      </c>
      <c r="C310" s="11">
        <v>0.10827000000000001</v>
      </c>
      <c r="D310" s="11">
        <v>0.10827000000000001</v>
      </c>
      <c r="E310" s="11">
        <v>0.10827000000000001</v>
      </c>
      <c r="F310" s="11">
        <v>0.10827000000000001</v>
      </c>
      <c r="G310" s="12">
        <v>4.4699999999999997E-2</v>
      </c>
    </row>
    <row r="311" spans="2:7">
      <c r="B311" s="1">
        <v>36617</v>
      </c>
      <c r="C311" s="11">
        <v>0.10364000000000001</v>
      </c>
      <c r="D311" s="11">
        <v>0.10364000000000001</v>
      </c>
      <c r="E311" s="11">
        <v>0.10364000000000001</v>
      </c>
      <c r="F311" s="11">
        <v>0.10364000000000001</v>
      </c>
      <c r="G311" s="12">
        <v>-3.6400000000000002E-2</v>
      </c>
    </row>
    <row r="312" spans="2:7">
      <c r="B312" s="1">
        <v>36586</v>
      </c>
      <c r="C312" s="11">
        <v>0.10756</v>
      </c>
      <c r="D312" s="11">
        <v>0.10756</v>
      </c>
      <c r="E312" s="11">
        <v>0.10756</v>
      </c>
      <c r="F312" s="11">
        <v>0.10756</v>
      </c>
      <c r="G312" s="12">
        <v>3.3700000000000001E-2</v>
      </c>
    </row>
    <row r="313" spans="2:7">
      <c r="B313" s="1">
        <v>36557</v>
      </c>
      <c r="C313" s="11">
        <v>0.10404999999999999</v>
      </c>
      <c r="D313" s="11">
        <v>0.10404999999999999</v>
      </c>
      <c r="E313" s="11">
        <v>0.10404999999999999</v>
      </c>
      <c r="F313" s="11">
        <v>0.10404999999999999</v>
      </c>
      <c r="G313" s="12">
        <v>-4.5199999999999997E-2</v>
      </c>
    </row>
    <row r="314" spans="2:7">
      <c r="B314" s="1">
        <v>36526</v>
      </c>
      <c r="C314" s="11">
        <v>0.10897</v>
      </c>
      <c r="D314" s="11">
        <v>0.10897</v>
      </c>
      <c r="E314" s="11">
        <v>0.10897</v>
      </c>
      <c r="F314" s="11">
        <v>0.10897</v>
      </c>
      <c r="G314" s="12">
        <v>-2.6800000000000001E-2</v>
      </c>
    </row>
    <row r="315" spans="2:7">
      <c r="B315" s="1">
        <v>36495</v>
      </c>
      <c r="C315" s="11">
        <v>0.11196999999999999</v>
      </c>
      <c r="D315" s="11">
        <v>0.11196999999999999</v>
      </c>
      <c r="E315" s="11">
        <v>0.11196999999999999</v>
      </c>
      <c r="F315" s="11">
        <v>0.11196999999999999</v>
      </c>
      <c r="G315" s="12">
        <v>-1.6400000000000001E-2</v>
      </c>
    </row>
    <row r="316" spans="2:7">
      <c r="B316" s="1">
        <v>36465</v>
      </c>
      <c r="C316" s="11">
        <v>0.11384</v>
      </c>
      <c r="D316" s="11">
        <v>0.11384</v>
      </c>
      <c r="E316" s="11">
        <v>0.11384</v>
      </c>
      <c r="F316" s="11">
        <v>0.11384</v>
      </c>
      <c r="G316" s="12">
        <v>-1.1900000000000001E-2</v>
      </c>
    </row>
    <row r="317" spans="2:7">
      <c r="B317" s="1">
        <v>36434</v>
      </c>
      <c r="C317" s="11">
        <v>0.11521000000000001</v>
      </c>
      <c r="D317" s="11">
        <v>0.11521000000000001</v>
      </c>
      <c r="E317" s="11">
        <v>0.11521000000000001</v>
      </c>
      <c r="F317" s="11">
        <v>0.11521000000000001</v>
      </c>
      <c r="G317" s="12">
        <v>-9.7000000000000003E-3</v>
      </c>
    </row>
    <row r="318" spans="2:7">
      <c r="B318" s="1">
        <v>36404</v>
      </c>
      <c r="C318" s="11">
        <v>0.11634</v>
      </c>
      <c r="D318" s="11">
        <v>0.11634</v>
      </c>
      <c r="E318" s="11">
        <v>0.11634</v>
      </c>
      <c r="F318" s="11">
        <v>0.11634</v>
      </c>
      <c r="G318" s="12">
        <v>4.0000000000000001E-3</v>
      </c>
    </row>
    <row r="319" spans="2:7">
      <c r="B319" s="1">
        <v>36373</v>
      </c>
      <c r="C319" s="11">
        <v>0.11588</v>
      </c>
      <c r="D319" s="11">
        <v>0.11588</v>
      </c>
      <c r="E319" s="11">
        <v>0.11588</v>
      </c>
      <c r="F319" s="11">
        <v>0.11588</v>
      </c>
      <c r="G319" s="12">
        <v>-7.3000000000000001E-3</v>
      </c>
    </row>
    <row r="320" spans="2:7">
      <c r="B320" s="1">
        <v>36342</v>
      </c>
      <c r="C320" s="11">
        <v>0.11673</v>
      </c>
      <c r="D320" s="11">
        <v>0.11673</v>
      </c>
      <c r="E320" s="11">
        <v>0.11673</v>
      </c>
      <c r="F320" s="11">
        <v>0.11673</v>
      </c>
      <c r="G320" s="12">
        <v>-1.4999999999999999E-2</v>
      </c>
    </row>
    <row r="321" spans="2:7">
      <c r="B321" s="1">
        <v>36312</v>
      </c>
      <c r="C321" s="11">
        <v>0.11851</v>
      </c>
      <c r="D321" s="11">
        <v>0.11851</v>
      </c>
      <c r="E321" s="11">
        <v>0.11851</v>
      </c>
      <c r="F321" s="11">
        <v>0.11851</v>
      </c>
      <c r="G321" s="12">
        <v>1.29E-2</v>
      </c>
    </row>
    <row r="322" spans="2:7">
      <c r="B322" s="1">
        <v>36281</v>
      </c>
      <c r="C322" s="11">
        <v>0.11699999999999999</v>
      </c>
      <c r="D322" s="11">
        <v>0.11699999999999999</v>
      </c>
      <c r="E322" s="11">
        <v>0.11699999999999999</v>
      </c>
      <c r="F322" s="11">
        <v>0.11699999999999999</v>
      </c>
      <c r="G322" s="12">
        <v>-1.5599999999999999E-2</v>
      </c>
    </row>
    <row r="323" spans="2:7">
      <c r="B323" s="1">
        <v>36251</v>
      </c>
      <c r="C323" s="11">
        <v>0.11885999999999999</v>
      </c>
      <c r="D323" s="11">
        <v>0.11885999999999999</v>
      </c>
      <c r="E323" s="11">
        <v>0.11885999999999999</v>
      </c>
      <c r="F323" s="11">
        <v>0.11885999999999999</v>
      </c>
      <c r="G323" s="12">
        <v>-8.9999999999999993E-3</v>
      </c>
    </row>
    <row r="324" spans="2:7">
      <c r="B324" s="1">
        <v>36220</v>
      </c>
      <c r="C324" s="11">
        <v>0.11993999999999999</v>
      </c>
      <c r="D324" s="11">
        <v>0.11993999999999999</v>
      </c>
      <c r="E324" s="11">
        <v>0.11993999999999999</v>
      </c>
      <c r="F324" s="11">
        <v>0.11993999999999999</v>
      </c>
      <c r="G324" s="12">
        <v>-1.8700000000000001E-2</v>
      </c>
    </row>
    <row r="325" spans="2:7">
      <c r="B325" s="1">
        <v>36192</v>
      </c>
      <c r="C325" s="11">
        <v>0.12223000000000001</v>
      </c>
      <c r="D325" s="11">
        <v>0.12223000000000001</v>
      </c>
      <c r="E325" s="11">
        <v>0.12223000000000001</v>
      </c>
      <c r="F325" s="11">
        <v>0.12223000000000001</v>
      </c>
      <c r="G325" s="12">
        <v>2.9999999999999997E-4</v>
      </c>
    </row>
    <row r="326" spans="2:7">
      <c r="B326" s="1">
        <v>36161</v>
      </c>
      <c r="C326" s="11">
        <v>0.12218999999999999</v>
      </c>
      <c r="D326" s="11">
        <v>0.12218999999999999</v>
      </c>
      <c r="E326" s="11">
        <v>0.12218999999999999</v>
      </c>
      <c r="F326" s="11">
        <v>0.12218999999999999</v>
      </c>
      <c r="G326" s="12">
        <v>5.0000000000000001E-4</v>
      </c>
    </row>
    <row r="327" spans="2:7">
      <c r="B327" s="1">
        <v>36130</v>
      </c>
      <c r="C327" s="11">
        <v>0.12212999999999999</v>
      </c>
      <c r="D327" s="11">
        <v>0.12212999999999999</v>
      </c>
      <c r="E327" s="11">
        <v>0.12212999999999999</v>
      </c>
      <c r="F327" s="11">
        <v>0.12212999999999999</v>
      </c>
      <c r="G327" s="12">
        <v>-6.9999999999999999E-4</v>
      </c>
    </row>
    <row r="328" spans="2:7">
      <c r="B328" s="1">
        <v>36100</v>
      </c>
      <c r="C328" s="11">
        <v>0.12221</v>
      </c>
      <c r="D328" s="11">
        <v>0.12221</v>
      </c>
      <c r="E328" s="11">
        <v>0.12221</v>
      </c>
      <c r="F328" s="11">
        <v>0.12221</v>
      </c>
      <c r="G328" s="12">
        <v>-6.6E-3</v>
      </c>
    </row>
    <row r="329" spans="2:7">
      <c r="B329" s="1">
        <v>36069</v>
      </c>
      <c r="C329" s="11">
        <v>0.12301999999999999</v>
      </c>
      <c r="D329" s="11">
        <v>0.12301999999999999</v>
      </c>
      <c r="E329" s="11">
        <v>0.12301999999999999</v>
      </c>
      <c r="F329" s="11">
        <v>0.12301999999999999</v>
      </c>
      <c r="G329" s="12">
        <v>1.1999999999999999E-3</v>
      </c>
    </row>
    <row r="330" spans="2:7">
      <c r="B330" s="1">
        <v>36039</v>
      </c>
      <c r="C330" s="11">
        <v>0.12287000000000001</v>
      </c>
      <c r="D330" s="11">
        <v>0.12287000000000001</v>
      </c>
      <c r="E330" s="11">
        <v>0.12287000000000001</v>
      </c>
      <c r="F330" s="11">
        <v>0.12287000000000001</v>
      </c>
      <c r="G330" s="12">
        <v>3.8E-3</v>
      </c>
    </row>
    <row r="331" spans="2:7">
      <c r="B331" s="1">
        <v>36008</v>
      </c>
      <c r="C331" s="11">
        <v>0.12240999999999999</v>
      </c>
      <c r="D331" s="11">
        <v>0.12240999999999999</v>
      </c>
      <c r="E331" s="11">
        <v>0.12240999999999999</v>
      </c>
      <c r="F331" s="11">
        <v>0.12240999999999999</v>
      </c>
      <c r="G331" s="12">
        <v>3.3999999999999998E-3</v>
      </c>
    </row>
    <row r="332" spans="2:7">
      <c r="B332" s="1">
        <v>35977</v>
      </c>
      <c r="C332" s="11">
        <v>0.122</v>
      </c>
      <c r="D332" s="11">
        <v>0.122</v>
      </c>
      <c r="E332" s="11">
        <v>0.122</v>
      </c>
      <c r="F332" s="11">
        <v>0.122</v>
      </c>
      <c r="G332" s="12">
        <v>6.7999999999999996E-3</v>
      </c>
    </row>
    <row r="333" spans="2:7">
      <c r="B333" s="1">
        <v>35947</v>
      </c>
      <c r="C333" s="11">
        <v>0.12117000000000001</v>
      </c>
      <c r="D333" s="11">
        <v>0.12117000000000001</v>
      </c>
      <c r="E333" s="11">
        <v>0.12117000000000001</v>
      </c>
      <c r="F333" s="11">
        <v>0.12117000000000001</v>
      </c>
      <c r="G333" s="12">
        <v>5.5999999999999999E-3</v>
      </c>
    </row>
    <row r="334" spans="2:7">
      <c r="B334" s="1">
        <v>35916</v>
      </c>
      <c r="C334" s="11">
        <v>0.12049</v>
      </c>
      <c r="D334" s="11">
        <v>0.12049</v>
      </c>
      <c r="E334" s="11">
        <v>0.12049</v>
      </c>
      <c r="F334" s="11">
        <v>0.12049</v>
      </c>
      <c r="G334" s="12">
        <v>2.2700000000000001E-2</v>
      </c>
    </row>
    <row r="335" spans="2:7">
      <c r="B335" s="1">
        <v>35886</v>
      </c>
      <c r="C335" s="11">
        <v>0.11781000000000001</v>
      </c>
      <c r="D335" s="11">
        <v>0.11781000000000001</v>
      </c>
      <c r="E335" s="11">
        <v>0.11781000000000001</v>
      </c>
      <c r="F335" s="11">
        <v>0.11781000000000001</v>
      </c>
      <c r="G335" s="12">
        <v>-2.52E-2</v>
      </c>
    </row>
    <row r="336" spans="2:7">
      <c r="B336" s="1">
        <v>35855</v>
      </c>
      <c r="C336" s="11">
        <v>0.12086000000000001</v>
      </c>
      <c r="D336" s="11">
        <v>0.12086000000000001</v>
      </c>
      <c r="E336" s="11">
        <v>0.12086000000000001</v>
      </c>
      <c r="F336" s="11">
        <v>0.12086000000000001</v>
      </c>
      <c r="G336" s="12">
        <v>-5.2699999999999997E-2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412C-8035-40B4-A7C0-B27F89CC362F}">
  <sheetPr>
    <tabColor theme="5" tint="-0.249977111117893"/>
  </sheetPr>
  <dimension ref="B2:G31"/>
  <sheetViews>
    <sheetView showGridLines="0" zoomScale="111" workbookViewId="0">
      <selection activeCell="D33" sqref="D33"/>
    </sheetView>
  </sheetViews>
  <sheetFormatPr defaultRowHeight="15"/>
  <cols>
    <col min="3" max="3" width="11.5703125" bestFit="1" customWidth="1"/>
    <col min="5" max="5" width="21.85546875" bestFit="1" customWidth="1"/>
    <col min="6" max="6" width="8.140625" bestFit="1" customWidth="1"/>
  </cols>
  <sheetData>
    <row r="2" spans="2:7">
      <c r="B2" s="57" t="s">
        <v>0</v>
      </c>
      <c r="C2" s="31" t="s">
        <v>11</v>
      </c>
      <c r="E2" s="31" t="s">
        <v>181</v>
      </c>
      <c r="F2" s="59" t="s">
        <v>115</v>
      </c>
      <c r="G2" s="50">
        <f>AVERAGE(C12:C31)</f>
        <v>2.5094999999999999E-2</v>
      </c>
    </row>
    <row r="3" spans="2:7">
      <c r="B3" s="2">
        <v>1997</v>
      </c>
      <c r="C3" s="3">
        <v>0.02</v>
      </c>
      <c r="E3" s="13"/>
      <c r="F3" s="14"/>
      <c r="G3" s="51"/>
    </row>
    <row r="4" spans="2:7">
      <c r="B4" s="2">
        <v>1998</v>
      </c>
      <c r="C4" s="3">
        <v>0.02</v>
      </c>
      <c r="E4" s="31" t="s">
        <v>181</v>
      </c>
      <c r="F4" s="59" t="s">
        <v>119</v>
      </c>
      <c r="G4" s="50">
        <f>AVERAGE(C17:C31)</f>
        <v>2.2599999999999999E-2</v>
      </c>
    </row>
    <row r="5" spans="2:7">
      <c r="B5" s="2">
        <v>1999</v>
      </c>
      <c r="C5" s="3">
        <v>1.9699999999999999E-2</v>
      </c>
      <c r="E5" s="13"/>
      <c r="F5" s="14"/>
      <c r="G5" s="51"/>
    </row>
    <row r="6" spans="2:7">
      <c r="B6" s="2">
        <v>2000</v>
      </c>
      <c r="C6" s="3">
        <v>1.9900000000000001E-2</v>
      </c>
      <c r="E6" s="31" t="s">
        <v>181</v>
      </c>
      <c r="F6" s="59" t="s">
        <v>118</v>
      </c>
      <c r="G6" s="50">
        <f>AVERAGE(C25:C31)</f>
        <v>1.7899999999999999E-2</v>
      </c>
    </row>
    <row r="7" spans="2:7">
      <c r="B7" s="2">
        <v>2001</v>
      </c>
      <c r="C7" s="3">
        <v>5.5E-2</v>
      </c>
      <c r="E7" s="13"/>
      <c r="F7" s="14"/>
      <c r="G7" s="51"/>
    </row>
    <row r="8" spans="2:7">
      <c r="B8" s="2">
        <v>2002</v>
      </c>
      <c r="C8" s="3">
        <v>4.9200000000000001E-2</v>
      </c>
      <c r="E8" s="31" t="s">
        <v>181</v>
      </c>
      <c r="F8" s="59" t="s">
        <v>117</v>
      </c>
      <c r="G8" s="50">
        <f>AVERAGE(C27:C31)</f>
        <v>1.6580000000000001E-2</v>
      </c>
    </row>
    <row r="9" spans="2:7">
      <c r="B9" s="2">
        <v>2003</v>
      </c>
      <c r="C9" s="3">
        <v>7.0800000000000002E-2</v>
      </c>
      <c r="E9" s="13"/>
      <c r="F9" s="14"/>
      <c r="G9" s="51"/>
    </row>
    <row r="10" spans="2:7">
      <c r="B10" s="2">
        <v>2004</v>
      </c>
      <c r="C10" s="3">
        <v>4.5599999999999995E-2</v>
      </c>
      <c r="E10" s="31" t="s">
        <v>181</v>
      </c>
      <c r="F10" s="59" t="s">
        <v>116</v>
      </c>
      <c r="G10" s="52">
        <v>2.7E-2</v>
      </c>
    </row>
    <row r="11" spans="2:7">
      <c r="B11" s="2">
        <v>2005</v>
      </c>
      <c r="C11" s="3">
        <v>4.8600000000000004E-2</v>
      </c>
    </row>
    <row r="12" spans="2:7">
      <c r="B12" s="2">
        <v>2006</v>
      </c>
      <c r="C12" s="3">
        <v>3.1800000000000002E-2</v>
      </c>
      <c r="E12" s="16" t="s">
        <v>128</v>
      </c>
    </row>
    <row r="13" spans="2:7">
      <c r="B13" s="2">
        <v>2007</v>
      </c>
      <c r="C13" s="3">
        <v>3.0800000000000001E-2</v>
      </c>
    </row>
    <row r="14" spans="2:7">
      <c r="B14" s="2">
        <v>2008</v>
      </c>
      <c r="C14" s="3">
        <v>4.1100000000000005E-2</v>
      </c>
    </row>
    <row r="15" spans="2:7">
      <c r="B15" s="2">
        <v>2009</v>
      </c>
      <c r="C15" s="3">
        <v>3.2199999999999999E-2</v>
      </c>
    </row>
    <row r="16" spans="2:7">
      <c r="B16" s="2">
        <v>2010</v>
      </c>
      <c r="C16" s="3">
        <v>2.7000000000000003E-2</v>
      </c>
    </row>
    <row r="17" spans="2:3">
      <c r="B17" s="2">
        <v>2011</v>
      </c>
      <c r="C17" s="3">
        <v>3.6600000000000001E-2</v>
      </c>
    </row>
    <row r="18" spans="2:3">
      <c r="B18" s="2">
        <v>2012</v>
      </c>
      <c r="C18" s="3">
        <v>3.6499999999999998E-2</v>
      </c>
    </row>
    <row r="19" spans="2:3">
      <c r="B19" s="2">
        <v>2013</v>
      </c>
      <c r="C19" s="3">
        <v>2.8199999999999999E-2</v>
      </c>
    </row>
    <row r="20" spans="2:3">
      <c r="B20" s="2">
        <v>2014</v>
      </c>
      <c r="C20" s="3">
        <v>2.3599999999999999E-2</v>
      </c>
    </row>
    <row r="21" spans="2:3">
      <c r="B21" s="2">
        <v>2015</v>
      </c>
      <c r="C21" s="3">
        <v>2.5600000000000001E-2</v>
      </c>
    </row>
    <row r="22" spans="2:3">
      <c r="B22" s="2">
        <v>2016</v>
      </c>
      <c r="C22" s="3">
        <v>2.3799999999999998E-2</v>
      </c>
    </row>
    <row r="23" spans="2:3">
      <c r="B23" s="2">
        <v>2017</v>
      </c>
      <c r="C23" s="3">
        <v>1.9299999999999998E-2</v>
      </c>
    </row>
    <row r="24" spans="2:3">
      <c r="B24" s="2">
        <v>2018</v>
      </c>
      <c r="C24" s="3">
        <v>2.0099999999999996E-2</v>
      </c>
    </row>
    <row r="25" spans="2:3">
      <c r="B25" s="2">
        <v>2019</v>
      </c>
      <c r="C25" s="3">
        <v>2.1899999999999999E-2</v>
      </c>
    </row>
    <row r="26" spans="2:3">
      <c r="B26" s="2">
        <v>2020</v>
      </c>
      <c r="C26" s="3">
        <v>2.0499999999999997E-2</v>
      </c>
    </row>
    <row r="27" spans="2:3">
      <c r="B27" s="2">
        <v>2021</v>
      </c>
      <c r="C27" s="3">
        <v>1.7399999999999999E-2</v>
      </c>
    </row>
    <row r="28" spans="2:3">
      <c r="B28" s="2">
        <v>2022</v>
      </c>
      <c r="C28" s="3">
        <v>1.8000000000000002E-2</v>
      </c>
    </row>
    <row r="29" spans="2:3">
      <c r="B29" s="2">
        <v>2023</v>
      </c>
      <c r="C29" s="3">
        <v>1.6500000000000001E-2</v>
      </c>
    </row>
    <row r="30" spans="2:3">
      <c r="B30" s="2">
        <v>2024</v>
      </c>
      <c r="C30" s="3">
        <v>1.43E-2</v>
      </c>
    </row>
    <row r="31" spans="2:3">
      <c r="B31" s="2">
        <v>2025</v>
      </c>
      <c r="C31" s="3">
        <v>1.67E-2</v>
      </c>
    </row>
  </sheetData>
  <pageMargins left="0.7" right="0.7" top="0.75" bottom="0.75" header="0.3" footer="0.3"/>
  <ignoredErrors>
    <ignoredError sqref="G2:G8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720B-EFA1-45BC-BD8A-10DDC999E1FD}">
  <sheetPr>
    <tabColor theme="6" tint="-0.249977111117893"/>
  </sheetPr>
  <dimension ref="B2:J98"/>
  <sheetViews>
    <sheetView showGridLines="0" workbookViewId="0">
      <selection activeCell="I31" sqref="I31"/>
    </sheetView>
  </sheetViews>
  <sheetFormatPr defaultRowHeight="15"/>
  <cols>
    <col min="2" max="2" width="39.5703125" bestFit="1" customWidth="1"/>
    <col min="3" max="3" width="15.7109375" bestFit="1" customWidth="1"/>
    <col min="4" max="4" width="11.140625" bestFit="1" customWidth="1"/>
    <col min="5" max="5" width="20.140625" customWidth="1"/>
    <col min="6" max="6" width="9.140625" bestFit="1" customWidth="1"/>
    <col min="7" max="7" width="18.140625" bestFit="1" customWidth="1"/>
    <col min="9" max="9" width="14.5703125" bestFit="1" customWidth="1"/>
  </cols>
  <sheetData>
    <row r="2" spans="2:10">
      <c r="B2" s="57" t="s">
        <v>12</v>
      </c>
      <c r="C2" s="57" t="s">
        <v>13</v>
      </c>
      <c r="D2" s="57" t="s">
        <v>14</v>
      </c>
      <c r="E2" s="57" t="s">
        <v>15</v>
      </c>
      <c r="F2" s="57" t="s">
        <v>110</v>
      </c>
      <c r="G2" s="57" t="s">
        <v>111</v>
      </c>
      <c r="I2" s="58" t="s">
        <v>112</v>
      </c>
      <c r="J2" s="15">
        <f>AVERAGE(G3:G98)</f>
        <v>0.36204952446208027</v>
      </c>
    </row>
    <row r="3" spans="2:10">
      <c r="B3" s="17" t="s">
        <v>16</v>
      </c>
      <c r="C3" s="18">
        <v>26</v>
      </c>
      <c r="D3" s="19">
        <v>2.105</v>
      </c>
      <c r="E3" s="19">
        <v>4.4499999999999993</v>
      </c>
      <c r="F3" s="19">
        <f>IF(D3&gt;E3,0,E3-D3)</f>
        <v>2.3449999999999993</v>
      </c>
      <c r="G3" s="11">
        <f>IFERROR(F3/D3,0)</f>
        <v>1.1140142517814724</v>
      </c>
      <c r="I3" s="58" t="s">
        <v>113</v>
      </c>
      <c r="J3" s="15">
        <f>TRIMMEAN(G3:G96,0.05)</f>
        <v>0.17037098742077492</v>
      </c>
    </row>
    <row r="4" spans="2:10">
      <c r="B4" s="17" t="s">
        <v>17</v>
      </c>
      <c r="C4" s="18">
        <v>20</v>
      </c>
      <c r="D4" s="19">
        <v>585.9129999999999</v>
      </c>
      <c r="E4" s="19">
        <v>585.9129999999999</v>
      </c>
      <c r="F4" s="19">
        <f t="shared" ref="F4:F67" si="0">IF(D4&gt;E4,0,E4-D4)</f>
        <v>0</v>
      </c>
      <c r="G4" s="11">
        <f t="shared" ref="G4:G67" si="1">IFERROR(F4/D4,0)</f>
        <v>0</v>
      </c>
    </row>
    <row r="5" spans="2:10">
      <c r="B5" s="17" t="s">
        <v>18</v>
      </c>
      <c r="C5" s="18">
        <v>4</v>
      </c>
      <c r="D5" s="19">
        <v>0.95579999999999998</v>
      </c>
      <c r="E5" s="19">
        <v>0</v>
      </c>
      <c r="F5" s="19">
        <f t="shared" si="0"/>
        <v>0</v>
      </c>
      <c r="G5" s="11">
        <f t="shared" si="1"/>
        <v>0</v>
      </c>
      <c r="I5" s="16" t="s">
        <v>129</v>
      </c>
    </row>
    <row r="6" spans="2:10">
      <c r="B6" s="17" t="s">
        <v>19</v>
      </c>
      <c r="C6" s="18">
        <v>366</v>
      </c>
      <c r="D6" s="19">
        <v>411.77249999999987</v>
      </c>
      <c r="E6" s="19">
        <v>549.28199999999993</v>
      </c>
      <c r="F6" s="19">
        <f t="shared" si="0"/>
        <v>137.50950000000006</v>
      </c>
      <c r="G6" s="11">
        <f t="shared" si="1"/>
        <v>0.33394532174926717</v>
      </c>
    </row>
    <row r="7" spans="2:10">
      <c r="B7" s="17" t="s">
        <v>20</v>
      </c>
      <c r="C7" s="18">
        <v>14</v>
      </c>
      <c r="D7" s="19">
        <v>3123.5</v>
      </c>
      <c r="E7" s="19">
        <v>3735.56</v>
      </c>
      <c r="F7" s="19">
        <f t="shared" si="0"/>
        <v>612.05999999999995</v>
      </c>
      <c r="G7" s="11">
        <f t="shared" si="1"/>
        <v>0.19595325756363052</v>
      </c>
    </row>
    <row r="8" spans="2:10">
      <c r="B8" s="17" t="s">
        <v>21</v>
      </c>
      <c r="C8" s="18">
        <v>117</v>
      </c>
      <c r="D8" s="19">
        <v>584.99630000000002</v>
      </c>
      <c r="E8" s="19">
        <v>637.27800000000002</v>
      </c>
      <c r="F8" s="19">
        <f t="shared" si="0"/>
        <v>52.281700000000001</v>
      </c>
      <c r="G8" s="11">
        <f t="shared" si="1"/>
        <v>8.9370992602859189E-2</v>
      </c>
      <c r="J8" t="s">
        <v>114</v>
      </c>
    </row>
    <row r="9" spans="2:10">
      <c r="B9" s="17" t="s">
        <v>22</v>
      </c>
      <c r="C9" s="18">
        <v>35</v>
      </c>
      <c r="D9" s="19">
        <v>6540.4090000000006</v>
      </c>
      <c r="E9" s="19">
        <v>6540.4090000000006</v>
      </c>
      <c r="F9" s="19">
        <f t="shared" si="0"/>
        <v>0</v>
      </c>
      <c r="G9" s="11">
        <f t="shared" si="1"/>
        <v>0</v>
      </c>
    </row>
    <row r="10" spans="2:10">
      <c r="B10" s="17" t="s">
        <v>23</v>
      </c>
      <c r="C10" s="18">
        <v>6</v>
      </c>
      <c r="D10" s="19">
        <v>69.416000000000011</v>
      </c>
      <c r="E10" s="19">
        <v>69.416000000000011</v>
      </c>
      <c r="F10" s="19">
        <f t="shared" si="0"/>
        <v>0</v>
      </c>
      <c r="G10" s="11">
        <f t="shared" si="1"/>
        <v>0</v>
      </c>
    </row>
    <row r="11" spans="2:10">
      <c r="B11" s="17" t="s">
        <v>24</v>
      </c>
      <c r="C11" s="18">
        <v>19</v>
      </c>
      <c r="D11" s="19">
        <v>129.82899999999998</v>
      </c>
      <c r="E11" s="19">
        <v>129.82899999999998</v>
      </c>
      <c r="F11" s="19">
        <f t="shared" si="0"/>
        <v>0</v>
      </c>
      <c r="G11" s="11">
        <f t="shared" si="1"/>
        <v>0</v>
      </c>
    </row>
    <row r="12" spans="2:10">
      <c r="B12" s="17" t="s">
        <v>25</v>
      </c>
      <c r="C12" s="18">
        <v>5</v>
      </c>
      <c r="D12" s="19">
        <v>40.578000000000003</v>
      </c>
      <c r="E12" s="19">
        <v>0</v>
      </c>
      <c r="F12" s="19">
        <f t="shared" si="0"/>
        <v>0</v>
      </c>
      <c r="G12" s="11">
        <f t="shared" si="1"/>
        <v>0</v>
      </c>
    </row>
    <row r="13" spans="2:10">
      <c r="B13" s="17" t="s">
        <v>26</v>
      </c>
      <c r="C13" s="18">
        <v>19</v>
      </c>
      <c r="D13" s="19">
        <v>91.328000000000003</v>
      </c>
      <c r="E13" s="19">
        <v>79.802000000000007</v>
      </c>
      <c r="F13" s="19">
        <f t="shared" si="0"/>
        <v>0</v>
      </c>
      <c r="G13" s="11">
        <f t="shared" si="1"/>
        <v>0</v>
      </c>
    </row>
    <row r="14" spans="2:10">
      <c r="B14" s="17" t="s">
        <v>27</v>
      </c>
      <c r="C14" s="18">
        <v>176</v>
      </c>
      <c r="D14" s="19">
        <v>225.75952000000001</v>
      </c>
      <c r="E14" s="19">
        <v>229.32300000000001</v>
      </c>
      <c r="F14" s="19">
        <f t="shared" si="0"/>
        <v>3.5634799999999984</v>
      </c>
      <c r="G14" s="11">
        <f t="shared" si="1"/>
        <v>1.5784406345300515E-2</v>
      </c>
    </row>
    <row r="15" spans="2:10">
      <c r="B15" s="17" t="s">
        <v>28</v>
      </c>
      <c r="C15" s="18">
        <v>57</v>
      </c>
      <c r="D15" s="19">
        <v>90.728999999999971</v>
      </c>
      <c r="E15" s="19">
        <v>128.63299999999998</v>
      </c>
      <c r="F15" s="19">
        <f t="shared" si="0"/>
        <v>37.904000000000011</v>
      </c>
      <c r="G15" s="11">
        <f t="shared" si="1"/>
        <v>0.417771605550596</v>
      </c>
    </row>
    <row r="16" spans="2:10">
      <c r="B16" s="17" t="s">
        <v>29</v>
      </c>
      <c r="C16" s="18">
        <v>72</v>
      </c>
      <c r="D16" s="19">
        <v>235.68599999999998</v>
      </c>
      <c r="E16" s="19">
        <v>246.01999999999998</v>
      </c>
      <c r="F16" s="19">
        <f t="shared" si="0"/>
        <v>10.334000000000003</v>
      </c>
      <c r="G16" s="11">
        <f t="shared" si="1"/>
        <v>4.3846473698055909E-2</v>
      </c>
    </row>
    <row r="17" spans="2:7">
      <c r="B17" s="17" t="s">
        <v>30</v>
      </c>
      <c r="C17" s="18">
        <v>8</v>
      </c>
      <c r="D17" s="19">
        <v>5.7720000000000002</v>
      </c>
      <c r="E17" s="19">
        <v>5.7720000000000002</v>
      </c>
      <c r="F17" s="19">
        <f t="shared" si="0"/>
        <v>0</v>
      </c>
      <c r="G17" s="11">
        <f t="shared" si="1"/>
        <v>0</v>
      </c>
    </row>
    <row r="18" spans="2:7">
      <c r="B18" s="17" t="s">
        <v>31</v>
      </c>
      <c r="C18" s="18">
        <v>145</v>
      </c>
      <c r="D18" s="19">
        <v>524.31662000000017</v>
      </c>
      <c r="E18" s="19">
        <v>436.9649999999998</v>
      </c>
      <c r="F18" s="19">
        <f t="shared" si="0"/>
        <v>0</v>
      </c>
      <c r="G18" s="11">
        <f t="shared" si="1"/>
        <v>0</v>
      </c>
    </row>
    <row r="19" spans="2:7">
      <c r="B19" s="17" t="s">
        <v>32</v>
      </c>
      <c r="C19" s="18">
        <v>9</v>
      </c>
      <c r="D19" s="19">
        <v>147.04400000000001</v>
      </c>
      <c r="E19" s="19">
        <v>154.42400000000001</v>
      </c>
      <c r="F19" s="19">
        <f t="shared" si="0"/>
        <v>7.3799999999999955</v>
      </c>
      <c r="G19" s="11">
        <f t="shared" si="1"/>
        <v>5.0189059057152929E-2</v>
      </c>
    </row>
    <row r="20" spans="2:7">
      <c r="B20" s="17" t="s">
        <v>33</v>
      </c>
      <c r="C20" s="18">
        <v>184</v>
      </c>
      <c r="D20" s="19">
        <v>951.07709999999997</v>
      </c>
      <c r="E20" s="19">
        <v>1168.7929999999999</v>
      </c>
      <c r="F20" s="19">
        <f t="shared" si="0"/>
        <v>217.71589999999992</v>
      </c>
      <c r="G20" s="11">
        <f t="shared" si="1"/>
        <v>0.22891509005947039</v>
      </c>
    </row>
    <row r="21" spans="2:7">
      <c r="B21" s="17" t="s">
        <v>34</v>
      </c>
      <c r="C21" s="18">
        <v>5</v>
      </c>
      <c r="D21" s="19">
        <v>1911.8</v>
      </c>
      <c r="E21" s="19">
        <v>1911.8</v>
      </c>
      <c r="F21" s="19">
        <f t="shared" si="0"/>
        <v>0</v>
      </c>
      <c r="G21" s="11">
        <f t="shared" si="1"/>
        <v>0</v>
      </c>
    </row>
    <row r="22" spans="2:7">
      <c r="B22" s="17" t="s">
        <v>35</v>
      </c>
      <c r="C22" s="18">
        <v>173</v>
      </c>
      <c r="D22" s="19">
        <v>8458.2963299999974</v>
      </c>
      <c r="E22" s="19">
        <v>11112.198999999997</v>
      </c>
      <c r="F22" s="19">
        <f t="shared" si="0"/>
        <v>2653.9026699999995</v>
      </c>
      <c r="G22" s="11">
        <f t="shared" si="1"/>
        <v>0.31376326466443394</v>
      </c>
    </row>
    <row r="23" spans="2:7">
      <c r="B23" s="17" t="s">
        <v>36</v>
      </c>
      <c r="C23" s="18">
        <v>9</v>
      </c>
      <c r="D23" s="19">
        <v>1.5730000000000002</v>
      </c>
      <c r="E23" s="19">
        <v>1.5730000000000002</v>
      </c>
      <c r="F23" s="19">
        <f t="shared" si="0"/>
        <v>0</v>
      </c>
      <c r="G23" s="11">
        <f t="shared" si="1"/>
        <v>0</v>
      </c>
    </row>
    <row r="24" spans="2:7">
      <c r="B24" s="17" t="s">
        <v>37</v>
      </c>
      <c r="C24" s="18">
        <v>102</v>
      </c>
      <c r="D24" s="19">
        <v>928.80220000000008</v>
      </c>
      <c r="E24" s="19">
        <v>951.11400000000003</v>
      </c>
      <c r="F24" s="19">
        <f t="shared" si="0"/>
        <v>22.311799999999948</v>
      </c>
      <c r="G24" s="11">
        <f t="shared" si="1"/>
        <v>2.4022122255954979E-2</v>
      </c>
    </row>
    <row r="25" spans="2:7">
      <c r="B25" s="17" t="s">
        <v>38</v>
      </c>
      <c r="C25" s="18">
        <v>15</v>
      </c>
      <c r="D25" s="19">
        <v>334.596</v>
      </c>
      <c r="E25" s="19">
        <v>340.56600000000003</v>
      </c>
      <c r="F25" s="19">
        <f t="shared" si="0"/>
        <v>5.9700000000000273</v>
      </c>
      <c r="G25" s="11">
        <f t="shared" si="1"/>
        <v>1.7842412939784179E-2</v>
      </c>
    </row>
    <row r="26" spans="2:7">
      <c r="B26" s="17" t="s">
        <v>39</v>
      </c>
      <c r="C26" s="18">
        <v>9</v>
      </c>
      <c r="D26" s="19">
        <v>10.499000000000001</v>
      </c>
      <c r="E26" s="19">
        <v>10.499000000000001</v>
      </c>
      <c r="F26" s="19">
        <f t="shared" si="0"/>
        <v>0</v>
      </c>
      <c r="G26" s="11">
        <f t="shared" si="1"/>
        <v>0</v>
      </c>
    </row>
    <row r="27" spans="2:7">
      <c r="B27" s="17" t="s">
        <v>40</v>
      </c>
      <c r="C27" s="18">
        <v>176</v>
      </c>
      <c r="D27" s="19">
        <v>1343.3286000000007</v>
      </c>
      <c r="E27" s="19">
        <v>1549.1330000000007</v>
      </c>
      <c r="F27" s="19">
        <f t="shared" si="0"/>
        <v>205.80439999999999</v>
      </c>
      <c r="G27" s="11">
        <f t="shared" si="1"/>
        <v>0.15320480781842943</v>
      </c>
    </row>
    <row r="28" spans="2:7">
      <c r="B28" s="17" t="s">
        <v>41</v>
      </c>
      <c r="C28" s="18">
        <v>34</v>
      </c>
      <c r="D28" s="19">
        <v>16.011999999999997</v>
      </c>
      <c r="E28" s="19">
        <v>16.687999999999995</v>
      </c>
      <c r="F28" s="19">
        <f t="shared" si="0"/>
        <v>0.67599999999999838</v>
      </c>
      <c r="G28" s="11">
        <f t="shared" si="1"/>
        <v>4.2218336247814049E-2</v>
      </c>
    </row>
    <row r="29" spans="2:7">
      <c r="B29" s="17" t="s">
        <v>42</v>
      </c>
      <c r="C29" s="18">
        <v>122</v>
      </c>
      <c r="D29" s="19">
        <v>386.41589999999985</v>
      </c>
      <c r="E29" s="19">
        <v>300.08000000000004</v>
      </c>
      <c r="F29" s="19">
        <f t="shared" si="0"/>
        <v>0</v>
      </c>
      <c r="G29" s="11">
        <f t="shared" si="1"/>
        <v>0</v>
      </c>
    </row>
    <row r="30" spans="2:7">
      <c r="B30" s="17" t="s">
        <v>43</v>
      </c>
      <c r="C30" s="18">
        <v>8</v>
      </c>
      <c r="D30" s="19">
        <v>3.32</v>
      </c>
      <c r="E30" s="19">
        <v>3.32</v>
      </c>
      <c r="F30" s="19">
        <f t="shared" si="0"/>
        <v>0</v>
      </c>
      <c r="G30" s="11">
        <f t="shared" si="1"/>
        <v>0</v>
      </c>
    </row>
    <row r="31" spans="2:7">
      <c r="B31" s="17" t="s">
        <v>44</v>
      </c>
      <c r="C31" s="18">
        <v>37</v>
      </c>
      <c r="D31" s="19">
        <v>21.730199999999996</v>
      </c>
      <c r="E31" s="19">
        <v>21.624999999999996</v>
      </c>
      <c r="F31" s="19">
        <f t="shared" si="0"/>
        <v>0</v>
      </c>
      <c r="G31" s="11">
        <f t="shared" si="1"/>
        <v>0</v>
      </c>
    </row>
    <row r="32" spans="2:7">
      <c r="B32" s="17" t="s">
        <v>45</v>
      </c>
      <c r="C32" s="18">
        <v>189</v>
      </c>
      <c r="D32" s="19">
        <v>587.91290000000038</v>
      </c>
      <c r="E32" s="19">
        <v>866.25800000000027</v>
      </c>
      <c r="F32" s="19">
        <f t="shared" si="0"/>
        <v>278.34509999999989</v>
      </c>
      <c r="G32" s="11">
        <f t="shared" si="1"/>
        <v>0.47344615163232462</v>
      </c>
    </row>
    <row r="33" spans="2:7">
      <c r="B33" s="17" t="s">
        <v>46</v>
      </c>
      <c r="C33" s="18">
        <v>67</v>
      </c>
      <c r="D33" s="19">
        <v>12.720000000000002</v>
      </c>
      <c r="E33" s="19">
        <v>18.970000000000002</v>
      </c>
      <c r="F33" s="19">
        <f t="shared" si="0"/>
        <v>6.25</v>
      </c>
      <c r="G33" s="11">
        <f t="shared" si="1"/>
        <v>0.49135220125786155</v>
      </c>
    </row>
    <row r="34" spans="2:7">
      <c r="B34" s="17" t="s">
        <v>47</v>
      </c>
      <c r="C34" s="18">
        <v>18</v>
      </c>
      <c r="D34" s="19">
        <v>3.0330000000000004</v>
      </c>
      <c r="E34" s="19">
        <v>4.0790000000000006</v>
      </c>
      <c r="F34" s="19">
        <f t="shared" si="0"/>
        <v>1.0460000000000003</v>
      </c>
      <c r="G34" s="11">
        <f t="shared" si="1"/>
        <v>0.3448730629739532</v>
      </c>
    </row>
    <row r="35" spans="2:7">
      <c r="B35" s="17" t="s">
        <v>48</v>
      </c>
      <c r="C35" s="18">
        <v>66</v>
      </c>
      <c r="D35" s="19">
        <v>81.068999999999988</v>
      </c>
      <c r="E35" s="19">
        <v>130.119</v>
      </c>
      <c r="F35" s="19">
        <f t="shared" si="0"/>
        <v>49.050000000000011</v>
      </c>
      <c r="G35" s="11">
        <f t="shared" si="1"/>
        <v>0.60504015098249664</v>
      </c>
    </row>
    <row r="36" spans="2:7">
      <c r="B36" s="17" t="s">
        <v>49</v>
      </c>
      <c r="C36" s="18">
        <v>286</v>
      </c>
      <c r="D36" s="19">
        <v>3092.2034399999993</v>
      </c>
      <c r="E36" s="19">
        <v>2933.7869999999989</v>
      </c>
      <c r="F36" s="19">
        <f t="shared" si="0"/>
        <v>0</v>
      </c>
      <c r="G36" s="11">
        <f t="shared" si="1"/>
        <v>0</v>
      </c>
    </row>
    <row r="37" spans="2:7">
      <c r="B37" s="17" t="s">
        <v>50</v>
      </c>
      <c r="C37" s="18">
        <v>210</v>
      </c>
      <c r="D37" s="19">
        <v>1020.5782</v>
      </c>
      <c r="E37" s="19">
        <v>1033.1380000000001</v>
      </c>
      <c r="F37" s="19">
        <f t="shared" si="0"/>
        <v>12.559800000000109</v>
      </c>
      <c r="G37" s="11">
        <f t="shared" si="1"/>
        <v>1.2306553285186875E-2</v>
      </c>
    </row>
    <row r="38" spans="2:7">
      <c r="B38" s="17" t="s">
        <v>51</v>
      </c>
      <c r="C38" s="18">
        <v>40</v>
      </c>
      <c r="D38" s="19">
        <v>0.42060000000000003</v>
      </c>
      <c r="E38" s="19">
        <v>6.3360000000000003</v>
      </c>
      <c r="F38" s="19">
        <f t="shared" si="0"/>
        <v>5.9154</v>
      </c>
      <c r="G38" s="11">
        <f t="shared" si="1"/>
        <v>14.0641940085592</v>
      </c>
    </row>
    <row r="39" spans="2:7">
      <c r="B39" s="17" t="s">
        <v>52</v>
      </c>
      <c r="C39" s="18">
        <v>47</v>
      </c>
      <c r="D39" s="19">
        <v>68.40800000000003</v>
      </c>
      <c r="E39" s="19">
        <v>113.48900000000003</v>
      </c>
      <c r="F39" s="19">
        <f t="shared" si="0"/>
        <v>45.081000000000003</v>
      </c>
      <c r="G39" s="11">
        <f t="shared" si="1"/>
        <v>0.6590018711261838</v>
      </c>
    </row>
    <row r="40" spans="2:7">
      <c r="B40" s="17" t="s">
        <v>53</v>
      </c>
      <c r="C40" s="18">
        <v>19</v>
      </c>
      <c r="D40" s="19">
        <v>234.55600000000001</v>
      </c>
      <c r="E40" s="19">
        <v>234.55600000000001</v>
      </c>
      <c r="F40" s="19">
        <f t="shared" si="0"/>
        <v>0</v>
      </c>
      <c r="G40" s="11">
        <f t="shared" si="1"/>
        <v>0</v>
      </c>
    </row>
    <row r="41" spans="2:7">
      <c r="B41" s="17" t="s">
        <v>54</v>
      </c>
      <c r="C41" s="18">
        <v>15</v>
      </c>
      <c r="D41" s="19">
        <v>3.6819999999999999</v>
      </c>
      <c r="E41" s="19">
        <v>3.6819999999999999</v>
      </c>
      <c r="F41" s="19">
        <f t="shared" si="0"/>
        <v>0</v>
      </c>
      <c r="G41" s="11">
        <f t="shared" si="1"/>
        <v>0</v>
      </c>
    </row>
    <row r="42" spans="2:7">
      <c r="B42" s="17" t="s">
        <v>55</v>
      </c>
      <c r="C42" s="18">
        <v>41</v>
      </c>
      <c r="D42" s="19">
        <v>45.609200000000008</v>
      </c>
      <c r="E42" s="19">
        <v>42.192000000000007</v>
      </c>
      <c r="F42" s="19">
        <f t="shared" si="0"/>
        <v>0</v>
      </c>
      <c r="G42" s="11">
        <f t="shared" si="1"/>
        <v>0</v>
      </c>
    </row>
    <row r="43" spans="2:7">
      <c r="B43" s="17" t="s">
        <v>56</v>
      </c>
      <c r="C43" s="18">
        <v>21</v>
      </c>
      <c r="D43" s="19">
        <v>121.0146</v>
      </c>
      <c r="E43" s="19">
        <v>98.028000000000006</v>
      </c>
      <c r="F43" s="19">
        <f t="shared" si="0"/>
        <v>0</v>
      </c>
      <c r="G43" s="11">
        <f t="shared" si="1"/>
        <v>0</v>
      </c>
    </row>
    <row r="44" spans="2:7">
      <c r="B44" s="17" t="s">
        <v>57</v>
      </c>
      <c r="C44" s="18">
        <v>0</v>
      </c>
      <c r="D44" s="19">
        <v>0</v>
      </c>
      <c r="E44" s="19">
        <v>0</v>
      </c>
      <c r="F44" s="19">
        <f t="shared" si="0"/>
        <v>0</v>
      </c>
      <c r="G44" s="11">
        <f t="shared" si="1"/>
        <v>0</v>
      </c>
    </row>
    <row r="45" spans="2:7">
      <c r="B45" s="17" t="s">
        <v>58</v>
      </c>
      <c r="C45" s="18">
        <v>36</v>
      </c>
      <c r="D45" s="19">
        <v>74.168999999999997</v>
      </c>
      <c r="E45" s="19">
        <v>74.625999999999991</v>
      </c>
      <c r="F45" s="19">
        <f t="shared" si="0"/>
        <v>0.45699999999999363</v>
      </c>
      <c r="G45" s="11">
        <f t="shared" si="1"/>
        <v>6.1616039045961739E-3</v>
      </c>
    </row>
    <row r="46" spans="2:7">
      <c r="B46" s="17" t="s">
        <v>59</v>
      </c>
      <c r="C46" s="18">
        <v>72</v>
      </c>
      <c r="D46" s="19">
        <v>59.093099999999993</v>
      </c>
      <c r="E46" s="19">
        <v>64.799999999999983</v>
      </c>
      <c r="F46" s="19">
        <f t="shared" si="0"/>
        <v>5.7068999999999903</v>
      </c>
      <c r="G46" s="11">
        <f t="shared" si="1"/>
        <v>9.6574726998583438E-2</v>
      </c>
    </row>
    <row r="47" spans="2:7">
      <c r="B47" s="17" t="s">
        <v>60</v>
      </c>
      <c r="C47" s="18">
        <v>37</v>
      </c>
      <c r="D47" s="19">
        <v>1797.8419999999999</v>
      </c>
      <c r="E47" s="19">
        <v>1822.3169999999998</v>
      </c>
      <c r="F47" s="19">
        <f t="shared" si="0"/>
        <v>24.474999999999909</v>
      </c>
      <c r="G47" s="11">
        <f t="shared" si="1"/>
        <v>1.3613543348080594E-2</v>
      </c>
    </row>
    <row r="48" spans="2:7">
      <c r="B48" s="17" t="s">
        <v>61</v>
      </c>
      <c r="C48" s="18">
        <v>25</v>
      </c>
      <c r="D48" s="19">
        <v>79.789000000000001</v>
      </c>
      <c r="E48" s="19">
        <v>428.58899999999994</v>
      </c>
      <c r="F48" s="19">
        <f t="shared" si="0"/>
        <v>348.79999999999995</v>
      </c>
      <c r="G48" s="11">
        <f t="shared" si="1"/>
        <v>4.3715299101379879</v>
      </c>
    </row>
    <row r="49" spans="2:7">
      <c r="B49" s="17" t="s">
        <v>62</v>
      </c>
      <c r="C49" s="18">
        <v>1</v>
      </c>
      <c r="D49" s="19">
        <v>0</v>
      </c>
      <c r="E49" s="19">
        <v>0</v>
      </c>
      <c r="F49" s="19">
        <f t="shared" si="0"/>
        <v>0</v>
      </c>
      <c r="G49" s="11">
        <f t="shared" si="1"/>
        <v>0</v>
      </c>
    </row>
    <row r="50" spans="2:7">
      <c r="B50" s="17" t="s">
        <v>63</v>
      </c>
      <c r="C50" s="18">
        <v>8</v>
      </c>
      <c r="D50" s="19">
        <v>849.25999999999988</v>
      </c>
      <c r="E50" s="19">
        <v>802.44999999999993</v>
      </c>
      <c r="F50" s="19">
        <f t="shared" si="0"/>
        <v>0</v>
      </c>
      <c r="G50" s="11">
        <f t="shared" si="1"/>
        <v>0</v>
      </c>
    </row>
    <row r="51" spans="2:7">
      <c r="B51" s="17" t="s">
        <v>64</v>
      </c>
      <c r="C51" s="18">
        <v>3</v>
      </c>
      <c r="D51" s="19">
        <v>108.52870000000001</v>
      </c>
      <c r="E51" s="19">
        <v>40.700000000000003</v>
      </c>
      <c r="F51" s="19">
        <f t="shared" si="0"/>
        <v>0</v>
      </c>
      <c r="G51" s="11">
        <f t="shared" si="1"/>
        <v>0</v>
      </c>
    </row>
    <row r="52" spans="2:7">
      <c r="B52" s="17" t="s">
        <v>65</v>
      </c>
      <c r="C52" s="18">
        <v>111</v>
      </c>
      <c r="D52" s="19">
        <v>618.94999999999993</v>
      </c>
      <c r="E52" s="19">
        <v>626.43799999999999</v>
      </c>
      <c r="F52" s="19">
        <f t="shared" si="0"/>
        <v>7.4880000000000564</v>
      </c>
      <c r="G52" s="11">
        <f t="shared" si="1"/>
        <v>1.2097907746990964E-2</v>
      </c>
    </row>
    <row r="53" spans="2:7">
      <c r="B53" s="17" t="s">
        <v>66</v>
      </c>
      <c r="C53" s="18">
        <v>178</v>
      </c>
      <c r="D53" s="19">
        <v>308.77596000000005</v>
      </c>
      <c r="E53" s="19">
        <v>400.59400000000005</v>
      </c>
      <c r="F53" s="19">
        <f t="shared" si="0"/>
        <v>91.818039999999996</v>
      </c>
      <c r="G53" s="11">
        <f t="shared" si="1"/>
        <v>0.2973613619402235</v>
      </c>
    </row>
    <row r="54" spans="2:7">
      <c r="B54" s="17" t="s">
        <v>67</v>
      </c>
      <c r="C54" s="18">
        <v>46</v>
      </c>
      <c r="D54" s="19">
        <v>4060.0876999999996</v>
      </c>
      <c r="E54" s="19">
        <v>4107.9959999999992</v>
      </c>
      <c r="F54" s="19">
        <f t="shared" si="0"/>
        <v>47.908299999999599</v>
      </c>
      <c r="G54" s="11">
        <f t="shared" si="1"/>
        <v>1.1799819003909596E-2</v>
      </c>
    </row>
    <row r="55" spans="2:7">
      <c r="B55" s="17" t="s">
        <v>68</v>
      </c>
      <c r="C55" s="18">
        <v>19</v>
      </c>
      <c r="D55" s="19">
        <v>1.6900000000000002</v>
      </c>
      <c r="E55" s="19">
        <v>1.6970000000000001</v>
      </c>
      <c r="F55" s="19">
        <f t="shared" si="0"/>
        <v>6.9999999999998952E-3</v>
      </c>
      <c r="G55" s="11">
        <f t="shared" si="1"/>
        <v>4.1420118343194643E-3</v>
      </c>
    </row>
    <row r="56" spans="2:7">
      <c r="B56" s="17" t="s">
        <v>69</v>
      </c>
      <c r="C56" s="18">
        <v>1</v>
      </c>
      <c r="D56" s="19">
        <v>1828.3</v>
      </c>
      <c r="E56" s="19">
        <v>1828.3</v>
      </c>
      <c r="F56" s="19">
        <f t="shared" si="0"/>
        <v>0</v>
      </c>
      <c r="G56" s="11">
        <f t="shared" si="1"/>
        <v>0</v>
      </c>
    </row>
    <row r="57" spans="2:7">
      <c r="B57" s="17" t="s">
        <v>70</v>
      </c>
      <c r="C57" s="18">
        <v>6</v>
      </c>
      <c r="D57" s="19">
        <v>181.07300000000001</v>
      </c>
      <c r="E57" s="19">
        <v>181.07300000000001</v>
      </c>
      <c r="F57" s="19">
        <f t="shared" si="0"/>
        <v>0</v>
      </c>
      <c r="G57" s="11">
        <f t="shared" si="1"/>
        <v>0</v>
      </c>
    </row>
    <row r="58" spans="2:7">
      <c r="B58" s="17" t="s">
        <v>71</v>
      </c>
      <c r="C58" s="18">
        <v>10</v>
      </c>
      <c r="D58" s="19">
        <v>247.23999999999998</v>
      </c>
      <c r="E58" s="19">
        <v>247.23999999999998</v>
      </c>
      <c r="F58" s="19">
        <f t="shared" si="0"/>
        <v>0</v>
      </c>
      <c r="G58" s="11">
        <f t="shared" si="1"/>
        <v>0</v>
      </c>
    </row>
    <row r="59" spans="2:7">
      <c r="B59" s="17" t="s">
        <v>72</v>
      </c>
      <c r="C59" s="18">
        <v>27</v>
      </c>
      <c r="D59" s="19">
        <v>4532.8159999999998</v>
      </c>
      <c r="E59" s="19">
        <v>4532.8159999999998</v>
      </c>
      <c r="F59" s="19">
        <f t="shared" si="0"/>
        <v>0</v>
      </c>
      <c r="G59" s="11">
        <f t="shared" si="1"/>
        <v>0</v>
      </c>
    </row>
    <row r="60" spans="2:7">
      <c r="B60" s="17" t="s">
        <v>73</v>
      </c>
      <c r="C60" s="18">
        <v>93</v>
      </c>
      <c r="D60" s="19">
        <v>41.696999999999996</v>
      </c>
      <c r="E60" s="19">
        <v>56.798000000000002</v>
      </c>
      <c r="F60" s="19">
        <f t="shared" si="0"/>
        <v>15.101000000000006</v>
      </c>
      <c r="G60" s="11">
        <f t="shared" si="1"/>
        <v>0.36216034726718965</v>
      </c>
    </row>
    <row r="61" spans="2:7">
      <c r="B61" s="17" t="s">
        <v>74</v>
      </c>
      <c r="C61" s="18">
        <v>53</v>
      </c>
      <c r="D61" s="19">
        <v>57.463999999999992</v>
      </c>
      <c r="E61" s="19">
        <v>57.651999999999994</v>
      </c>
      <c r="F61" s="19">
        <f t="shared" si="0"/>
        <v>0.18800000000000239</v>
      </c>
      <c r="G61" s="11">
        <f t="shared" si="1"/>
        <v>3.2716135319504807E-3</v>
      </c>
    </row>
    <row r="62" spans="2:7">
      <c r="B62" s="17" t="s">
        <v>75</v>
      </c>
      <c r="C62" s="18">
        <v>34</v>
      </c>
      <c r="D62" s="19">
        <v>3508.7004000000011</v>
      </c>
      <c r="E62" s="19">
        <v>3905.5600000000009</v>
      </c>
      <c r="F62" s="19">
        <f t="shared" si="0"/>
        <v>396.85959999999977</v>
      </c>
      <c r="G62" s="11">
        <f t="shared" si="1"/>
        <v>0.11310729180525064</v>
      </c>
    </row>
    <row r="63" spans="2:7">
      <c r="B63" s="17" t="s">
        <v>76</v>
      </c>
      <c r="C63" s="18">
        <v>1</v>
      </c>
      <c r="D63" s="19">
        <v>0</v>
      </c>
      <c r="E63" s="19">
        <v>0</v>
      </c>
      <c r="F63" s="19">
        <f t="shared" si="0"/>
        <v>0</v>
      </c>
      <c r="G63" s="11">
        <f t="shared" si="1"/>
        <v>0</v>
      </c>
    </row>
    <row r="64" spans="2:7">
      <c r="B64" s="17" t="s">
        <v>77</v>
      </c>
      <c r="C64" s="18">
        <v>25</v>
      </c>
      <c r="D64" s="19">
        <v>60.159000000000006</v>
      </c>
      <c r="E64" s="19">
        <v>85.211000000000013</v>
      </c>
      <c r="F64" s="19">
        <f t="shared" si="0"/>
        <v>25.052000000000007</v>
      </c>
      <c r="G64" s="11">
        <f t="shared" si="1"/>
        <v>0.41642979437823108</v>
      </c>
    </row>
    <row r="65" spans="2:7">
      <c r="B65" s="17" t="s">
        <v>78</v>
      </c>
      <c r="C65" s="18">
        <v>4</v>
      </c>
      <c r="D65" s="19">
        <v>616.40000000000009</v>
      </c>
      <c r="E65" s="19">
        <v>616.40000000000009</v>
      </c>
      <c r="F65" s="19">
        <f t="shared" si="0"/>
        <v>0</v>
      </c>
      <c r="G65" s="11">
        <f t="shared" si="1"/>
        <v>0</v>
      </c>
    </row>
    <row r="66" spans="2:7">
      <c r="B66" s="17" t="s">
        <v>79</v>
      </c>
      <c r="C66" s="18">
        <v>151</v>
      </c>
      <c r="D66" s="19">
        <v>149.79656</v>
      </c>
      <c r="E66" s="19">
        <v>160.29200000000003</v>
      </c>
      <c r="F66" s="19">
        <f t="shared" si="0"/>
        <v>10.495440000000031</v>
      </c>
      <c r="G66" s="11">
        <f t="shared" si="1"/>
        <v>7.0064626317186657E-2</v>
      </c>
    </row>
    <row r="67" spans="2:7">
      <c r="B67" s="17" t="s">
        <v>80</v>
      </c>
      <c r="C67" s="18">
        <v>17</v>
      </c>
      <c r="D67" s="19">
        <v>173.91999999999996</v>
      </c>
      <c r="E67" s="19">
        <v>173.91999999999996</v>
      </c>
      <c r="F67" s="19">
        <f t="shared" si="0"/>
        <v>0</v>
      </c>
      <c r="G67" s="11">
        <f t="shared" si="1"/>
        <v>0</v>
      </c>
    </row>
    <row r="68" spans="2:7">
      <c r="B68" s="17" t="s">
        <v>81</v>
      </c>
      <c r="C68" s="18">
        <v>30</v>
      </c>
      <c r="D68" s="19">
        <v>36.132199999999997</v>
      </c>
      <c r="E68" s="19">
        <v>36.871000000000002</v>
      </c>
      <c r="F68" s="19">
        <f t="shared" ref="F68:F96" si="2">IF(D68&gt;E68,0,E68-D68)</f>
        <v>0.73880000000000479</v>
      </c>
      <c r="G68" s="11">
        <f t="shared" ref="G68:G96" si="3">IFERROR(F68/D68,0)</f>
        <v>2.0447135795772325E-2</v>
      </c>
    </row>
    <row r="69" spans="2:7">
      <c r="B69" s="17" t="s">
        <v>82</v>
      </c>
      <c r="C69" s="18">
        <v>12</v>
      </c>
      <c r="D69" s="19">
        <v>2.444</v>
      </c>
      <c r="E69" s="19">
        <v>2.444</v>
      </c>
      <c r="F69" s="19">
        <f t="shared" si="2"/>
        <v>0</v>
      </c>
      <c r="G69" s="11">
        <f t="shared" si="3"/>
        <v>0</v>
      </c>
    </row>
    <row r="70" spans="2:7">
      <c r="B70" s="17" t="s">
        <v>83</v>
      </c>
      <c r="C70" s="18">
        <v>1</v>
      </c>
      <c r="D70" s="19">
        <v>150.80000000000001</v>
      </c>
      <c r="E70" s="19">
        <v>150.80000000000001</v>
      </c>
      <c r="F70" s="19">
        <f t="shared" si="2"/>
        <v>0</v>
      </c>
      <c r="G70" s="11">
        <f t="shared" si="3"/>
        <v>0</v>
      </c>
    </row>
    <row r="71" spans="2:7">
      <c r="B71" s="17" t="s">
        <v>84</v>
      </c>
      <c r="C71" s="18">
        <v>17</v>
      </c>
      <c r="D71" s="19">
        <v>11.612</v>
      </c>
      <c r="E71" s="19">
        <v>17.594999999999999</v>
      </c>
      <c r="F71" s="19">
        <f t="shared" si="2"/>
        <v>5.9829999999999988</v>
      </c>
      <c r="G71" s="11">
        <f t="shared" si="3"/>
        <v>0.51524285222183941</v>
      </c>
    </row>
    <row r="72" spans="2:7">
      <c r="B72" s="17" t="s">
        <v>85</v>
      </c>
      <c r="C72" s="18">
        <v>8</v>
      </c>
      <c r="D72" s="19">
        <v>1.2482</v>
      </c>
      <c r="E72" s="19">
        <v>0.82099999999999995</v>
      </c>
      <c r="F72" s="19">
        <f t="shared" si="2"/>
        <v>0</v>
      </c>
      <c r="G72" s="11">
        <f t="shared" si="3"/>
        <v>0</v>
      </c>
    </row>
    <row r="73" spans="2:7">
      <c r="B73" s="17" t="s">
        <v>86</v>
      </c>
      <c r="C73" s="18">
        <v>4</v>
      </c>
      <c r="D73" s="19">
        <v>0.86799999999999999</v>
      </c>
      <c r="E73" s="19">
        <v>0.86799999999999999</v>
      </c>
      <c r="F73" s="19">
        <f t="shared" si="2"/>
        <v>0</v>
      </c>
      <c r="G73" s="11">
        <f t="shared" si="3"/>
        <v>0</v>
      </c>
    </row>
    <row r="74" spans="2:7">
      <c r="B74" s="17" t="s">
        <v>87</v>
      </c>
      <c r="C74" s="18">
        <v>252</v>
      </c>
      <c r="D74" s="19">
        <v>71.436999999999969</v>
      </c>
      <c r="E74" s="19">
        <v>72.043999999999983</v>
      </c>
      <c r="F74" s="19">
        <f t="shared" si="2"/>
        <v>0.60700000000001353</v>
      </c>
      <c r="G74" s="11">
        <f t="shared" si="3"/>
        <v>8.4969973543123842E-3</v>
      </c>
    </row>
    <row r="75" spans="2:7">
      <c r="B75" s="17" t="s">
        <v>88</v>
      </c>
      <c r="C75" s="18">
        <v>10</v>
      </c>
      <c r="D75" s="19">
        <v>0.64600000000000002</v>
      </c>
      <c r="E75" s="19">
        <v>0.64600000000000002</v>
      </c>
      <c r="F75" s="19">
        <f t="shared" si="2"/>
        <v>0</v>
      </c>
      <c r="G75" s="11">
        <f t="shared" si="3"/>
        <v>0</v>
      </c>
    </row>
    <row r="76" spans="2:7">
      <c r="B76" s="17" t="s">
        <v>89</v>
      </c>
      <c r="C76" s="18">
        <v>10</v>
      </c>
      <c r="D76" s="19">
        <v>6.8000000000000005E-2</v>
      </c>
      <c r="E76" s="19">
        <v>0.09</v>
      </c>
      <c r="F76" s="19">
        <f t="shared" si="2"/>
        <v>2.1999999999999992E-2</v>
      </c>
      <c r="G76" s="11">
        <f t="shared" si="3"/>
        <v>0.32352941176470573</v>
      </c>
    </row>
    <row r="77" spans="2:7">
      <c r="B77" s="17" t="s">
        <v>90</v>
      </c>
      <c r="C77" s="18">
        <v>1</v>
      </c>
      <c r="D77" s="19">
        <v>166.8</v>
      </c>
      <c r="E77" s="19">
        <v>166.8</v>
      </c>
      <c r="F77" s="19">
        <f t="shared" si="2"/>
        <v>0</v>
      </c>
      <c r="G77" s="11">
        <f t="shared" si="3"/>
        <v>0</v>
      </c>
    </row>
    <row r="78" spans="2:7">
      <c r="B78" s="17" t="s">
        <v>91</v>
      </c>
      <c r="C78" s="18">
        <v>51</v>
      </c>
      <c r="D78" s="19">
        <v>33.513000000000005</v>
      </c>
      <c r="E78" s="19">
        <v>33.796000000000006</v>
      </c>
      <c r="F78" s="19">
        <f t="shared" si="2"/>
        <v>0.28300000000000125</v>
      </c>
      <c r="G78" s="11">
        <f t="shared" si="3"/>
        <v>8.4444842300003351E-3</v>
      </c>
    </row>
    <row r="79" spans="2:7">
      <c r="B79" s="17" t="s">
        <v>92</v>
      </c>
      <c r="C79" s="18">
        <v>18</v>
      </c>
      <c r="D79" s="19">
        <v>130.739</v>
      </c>
      <c r="E79" s="19">
        <v>130.739</v>
      </c>
      <c r="F79" s="19">
        <f t="shared" si="2"/>
        <v>0</v>
      </c>
      <c r="G79" s="11">
        <f t="shared" si="3"/>
        <v>0</v>
      </c>
    </row>
    <row r="80" spans="2:7">
      <c r="B80" s="17" t="s">
        <v>93</v>
      </c>
      <c r="C80" s="18">
        <v>13</v>
      </c>
      <c r="D80" s="19">
        <v>0.315</v>
      </c>
      <c r="E80" s="19">
        <v>1.0169999999999999</v>
      </c>
      <c r="F80" s="19">
        <f t="shared" si="2"/>
        <v>0.70199999999999996</v>
      </c>
      <c r="G80" s="11">
        <f t="shared" si="3"/>
        <v>2.2285714285714282</v>
      </c>
    </row>
    <row r="81" spans="2:7">
      <c r="B81" s="17" t="s">
        <v>94</v>
      </c>
      <c r="C81" s="18">
        <v>1</v>
      </c>
      <c r="D81" s="19">
        <v>0</v>
      </c>
      <c r="E81" s="19">
        <v>0</v>
      </c>
      <c r="F81" s="19">
        <f t="shared" si="2"/>
        <v>0</v>
      </c>
      <c r="G81" s="11">
        <f t="shared" si="3"/>
        <v>0</v>
      </c>
    </row>
    <row r="82" spans="2:7">
      <c r="B82" s="17" t="s">
        <v>95</v>
      </c>
      <c r="C82" s="18">
        <v>23</v>
      </c>
      <c r="D82" s="19">
        <v>59.8508</v>
      </c>
      <c r="E82" s="19">
        <v>57.063000000000002</v>
      </c>
      <c r="F82" s="19">
        <f t="shared" si="2"/>
        <v>0</v>
      </c>
      <c r="G82" s="11">
        <f t="shared" si="3"/>
        <v>0</v>
      </c>
    </row>
    <row r="83" spans="2:7">
      <c r="B83" s="17" t="s">
        <v>96</v>
      </c>
      <c r="C83" s="18">
        <v>11</v>
      </c>
      <c r="D83" s="19">
        <v>42.691000000000003</v>
      </c>
      <c r="E83" s="19">
        <v>42.691000000000003</v>
      </c>
      <c r="F83" s="19">
        <f t="shared" si="2"/>
        <v>0</v>
      </c>
      <c r="G83" s="11">
        <f t="shared" si="3"/>
        <v>0</v>
      </c>
    </row>
    <row r="84" spans="2:7">
      <c r="B84" s="17" t="s">
        <v>97</v>
      </c>
      <c r="C84" s="18">
        <v>4</v>
      </c>
      <c r="D84" s="19">
        <v>35.229999999999997</v>
      </c>
      <c r="E84" s="19">
        <v>35.229999999999997</v>
      </c>
      <c r="F84" s="19">
        <f t="shared" si="2"/>
        <v>0</v>
      </c>
      <c r="G84" s="11">
        <f t="shared" si="3"/>
        <v>0</v>
      </c>
    </row>
    <row r="85" spans="2:7">
      <c r="B85" s="17" t="s">
        <v>98</v>
      </c>
      <c r="C85" s="18">
        <v>7</v>
      </c>
      <c r="D85" s="19">
        <v>0.83099999999999996</v>
      </c>
      <c r="E85" s="19">
        <v>0.83099999999999996</v>
      </c>
      <c r="F85" s="19">
        <f t="shared" si="2"/>
        <v>0</v>
      </c>
      <c r="G85" s="11">
        <f t="shared" si="3"/>
        <v>0</v>
      </c>
    </row>
    <row r="86" spans="2:7">
      <c r="B86" s="17" t="s">
        <v>99</v>
      </c>
      <c r="C86" s="18">
        <v>73</v>
      </c>
      <c r="D86" s="19">
        <v>398.64639999999997</v>
      </c>
      <c r="E86" s="19">
        <v>411.55499999999995</v>
      </c>
      <c r="F86" s="19">
        <f t="shared" si="2"/>
        <v>12.908599999999979</v>
      </c>
      <c r="G86" s="11">
        <f t="shared" si="3"/>
        <v>3.2381077566484937E-2</v>
      </c>
    </row>
    <row r="87" spans="2:7">
      <c r="B87" s="17" t="s">
        <v>100</v>
      </c>
      <c r="C87" s="18">
        <v>173</v>
      </c>
      <c r="D87" s="19">
        <v>1349.5896399999999</v>
      </c>
      <c r="E87" s="19">
        <v>1427.8629999999998</v>
      </c>
      <c r="F87" s="19">
        <f t="shared" si="2"/>
        <v>78.273359999999911</v>
      </c>
      <c r="G87" s="11">
        <f t="shared" si="3"/>
        <v>5.7997896308688256E-2</v>
      </c>
    </row>
    <row r="88" spans="2:7">
      <c r="B88" s="17" t="s">
        <v>101</v>
      </c>
      <c r="C88" s="18">
        <v>4</v>
      </c>
      <c r="D88" s="19">
        <v>827.6</v>
      </c>
      <c r="E88" s="19">
        <v>869.6</v>
      </c>
      <c r="F88" s="19">
        <f t="shared" si="2"/>
        <v>42</v>
      </c>
      <c r="G88" s="11">
        <f t="shared" si="3"/>
        <v>5.0749154180763652E-2</v>
      </c>
    </row>
    <row r="89" spans="2:7">
      <c r="B89" s="17" t="s">
        <v>102</v>
      </c>
      <c r="C89" s="18">
        <v>21</v>
      </c>
      <c r="D89" s="19">
        <v>7.9429999999999996</v>
      </c>
      <c r="E89" s="19">
        <v>7.9429999999999996</v>
      </c>
      <c r="F89" s="19">
        <f t="shared" si="2"/>
        <v>0</v>
      </c>
      <c r="G89" s="11">
        <f t="shared" si="3"/>
        <v>0</v>
      </c>
    </row>
    <row r="90" spans="2:7">
      <c r="B90" s="17" t="s">
        <v>103</v>
      </c>
      <c r="C90" s="18">
        <v>14</v>
      </c>
      <c r="D90" s="19">
        <v>71.11</v>
      </c>
      <c r="E90" s="19">
        <v>400.71000000000004</v>
      </c>
      <c r="F90" s="19">
        <f t="shared" si="2"/>
        <v>329.6</v>
      </c>
      <c r="G90" s="11">
        <f t="shared" si="3"/>
        <v>4.6350724230066103</v>
      </c>
    </row>
    <row r="91" spans="2:7">
      <c r="B91" s="17" t="s">
        <v>104</v>
      </c>
      <c r="C91" s="18">
        <v>7</v>
      </c>
      <c r="D91" s="19">
        <v>1702.8</v>
      </c>
      <c r="E91" s="19">
        <v>1710.72</v>
      </c>
      <c r="F91" s="19">
        <f t="shared" si="2"/>
        <v>7.9200000000000728</v>
      </c>
      <c r="G91" s="11">
        <f t="shared" si="3"/>
        <v>4.6511627906977169E-3</v>
      </c>
    </row>
    <row r="92" spans="2:7">
      <c r="B92" s="17" t="s">
        <v>105</v>
      </c>
      <c r="C92" s="18">
        <v>55</v>
      </c>
      <c r="D92" s="19">
        <v>36.03799999999999</v>
      </c>
      <c r="E92" s="19">
        <v>60.460999999999991</v>
      </c>
      <c r="F92" s="19">
        <f t="shared" si="2"/>
        <v>24.423000000000002</v>
      </c>
      <c r="G92" s="11">
        <f t="shared" si="3"/>
        <v>0.67770131527831756</v>
      </c>
    </row>
    <row r="93" spans="2:7">
      <c r="B93" s="17" t="s">
        <v>106</v>
      </c>
      <c r="C93" s="18">
        <v>2</v>
      </c>
      <c r="D93" s="19">
        <v>80</v>
      </c>
      <c r="E93" s="19">
        <v>80</v>
      </c>
      <c r="F93" s="19">
        <f t="shared" si="2"/>
        <v>0</v>
      </c>
      <c r="G93" s="11">
        <f t="shared" si="3"/>
        <v>0</v>
      </c>
    </row>
    <row r="94" spans="2:7">
      <c r="B94" s="17" t="s">
        <v>107</v>
      </c>
      <c r="C94" s="18">
        <v>16</v>
      </c>
      <c r="D94" s="19">
        <v>5.6000000000000001E-2</v>
      </c>
      <c r="E94" s="19">
        <v>5.6000000000000001E-2</v>
      </c>
      <c r="F94" s="19">
        <f t="shared" si="2"/>
        <v>0</v>
      </c>
      <c r="G94" s="11">
        <f t="shared" si="3"/>
        <v>0</v>
      </c>
    </row>
    <row r="95" spans="2:7">
      <c r="B95" s="17" t="s">
        <v>108</v>
      </c>
      <c r="C95" s="18">
        <v>0</v>
      </c>
      <c r="D95" s="19">
        <v>0</v>
      </c>
      <c r="E95" s="19">
        <v>0</v>
      </c>
      <c r="F95" s="19">
        <f t="shared" si="2"/>
        <v>0</v>
      </c>
      <c r="G95" s="11">
        <f t="shared" si="3"/>
        <v>0</v>
      </c>
    </row>
    <row r="96" spans="2:7">
      <c r="B96" s="17" t="s">
        <v>109</v>
      </c>
      <c r="C96" s="18">
        <v>1</v>
      </c>
      <c r="D96" s="19">
        <v>0</v>
      </c>
      <c r="E96" s="19">
        <v>0</v>
      </c>
      <c r="F96" s="19">
        <f t="shared" si="2"/>
        <v>0</v>
      </c>
      <c r="G96" s="11">
        <f t="shared" si="3"/>
        <v>0</v>
      </c>
    </row>
    <row r="97" spans="2:7">
      <c r="B97" s="4"/>
      <c r="C97" s="5"/>
      <c r="D97" s="6"/>
      <c r="E97" s="6"/>
      <c r="F97" s="6"/>
      <c r="G97" s="3"/>
    </row>
    <row r="98" spans="2:7">
      <c r="B98" s="4"/>
      <c r="C98" s="5"/>
      <c r="D98" s="6"/>
      <c r="E98" s="6"/>
      <c r="F98" s="6"/>
      <c r="G9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99B4-2085-494C-9286-CDC1DD715578}">
  <sheetPr>
    <tabColor theme="6" tint="-0.249977111117893"/>
  </sheetPr>
  <dimension ref="B2:L60"/>
  <sheetViews>
    <sheetView showGridLines="0" workbookViewId="0">
      <selection activeCell="F60" sqref="F57:F60"/>
    </sheetView>
  </sheetViews>
  <sheetFormatPr defaultRowHeight="15"/>
  <cols>
    <col min="3" max="3" width="21.140625" bestFit="1" customWidth="1"/>
    <col min="4" max="4" width="14" bestFit="1" customWidth="1"/>
    <col min="5" max="5" width="16.7109375" bestFit="1" customWidth="1"/>
    <col min="6" max="6" width="10.85546875" bestFit="1" customWidth="1"/>
    <col min="7" max="7" width="13.42578125" bestFit="1" customWidth="1"/>
    <col min="8" max="8" width="24.42578125" customWidth="1"/>
    <col min="10" max="10" width="28.7109375" bestFit="1" customWidth="1"/>
  </cols>
  <sheetData>
    <row r="2" spans="2:12">
      <c r="B2" s="58" t="s">
        <v>0</v>
      </c>
      <c r="C2" s="31" t="s">
        <v>123</v>
      </c>
      <c r="D2" s="31" t="s">
        <v>6</v>
      </c>
      <c r="E2" s="31" t="s">
        <v>163</v>
      </c>
      <c r="F2" s="31" t="s">
        <v>164</v>
      </c>
      <c r="G2" s="31" t="s">
        <v>165</v>
      </c>
      <c r="H2" s="31" t="s">
        <v>166</v>
      </c>
      <c r="J2" s="31" t="s">
        <v>196</v>
      </c>
      <c r="K2" s="59" t="s">
        <v>115</v>
      </c>
      <c r="L2" s="15">
        <f>AVERAGE(H11:H30)</f>
        <v>1.4746674441501764E-2</v>
      </c>
    </row>
    <row r="3" spans="2:12">
      <c r="B3" t="s">
        <v>157</v>
      </c>
      <c r="C3" s="7">
        <f>IndexHistorical!G3</f>
        <v>847.81545454545449</v>
      </c>
      <c r="D3" s="3">
        <f>(IndexEPSGrowth!H33)/100</f>
        <v>2.3E-2</v>
      </c>
      <c r="E3" s="7">
        <f>D3*C3</f>
        <v>19.499755454545454</v>
      </c>
      <c r="F3" s="7">
        <f>E3*'2025-BBdata'!$J$3</f>
        <v>3.3221925912545505</v>
      </c>
      <c r="G3" s="7">
        <f>SUM(E3:F3)</f>
        <v>22.821948045800006</v>
      </c>
      <c r="H3" s="3">
        <f>G3/C3</f>
        <v>2.6918532710677828E-2</v>
      </c>
      <c r="J3" s="13"/>
      <c r="K3" s="14"/>
      <c r="L3" s="9"/>
    </row>
    <row r="4" spans="2:12">
      <c r="B4" t="s">
        <v>156</v>
      </c>
      <c r="C4" s="7">
        <v>1107.6841666666667</v>
      </c>
      <c r="D4" s="3">
        <f>(IndexEPSGrowth!H34)/100</f>
        <v>1.2199999999999999E-2</v>
      </c>
      <c r="E4" s="7">
        <f t="shared" ref="E4:E30" si="0">D4*C4</f>
        <v>13.513746833333332</v>
      </c>
      <c r="F4" s="7">
        <f>E4*'2025-BBdata'!$J$3</f>
        <v>2.30235039174937</v>
      </c>
      <c r="G4" s="7">
        <f t="shared" ref="G4:G30" si="1">SUM(E4:F4)</f>
        <v>15.816097225082702</v>
      </c>
      <c r="H4" s="3">
        <f t="shared" ref="H4:H30" si="2">G4/C4</f>
        <v>1.4278526046533452E-2</v>
      </c>
      <c r="J4" s="31" t="s">
        <v>196</v>
      </c>
      <c r="K4" s="59" t="s">
        <v>119</v>
      </c>
      <c r="L4" s="15">
        <f>AVERAGE(H16:H30)</f>
        <v>1.5089983264478525E-2</v>
      </c>
    </row>
    <row r="5" spans="2:12">
      <c r="B5" t="s">
        <v>155</v>
      </c>
      <c r="C5" s="7">
        <v>1380.7133333333331</v>
      </c>
      <c r="D5" s="3">
        <f>(IndexEPSGrowth!H35)/100</f>
        <v>1.24E-2</v>
      </c>
      <c r="E5" s="7">
        <f t="shared" si="0"/>
        <v>17.120845333333332</v>
      </c>
      <c r="F5" s="7">
        <f>E5*'2025-BBdata'!$J$3</f>
        <v>2.9168953249183658</v>
      </c>
      <c r="G5" s="7">
        <f t="shared" si="1"/>
        <v>20.037740658251696</v>
      </c>
      <c r="H5" s="3">
        <f t="shared" si="2"/>
        <v>1.4512600244017609E-2</v>
      </c>
      <c r="J5" s="13"/>
      <c r="K5" s="14"/>
      <c r="L5" s="9"/>
    </row>
    <row r="6" spans="2:12">
      <c r="B6" t="s">
        <v>154</v>
      </c>
      <c r="C6" s="7">
        <v>968.17583333333323</v>
      </c>
      <c r="D6" s="3">
        <f>(IndexEPSGrowth!H36)/100</f>
        <v>2.1000000000000001E-2</v>
      </c>
      <c r="E6" s="7">
        <f t="shared" si="0"/>
        <v>20.331692499999999</v>
      </c>
      <c r="F6" s="7">
        <f>E6*'2025-BBdata'!$J$3</f>
        <v>3.4639305271605636</v>
      </c>
      <c r="G6" s="7">
        <f t="shared" si="1"/>
        <v>23.795623027160563</v>
      </c>
      <c r="H6" s="3">
        <f t="shared" si="2"/>
        <v>2.4577790735836276E-2</v>
      </c>
      <c r="J6" s="31" t="s">
        <v>196</v>
      </c>
      <c r="K6" s="59" t="s">
        <v>125</v>
      </c>
      <c r="L6" s="15">
        <f>AVERAGE(H21:H30)</f>
        <v>1.4477489114394986E-2</v>
      </c>
    </row>
    <row r="7" spans="2:12">
      <c r="B7" t="s">
        <v>153</v>
      </c>
      <c r="C7" s="7">
        <v>928.63333333333333</v>
      </c>
      <c r="D7" s="3">
        <f>(IndexEPSGrowth!H37)/100</f>
        <v>2.87E-2</v>
      </c>
      <c r="E7" s="7">
        <f t="shared" si="0"/>
        <v>26.651776666666667</v>
      </c>
      <c r="F7" s="7">
        <f>E7*'2025-BBdata'!$J$3</f>
        <v>4.5406895072179694</v>
      </c>
      <c r="G7" s="7">
        <f t="shared" si="1"/>
        <v>31.192466173884636</v>
      </c>
      <c r="H7" s="3">
        <f t="shared" si="2"/>
        <v>3.3589647338976243E-2</v>
      </c>
      <c r="J7" s="13"/>
      <c r="K7" s="14"/>
      <c r="L7" s="9"/>
    </row>
    <row r="8" spans="2:12">
      <c r="B8" t="s">
        <v>152</v>
      </c>
      <c r="C8" s="7">
        <v>1172.2474999999997</v>
      </c>
      <c r="D8" s="3">
        <f>(IndexEPSGrowth!H38)/100</f>
        <v>2.53E-2</v>
      </c>
      <c r="E8" s="7">
        <f t="shared" si="0"/>
        <v>29.657861749999991</v>
      </c>
      <c r="F8" s="7">
        <f>E8*'2025-BBdata'!$J$3</f>
        <v>5.0528391911363304</v>
      </c>
      <c r="G8" s="7">
        <f t="shared" si="1"/>
        <v>34.710700941136324</v>
      </c>
      <c r="H8" s="3">
        <f t="shared" si="2"/>
        <v>2.9610385981745604E-2</v>
      </c>
      <c r="J8" s="31" t="s">
        <v>196</v>
      </c>
      <c r="K8" s="59" t="s">
        <v>118</v>
      </c>
      <c r="L8" s="15">
        <f>AVERAGE(H24:H30)</f>
        <v>1.4161488947791378E-2</v>
      </c>
    </row>
    <row r="9" spans="2:12">
      <c r="B9" t="s">
        <v>151</v>
      </c>
      <c r="C9" s="7">
        <v>1712.8558333333333</v>
      </c>
      <c r="D9" s="3">
        <f>(IndexEPSGrowth!H39)/100</f>
        <v>2.23E-2</v>
      </c>
      <c r="E9" s="7">
        <f t="shared" si="0"/>
        <v>38.196685083333335</v>
      </c>
      <c r="F9" s="7">
        <f>E9*'2025-BBdata'!$J$3</f>
        <v>6.5076069538478842</v>
      </c>
      <c r="G9" s="7">
        <f t="shared" si="1"/>
        <v>44.704292037181219</v>
      </c>
      <c r="H9" s="3">
        <f t="shared" si="2"/>
        <v>2.6099273019483282E-2</v>
      </c>
      <c r="J9" s="13"/>
      <c r="K9" s="14"/>
      <c r="L9" s="9"/>
    </row>
    <row r="10" spans="2:12">
      <c r="B10" t="s">
        <v>150</v>
      </c>
      <c r="C10" s="7">
        <v>2315.999166666667</v>
      </c>
      <c r="D10" s="3">
        <f>(IndexEPSGrowth!H40)/100</f>
        <v>1.6899999999999998E-2</v>
      </c>
      <c r="E10" s="7">
        <f t="shared" si="0"/>
        <v>39.140385916666666</v>
      </c>
      <c r="F10" s="7">
        <f>E10*'2025-BBdata'!$J$3</f>
        <v>6.6683861966526923</v>
      </c>
      <c r="G10" s="7">
        <f t="shared" si="1"/>
        <v>45.808772113319357</v>
      </c>
      <c r="H10" s="3">
        <f t="shared" si="2"/>
        <v>1.9779269687411092E-2</v>
      </c>
      <c r="J10" s="31" t="s">
        <v>196</v>
      </c>
      <c r="K10" s="59" t="s">
        <v>117</v>
      </c>
      <c r="L10" s="15">
        <f>AVERAGE(H26:H30)</f>
        <v>1.4301933466281872E-2</v>
      </c>
    </row>
    <row r="11" spans="2:12">
      <c r="B11" t="s">
        <v>149</v>
      </c>
      <c r="C11" s="7">
        <v>3468.9908333333333</v>
      </c>
      <c r="D11" s="3">
        <f>(IndexEPSGrowth!H41)/100</f>
        <v>1.37E-2</v>
      </c>
      <c r="E11" s="7">
        <f t="shared" si="0"/>
        <v>47.525174416666665</v>
      </c>
      <c r="F11" s="7">
        <f>E11*'2025-BBdata'!$J$3</f>
        <v>8.0969108927120494</v>
      </c>
      <c r="G11" s="7">
        <f t="shared" si="1"/>
        <v>55.622085309378718</v>
      </c>
      <c r="H11" s="3">
        <f t="shared" si="2"/>
        <v>1.6034082527664618E-2</v>
      </c>
    </row>
    <row r="12" spans="2:12">
      <c r="B12" t="s">
        <v>148</v>
      </c>
      <c r="C12" s="7">
        <v>4791.0983333333324</v>
      </c>
      <c r="D12" s="3">
        <f>(IndexEPSGrowth!H42)/100</f>
        <v>9.7000000000000003E-3</v>
      </c>
      <c r="E12" s="7">
        <f t="shared" si="0"/>
        <v>46.473653833333323</v>
      </c>
      <c r="F12" s="7">
        <f>E12*'2025-BBdata'!$J$3</f>
        <v>7.9177622926362794</v>
      </c>
      <c r="G12" s="7">
        <f t="shared" si="1"/>
        <v>54.391416125969599</v>
      </c>
      <c r="H12" s="3">
        <f t="shared" si="2"/>
        <v>1.1352598577981515E-2</v>
      </c>
      <c r="J12" s="31" t="s">
        <v>196</v>
      </c>
      <c r="K12" s="59" t="s">
        <v>162</v>
      </c>
      <c r="L12" s="15">
        <f>AVERAGE(H28:H30)</f>
        <v>1.4356550779028173E-2</v>
      </c>
    </row>
    <row r="13" spans="2:12">
      <c r="B13" t="s">
        <v>147</v>
      </c>
      <c r="C13" s="7">
        <v>4269.5324999999993</v>
      </c>
      <c r="D13" s="3">
        <f>(IndexEPSGrowth!H43)/100</f>
        <v>1.43E-2</v>
      </c>
      <c r="E13" s="7">
        <f t="shared" si="0"/>
        <v>61.054314749999989</v>
      </c>
      <c r="F13" s="7">
        <f>E13*'2025-BBdata'!$J$3</f>
        <v>10.401883890256281</v>
      </c>
      <c r="G13" s="7">
        <f t="shared" si="1"/>
        <v>71.456198640256275</v>
      </c>
      <c r="H13" s="3">
        <f t="shared" si="2"/>
        <v>1.6736305120117083E-2</v>
      </c>
    </row>
    <row r="14" spans="2:12">
      <c r="B14" t="s">
        <v>146</v>
      </c>
      <c r="C14" s="7">
        <v>4207.6491666666661</v>
      </c>
      <c r="D14" s="3">
        <f>(IndexEPSGrowth!H44)/100</f>
        <v>1.11E-2</v>
      </c>
      <c r="E14" s="7">
        <f t="shared" si="0"/>
        <v>46.704905749999995</v>
      </c>
      <c r="F14" s="7">
        <f>E14*'2025-BBdata'!$J$3</f>
        <v>7.9571609100217273</v>
      </c>
      <c r="G14" s="7">
        <f t="shared" si="1"/>
        <v>54.662066660021722</v>
      </c>
      <c r="H14" s="3">
        <f t="shared" si="2"/>
        <v>1.2991117960370602E-2</v>
      </c>
    </row>
    <row r="15" spans="2:12">
      <c r="B15" t="s">
        <v>145</v>
      </c>
      <c r="C15" s="7">
        <v>5608.4516666666668</v>
      </c>
      <c r="D15" s="3">
        <f>(IndexEPSGrowth!H45)/100</f>
        <v>9.7999999999999997E-3</v>
      </c>
      <c r="E15" s="7">
        <f t="shared" si="0"/>
        <v>54.962826333333332</v>
      </c>
      <c r="F15" s="7">
        <f>E15*'2025-BBdata'!$J$3</f>
        <v>9.3640709938465694</v>
      </c>
      <c r="G15" s="7">
        <f t="shared" si="1"/>
        <v>64.326897327179907</v>
      </c>
      <c r="H15" s="3">
        <f t="shared" si="2"/>
        <v>1.1469635676723594E-2</v>
      </c>
    </row>
    <row r="16" spans="2:12">
      <c r="B16" t="s">
        <v>144</v>
      </c>
      <c r="C16" s="7">
        <v>5354.1158333333324</v>
      </c>
      <c r="D16" s="3">
        <f>(IndexEPSGrowth!H46)/100</f>
        <v>1.3300000000000001E-2</v>
      </c>
      <c r="E16" s="7">
        <f t="shared" si="0"/>
        <v>71.209740583333328</v>
      </c>
      <c r="F16" s="7">
        <f>E16*'2025-BBdata'!$J$3</f>
        <v>12.132073817159727</v>
      </c>
      <c r="G16" s="7">
        <f t="shared" si="1"/>
        <v>83.34181440049305</v>
      </c>
      <c r="H16" s="3">
        <f t="shared" si="2"/>
        <v>1.5565934132696307E-2</v>
      </c>
    </row>
    <row r="17" spans="2:8">
      <c r="B17" t="s">
        <v>143</v>
      </c>
      <c r="C17" s="7">
        <v>5425.1116666666667</v>
      </c>
      <c r="D17" s="3">
        <f>(IndexEPSGrowth!H47)/100</f>
        <v>1.5800000000000002E-2</v>
      </c>
      <c r="E17" s="7">
        <f t="shared" si="0"/>
        <v>85.716764333333344</v>
      </c>
      <c r="F17" s="7">
        <f>E17*'2025-BBdata'!$J$3</f>
        <v>14.603649777983863</v>
      </c>
      <c r="G17" s="7">
        <f t="shared" si="1"/>
        <v>100.32041411131721</v>
      </c>
      <c r="H17" s="3">
        <f t="shared" si="2"/>
        <v>1.8491861601248244E-2</v>
      </c>
    </row>
    <row r="18" spans="2:8">
      <c r="B18" t="s">
        <v>142</v>
      </c>
      <c r="C18" s="7">
        <v>5906.4958333333343</v>
      </c>
      <c r="D18" s="3">
        <f>(IndexEPSGrowth!H48)/100</f>
        <v>1.49E-2</v>
      </c>
      <c r="E18" s="7">
        <f t="shared" si="0"/>
        <v>88.006787916666681</v>
      </c>
      <c r="F18" s="7">
        <f>E18*'2025-BBdata'!$J$3</f>
        <v>14.993803357093226</v>
      </c>
      <c r="G18" s="7">
        <f t="shared" si="1"/>
        <v>103.00059127375991</v>
      </c>
      <c r="H18" s="3">
        <f t="shared" si="2"/>
        <v>1.7438527712569547E-2</v>
      </c>
    </row>
    <row r="19" spans="2:8">
      <c r="B19" t="s">
        <v>141</v>
      </c>
      <c r="C19" s="7">
        <v>7503.9291666666677</v>
      </c>
      <c r="D19" s="3">
        <f>(IndexEPSGrowth!H49)/100</f>
        <v>1.2199999999999999E-2</v>
      </c>
      <c r="E19" s="7">
        <f t="shared" si="0"/>
        <v>91.547935833333341</v>
      </c>
      <c r="F19" s="7">
        <f>E19*'2025-BBdata'!$J$3</f>
        <v>15.597112224258744</v>
      </c>
      <c r="G19" s="7">
        <f t="shared" si="1"/>
        <v>107.14504805759208</v>
      </c>
      <c r="H19" s="3">
        <f t="shared" si="2"/>
        <v>1.4278526046533452E-2</v>
      </c>
    </row>
    <row r="20" spans="2:8">
      <c r="B20" t="s">
        <v>140</v>
      </c>
      <c r="C20" s="7">
        <v>8422.1224999999995</v>
      </c>
      <c r="D20" s="3">
        <f>(IndexEPSGrowth!H50)/100</f>
        <v>1.3500000000000002E-2</v>
      </c>
      <c r="E20" s="7">
        <f t="shared" si="0"/>
        <v>113.69865375000001</v>
      </c>
      <c r="F20" s="7">
        <f>E20*'2025-BBdata'!$J$3</f>
        <v>19.370951907800293</v>
      </c>
      <c r="G20" s="7">
        <f t="shared" si="1"/>
        <v>133.06960565780031</v>
      </c>
      <c r="H20" s="3">
        <f t="shared" si="2"/>
        <v>1.5800008330180464E-2</v>
      </c>
    </row>
    <row r="21" spans="2:8">
      <c r="B21" t="s">
        <v>139</v>
      </c>
      <c r="C21" s="7">
        <v>8314.9083333333328</v>
      </c>
      <c r="D21" s="3">
        <f>(IndexEPSGrowth!H51)/100</f>
        <v>1.3500000000000002E-2</v>
      </c>
      <c r="E21" s="7">
        <f t="shared" si="0"/>
        <v>112.25126250000001</v>
      </c>
      <c r="F21" s="7">
        <f>E21*'2025-BBdata'!$J$3</f>
        <v>19.124358431353606</v>
      </c>
      <c r="G21" s="7">
        <f t="shared" si="1"/>
        <v>131.37562093135361</v>
      </c>
      <c r="H21" s="3">
        <f t="shared" si="2"/>
        <v>1.5800008330180464E-2</v>
      </c>
    </row>
    <row r="22" spans="2:8">
      <c r="B22" t="s">
        <v>138</v>
      </c>
      <c r="C22" s="7">
        <v>10033.375</v>
      </c>
      <c r="D22" s="3">
        <f>(IndexEPSGrowth!H52)/100</f>
        <v>1.29E-2</v>
      </c>
      <c r="E22" s="7">
        <f t="shared" si="0"/>
        <v>129.43053750000001</v>
      </c>
      <c r="F22" s="7">
        <f>E22*'2025-BBdata'!$J$3</f>
        <v>22.051208476276638</v>
      </c>
      <c r="G22" s="7">
        <f t="shared" si="1"/>
        <v>151.48174597627664</v>
      </c>
      <c r="H22" s="3">
        <f t="shared" si="2"/>
        <v>1.5097785737727997E-2</v>
      </c>
    </row>
    <row r="23" spans="2:8">
      <c r="B23" t="s">
        <v>137</v>
      </c>
      <c r="C23" s="7">
        <v>11141.150000000001</v>
      </c>
      <c r="D23" s="3">
        <f>(IndexEPSGrowth!H53)/100</f>
        <v>1.26E-2</v>
      </c>
      <c r="E23" s="7">
        <f t="shared" si="0"/>
        <v>140.37849000000003</v>
      </c>
      <c r="F23" s="7">
        <f>E23*'2025-BBdata'!$J$3</f>
        <v>23.91642195393738</v>
      </c>
      <c r="G23" s="7">
        <f t="shared" si="1"/>
        <v>164.2949119539374</v>
      </c>
      <c r="H23" s="3">
        <f t="shared" si="2"/>
        <v>1.4746674441501764E-2</v>
      </c>
    </row>
    <row r="24" spans="2:8">
      <c r="B24" t="s">
        <v>136</v>
      </c>
      <c r="C24" s="7">
        <v>11665.345000000001</v>
      </c>
      <c r="D24" s="3">
        <f>(IndexEPSGrowth!H54)/100</f>
        <v>1.2699999999999999E-2</v>
      </c>
      <c r="E24" s="7">
        <f t="shared" si="0"/>
        <v>148.14988150000002</v>
      </c>
      <c r="F24" s="7">
        <f>E24*'2025-BBdata'!$J$3</f>
        <v>25.240441597425797</v>
      </c>
      <c r="G24" s="7">
        <f t="shared" si="1"/>
        <v>173.39032309742581</v>
      </c>
      <c r="H24" s="3">
        <f t="shared" si="2"/>
        <v>1.4863711540243841E-2</v>
      </c>
    </row>
    <row r="25" spans="2:8">
      <c r="B25" t="s">
        <v>135</v>
      </c>
      <c r="C25" s="7">
        <v>11250.669166666665</v>
      </c>
      <c r="D25" s="3">
        <f>(IndexEPSGrowth!H55)/100</f>
        <v>1.09E-2</v>
      </c>
      <c r="E25" s="7">
        <f t="shared" si="0"/>
        <v>122.63229391666664</v>
      </c>
      <c r="F25" s="7">
        <f>E25*'2025-BBdata'!$J$3</f>
        <v>20.892985004257184</v>
      </c>
      <c r="G25" s="7">
        <f t="shared" si="1"/>
        <v>143.52527892092382</v>
      </c>
      <c r="H25" s="3">
        <f t="shared" si="2"/>
        <v>1.2757043762886446E-2</v>
      </c>
    </row>
    <row r="26" spans="2:8">
      <c r="B26" t="s">
        <v>134</v>
      </c>
      <c r="C26" s="7">
        <v>16190.109166666667</v>
      </c>
      <c r="D26" s="3">
        <f>(IndexEPSGrowth!H56)/100</f>
        <v>1.0800000000000001E-2</v>
      </c>
      <c r="E26" s="7">
        <f t="shared" si="0"/>
        <v>174.85317900000001</v>
      </c>
      <c r="F26" s="7">
        <f>E26*'2025-BBdata'!$J$3</f>
        <v>29.789908759891507</v>
      </c>
      <c r="G26" s="7">
        <f t="shared" si="1"/>
        <v>204.64308775989153</v>
      </c>
      <c r="H26" s="3">
        <f t="shared" si="2"/>
        <v>1.264000666414437E-2</v>
      </c>
    </row>
    <row r="27" spans="2:8">
      <c r="B27" t="s">
        <v>133</v>
      </c>
      <c r="C27" s="7">
        <v>17675.189166666667</v>
      </c>
      <c r="D27" s="3">
        <f>(IndexEPSGrowth!H57)/100</f>
        <v>1.3500000000000002E-2</v>
      </c>
      <c r="E27" s="7">
        <f t="shared" si="0"/>
        <v>238.61505375000004</v>
      </c>
      <c r="F27" s="7">
        <f>E27*'2025-BBdata'!$J$3</f>
        <v>40.653082320848789</v>
      </c>
      <c r="G27" s="7">
        <f t="shared" si="1"/>
        <v>279.26813607084881</v>
      </c>
      <c r="H27" s="3">
        <f t="shared" si="2"/>
        <v>1.5800008330180464E-2</v>
      </c>
    </row>
    <row r="28" spans="2:8">
      <c r="B28" t="s">
        <v>132</v>
      </c>
      <c r="C28" s="7">
        <v>19381.792499999996</v>
      </c>
      <c r="D28" s="3">
        <f>(IndexEPSGrowth!H58)/100</f>
        <v>1.3000000000000001E-2</v>
      </c>
      <c r="E28" s="7">
        <f t="shared" si="0"/>
        <v>251.96330249999997</v>
      </c>
      <c r="F28" s="7">
        <f>E28*'2025-BBdata'!$J$3</f>
        <v>42.927236640724402</v>
      </c>
      <c r="G28" s="7">
        <f t="shared" si="1"/>
        <v>294.8905391407244</v>
      </c>
      <c r="H28" s="3">
        <f t="shared" si="2"/>
        <v>1.5214822836470077E-2</v>
      </c>
    </row>
    <row r="29" spans="2:8">
      <c r="B29" t="s">
        <v>131</v>
      </c>
      <c r="C29" s="7">
        <v>24857.639166666664</v>
      </c>
      <c r="D29" s="3">
        <f>(IndexEPSGrowth!H59)/100</f>
        <v>1.18E-2</v>
      </c>
      <c r="E29" s="7">
        <f t="shared" si="0"/>
        <v>293.32014216666664</v>
      </c>
      <c r="F29" s="7">
        <f>E29*'2025-BBdata'!$J$3</f>
        <v>49.973242251337069</v>
      </c>
      <c r="G29" s="7">
        <f t="shared" si="1"/>
        <v>343.29338441800371</v>
      </c>
      <c r="H29" s="3">
        <f t="shared" si="2"/>
        <v>1.3810377651565144E-2</v>
      </c>
    </row>
    <row r="30" spans="2:8">
      <c r="B30" t="s">
        <v>130</v>
      </c>
      <c r="C30" s="7">
        <v>25778.28</v>
      </c>
      <c r="D30" s="3">
        <f>(IndexEPSGrowth!H60)/100</f>
        <v>1.2E-2</v>
      </c>
      <c r="E30" s="7">
        <f t="shared" si="0"/>
        <v>309.33936</v>
      </c>
      <c r="F30" s="7">
        <f>E30*'2025-BBdata'!$J$3</f>
        <v>52.702452211310565</v>
      </c>
      <c r="G30" s="7">
        <f t="shared" si="1"/>
        <v>362.04181221131057</v>
      </c>
      <c r="H30" s="3">
        <f t="shared" si="2"/>
        <v>1.4044451849049299E-2</v>
      </c>
    </row>
    <row r="32" spans="2:8">
      <c r="F32" s="66" t="s">
        <v>197</v>
      </c>
    </row>
    <row r="33" spans="2:6">
      <c r="B33" t="s">
        <v>198</v>
      </c>
      <c r="F33" s="3">
        <f>F3/C3</f>
        <v>3.9185327106778228E-3</v>
      </c>
    </row>
    <row r="34" spans="2:6">
      <c r="F34" s="3">
        <f t="shared" ref="F34:F60" si="3">F4/C4</f>
        <v>2.0785260465334536E-3</v>
      </c>
    </row>
    <row r="35" spans="2:6">
      <c r="F35" s="3">
        <f t="shared" si="3"/>
        <v>2.1126002440176087E-3</v>
      </c>
    </row>
    <row r="36" spans="2:6">
      <c r="F36" s="3">
        <f t="shared" si="3"/>
        <v>3.5777907358362734E-3</v>
      </c>
    </row>
    <row r="37" spans="2:6">
      <c r="F37" s="3">
        <f t="shared" si="3"/>
        <v>4.8896473389762407E-3</v>
      </c>
    </row>
    <row r="38" spans="2:6">
      <c r="F38" s="3">
        <f t="shared" si="3"/>
        <v>4.3103859817456057E-3</v>
      </c>
    </row>
    <row r="39" spans="2:6">
      <c r="F39" s="3">
        <f t="shared" si="3"/>
        <v>3.7992730194832806E-3</v>
      </c>
    </row>
    <row r="40" spans="2:6">
      <c r="F40" s="3">
        <f t="shared" si="3"/>
        <v>2.8792696874110958E-3</v>
      </c>
    </row>
    <row r="41" spans="2:6">
      <c r="F41" s="3">
        <f t="shared" si="3"/>
        <v>2.3340825276646159E-3</v>
      </c>
    </row>
    <row r="42" spans="2:6">
      <c r="F42" s="3">
        <f t="shared" si="3"/>
        <v>1.6525985779815165E-3</v>
      </c>
    </row>
    <row r="43" spans="2:6">
      <c r="F43" s="3">
        <f t="shared" si="3"/>
        <v>2.4363051201170814E-3</v>
      </c>
    </row>
    <row r="44" spans="2:6">
      <c r="F44" s="3">
        <f t="shared" si="3"/>
        <v>1.8911179603706017E-3</v>
      </c>
    </row>
    <row r="45" spans="2:6">
      <c r="F45" s="3">
        <f t="shared" si="3"/>
        <v>1.6696356767235941E-3</v>
      </c>
    </row>
    <row r="46" spans="2:6">
      <c r="F46" s="3">
        <f t="shared" si="3"/>
        <v>2.2659341326963065E-3</v>
      </c>
    </row>
    <row r="47" spans="2:6">
      <c r="F47" s="3">
        <f t="shared" si="3"/>
        <v>2.6918616012482442E-3</v>
      </c>
    </row>
    <row r="48" spans="2:6">
      <c r="F48" s="3">
        <f t="shared" si="3"/>
        <v>2.5385277125695464E-3</v>
      </c>
    </row>
    <row r="49" spans="6:6">
      <c r="F49" s="3">
        <f t="shared" si="3"/>
        <v>2.078526046533454E-3</v>
      </c>
    </row>
    <row r="50" spans="6:6">
      <c r="F50" s="3">
        <f t="shared" si="3"/>
        <v>2.3000083301804616E-3</v>
      </c>
    </row>
    <row r="51" spans="6:6">
      <c r="F51" s="3">
        <f t="shared" si="3"/>
        <v>2.3000083301804621E-3</v>
      </c>
    </row>
    <row r="52" spans="6:6">
      <c r="F52" s="3">
        <f t="shared" si="3"/>
        <v>2.1977857377279966E-3</v>
      </c>
    </row>
    <row r="53" spans="6:6">
      <c r="F53" s="3">
        <f t="shared" si="3"/>
        <v>2.1466744415017639E-3</v>
      </c>
    </row>
    <row r="54" spans="6:6">
      <c r="F54" s="3">
        <f t="shared" si="3"/>
        <v>2.1637115402438414E-3</v>
      </c>
    </row>
    <row r="55" spans="6:6">
      <c r="F55" s="3">
        <f t="shared" si="3"/>
        <v>1.8570437628864466E-3</v>
      </c>
    </row>
    <row r="56" spans="6:6">
      <c r="F56" s="3">
        <f t="shared" si="3"/>
        <v>1.8400066641443692E-3</v>
      </c>
    </row>
    <row r="57" spans="6:6">
      <c r="F57" s="3">
        <f t="shared" si="3"/>
        <v>2.3000083301804616E-3</v>
      </c>
    </row>
    <row r="58" spans="6:6">
      <c r="F58" s="3">
        <f t="shared" si="3"/>
        <v>2.2148228364700742E-3</v>
      </c>
    </row>
    <row r="59" spans="6:6">
      <c r="F59" s="3">
        <f t="shared" si="3"/>
        <v>2.0103776515651441E-3</v>
      </c>
    </row>
    <row r="60" spans="6:6">
      <c r="F60" s="3">
        <f t="shared" si="3"/>
        <v>2.0444518490492993E-3</v>
      </c>
    </row>
  </sheetData>
  <pageMargins left="0.7" right="0.7" top="0.75" bottom="0.75" header="0.3" footer="0.3"/>
  <ignoredErrors>
    <ignoredError sqref="B1:B32 B34:B1048576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8926-E5B8-4E38-8253-F9FE1860FA2E}">
  <sheetPr>
    <tabColor rgb="FFFF0000"/>
  </sheetPr>
  <dimension ref="B2:P60"/>
  <sheetViews>
    <sheetView showGridLines="0" topLeftCell="A2" zoomScale="116" workbookViewId="0">
      <selection activeCell="E3" sqref="E3:E30"/>
    </sheetView>
  </sheetViews>
  <sheetFormatPr defaultRowHeight="15"/>
  <cols>
    <col min="2" max="2" width="9.140625" style="2"/>
    <col min="3" max="3" width="19.7109375" style="9" customWidth="1"/>
    <col min="4" max="4" width="11.5703125" style="9" customWidth="1"/>
    <col min="5" max="5" width="14.140625" style="9" customWidth="1"/>
    <col min="6" max="9" width="11.140625" style="9" customWidth="1"/>
    <col min="10" max="10" width="13.7109375" customWidth="1"/>
    <col min="11" max="11" width="18.7109375" bestFit="1" customWidth="1"/>
    <col min="12" max="12" width="8.140625" bestFit="1" customWidth="1"/>
    <col min="13" max="13" width="8.42578125" customWidth="1"/>
    <col min="14" max="14" width="12.5703125" bestFit="1" customWidth="1"/>
    <col min="17" max="20" width="9" bestFit="1" customWidth="1"/>
    <col min="22" max="22" width="14" bestFit="1" customWidth="1"/>
  </cols>
  <sheetData>
    <row r="2" spans="2:13" ht="30">
      <c r="B2" s="64" t="s">
        <v>0</v>
      </c>
      <c r="C2" s="65" t="s">
        <v>190</v>
      </c>
      <c r="D2" s="65" t="s">
        <v>4</v>
      </c>
      <c r="E2" s="65" t="s">
        <v>191</v>
      </c>
      <c r="F2" s="65" t="s">
        <v>158</v>
      </c>
      <c r="G2" s="65" t="s">
        <v>159</v>
      </c>
      <c r="H2" s="65" t="s">
        <v>160</v>
      </c>
      <c r="I2" s="65" t="s">
        <v>161</v>
      </c>
    </row>
    <row r="3" spans="2:13">
      <c r="B3" s="2" t="s">
        <v>157</v>
      </c>
      <c r="C3" s="21">
        <f>IndexHistorical!G3</f>
        <v>847.81545454545449</v>
      </c>
      <c r="D3" s="9">
        <f t="shared" ref="D3:D30" si="0">F33</f>
        <v>11.43</v>
      </c>
      <c r="E3" s="22">
        <f>C3/D3</f>
        <v>74.174580450170993</v>
      </c>
      <c r="K3" s="31" t="s">
        <v>182</v>
      </c>
      <c r="L3" s="59" t="s">
        <v>125</v>
      </c>
      <c r="M3" s="15">
        <f>AVERAGE(F6:F30)</f>
        <v>0.12365601674591493</v>
      </c>
    </row>
    <row r="4" spans="2:13">
      <c r="B4" s="2" t="s">
        <v>156</v>
      </c>
      <c r="C4" s="21">
        <f>IndexHistorical!G4</f>
        <v>1107.6841666666667</v>
      </c>
      <c r="D4" s="9">
        <f t="shared" si="0"/>
        <v>23.57</v>
      </c>
      <c r="E4" s="22">
        <f t="shared" ref="E4:E30" si="1">C4/D4</f>
        <v>46.995509828878518</v>
      </c>
      <c r="K4" s="13"/>
      <c r="L4" s="14"/>
      <c r="M4" s="9"/>
    </row>
    <row r="5" spans="2:13">
      <c r="B5" s="2" t="s">
        <v>155</v>
      </c>
      <c r="C5" s="21">
        <f>IndexHistorical!G5</f>
        <v>1380.7133333333331</v>
      </c>
      <c r="D5" s="9">
        <f t="shared" si="0"/>
        <v>24.2</v>
      </c>
      <c r="E5" s="22">
        <f t="shared" si="1"/>
        <v>57.054269972451785</v>
      </c>
      <c r="K5" s="31" t="s">
        <v>182</v>
      </c>
      <c r="L5" s="59" t="s">
        <v>118</v>
      </c>
      <c r="M5" s="15">
        <f>AVERAGE(G7:G30)</f>
        <v>0.122326523764235</v>
      </c>
    </row>
    <row r="6" spans="2:13">
      <c r="B6" s="2" t="s">
        <v>154</v>
      </c>
      <c r="C6" s="21">
        <f>IndexHistorical!G6</f>
        <v>968.17583333333323</v>
      </c>
      <c r="D6" s="9">
        <f t="shared" si="0"/>
        <v>15.1</v>
      </c>
      <c r="E6" s="22">
        <f t="shared" si="1"/>
        <v>64.117604856512131</v>
      </c>
      <c r="F6" s="11">
        <f>_xlfn.RRI(3,E3,E6)</f>
        <v>-4.7406974636394317E-2</v>
      </c>
      <c r="G6" s="11"/>
      <c r="H6" s="11"/>
      <c r="I6" s="11"/>
      <c r="J6" s="3"/>
      <c r="K6" s="13"/>
      <c r="L6" s="14"/>
      <c r="M6" s="9"/>
    </row>
    <row r="7" spans="2:13">
      <c r="B7" s="2" t="s">
        <v>153</v>
      </c>
      <c r="C7" s="21">
        <f>IndexHistorical!G7</f>
        <v>928.63333333333333</v>
      </c>
      <c r="D7" s="9">
        <f t="shared" si="0"/>
        <v>12.49</v>
      </c>
      <c r="E7" s="22">
        <f t="shared" si="1"/>
        <v>74.350146784093937</v>
      </c>
      <c r="F7" s="11">
        <f t="shared" ref="F7:F30" si="2">_xlfn.RRI(3,E4,E7)</f>
        <v>0.16522149706459688</v>
      </c>
      <c r="G7" s="11"/>
      <c r="H7" s="11"/>
      <c r="I7" s="11"/>
      <c r="J7" s="3"/>
      <c r="K7" s="31" t="s">
        <v>182</v>
      </c>
      <c r="L7" s="59" t="s">
        <v>117</v>
      </c>
      <c r="M7" s="15">
        <f>AVERAGE(H6:H30)</f>
        <v>0.11590326608660065</v>
      </c>
    </row>
    <row r="8" spans="2:13">
      <c r="B8" s="2" t="s">
        <v>152</v>
      </c>
      <c r="C8" s="21">
        <f>IndexHistorical!G8</f>
        <v>1172.2474999999997</v>
      </c>
      <c r="D8" s="9">
        <f t="shared" si="0"/>
        <v>14.19</v>
      </c>
      <c r="E8" s="22">
        <f>C8/D8</f>
        <v>82.610817477096532</v>
      </c>
      <c r="F8" s="11">
        <f t="shared" si="2"/>
        <v>0.13131337681298372</v>
      </c>
      <c r="G8" s="11">
        <f>_xlfn.RRI(5,E3,E8)</f>
        <v>2.177756859459179E-2</v>
      </c>
      <c r="H8" s="11"/>
      <c r="I8" s="11"/>
      <c r="J8" s="3"/>
      <c r="K8" s="13"/>
      <c r="L8" s="14"/>
      <c r="M8" s="9"/>
    </row>
    <row r="9" spans="2:13">
      <c r="B9" s="2" t="s">
        <v>151</v>
      </c>
      <c r="C9" s="21">
        <f>IndexHistorical!G9</f>
        <v>1712.8558333333333</v>
      </c>
      <c r="D9" s="9">
        <f t="shared" si="0"/>
        <v>14.04</v>
      </c>
      <c r="E9" s="22">
        <f t="shared" si="1"/>
        <v>121.9982787274454</v>
      </c>
      <c r="F9" s="11">
        <f t="shared" si="2"/>
        <v>0.23915453562495892</v>
      </c>
      <c r="G9" s="11">
        <f t="shared" ref="G9:G30" si="3">_xlfn.RRI(5,E4,E9)</f>
        <v>0.21020646205476146</v>
      </c>
      <c r="H9" s="11"/>
      <c r="I9" s="11"/>
      <c r="J9" s="3"/>
      <c r="K9" s="31" t="s">
        <v>182</v>
      </c>
      <c r="L9" s="59" t="s">
        <v>162</v>
      </c>
      <c r="M9" s="15">
        <f>AVERAGE(I6:I30)</f>
        <v>0.10884144003151525</v>
      </c>
    </row>
    <row r="10" spans="2:13">
      <c r="B10" s="2" t="s">
        <v>150</v>
      </c>
      <c r="C10" s="21">
        <f>IndexHistorical!G10</f>
        <v>2315.999166666667</v>
      </c>
      <c r="D10" s="9">
        <f t="shared" si="0"/>
        <v>15.3</v>
      </c>
      <c r="E10" s="22">
        <f t="shared" si="1"/>
        <v>151.37249455337692</v>
      </c>
      <c r="F10" s="11">
        <f t="shared" si="2"/>
        <v>0.2674233751362538</v>
      </c>
      <c r="G10" s="11">
        <f t="shared" si="3"/>
        <v>0.21549104348956427</v>
      </c>
      <c r="H10" s="11">
        <f>_xlfn.RRI(7,E3,E10)</f>
        <v>0.1072762411529713</v>
      </c>
      <c r="I10" s="11"/>
      <c r="J10" s="3"/>
      <c r="K10" s="16" t="s">
        <v>126</v>
      </c>
      <c r="M10" s="3"/>
    </row>
    <row r="11" spans="2:13">
      <c r="B11" s="2" t="s">
        <v>149</v>
      </c>
      <c r="C11" s="21">
        <f>IndexHistorical!G11</f>
        <v>3468.9908333333333</v>
      </c>
      <c r="D11" s="9">
        <f t="shared" si="0"/>
        <v>19.079999999999998</v>
      </c>
      <c r="E11" s="22">
        <f t="shared" si="1"/>
        <v>181.81293675751223</v>
      </c>
      <c r="F11" s="11">
        <f t="shared" si="2"/>
        <v>0.30075634801564033</v>
      </c>
      <c r="G11" s="11">
        <f t="shared" si="3"/>
        <v>0.23176964738674988</v>
      </c>
      <c r="H11" s="11">
        <f t="shared" ref="H11:H30" si="4">_xlfn.RRI(7,E4,E11)</f>
        <v>0.21321660346229043</v>
      </c>
      <c r="I11" s="11"/>
      <c r="J11" s="3"/>
      <c r="M11" s="3"/>
    </row>
    <row r="12" spans="2:13">
      <c r="B12" s="2" t="s">
        <v>148</v>
      </c>
      <c r="C12" s="21">
        <f>IndexHistorical!G12</f>
        <v>4791.0983333333324</v>
      </c>
      <c r="D12" s="9">
        <f t="shared" si="0"/>
        <v>22.43</v>
      </c>
      <c r="E12" s="22">
        <f t="shared" si="1"/>
        <v>213.60224401842765</v>
      </c>
      <c r="F12" s="11">
        <f t="shared" si="2"/>
        <v>0.20526913710420769</v>
      </c>
      <c r="G12" s="11">
        <f t="shared" si="3"/>
        <v>0.23499385346967827</v>
      </c>
      <c r="H12" s="11">
        <f t="shared" si="4"/>
        <v>0.20754277166206703</v>
      </c>
      <c r="I12" s="11"/>
      <c r="J12" s="3"/>
      <c r="K12" s="3"/>
      <c r="L12" s="3"/>
      <c r="M12" s="3"/>
    </row>
    <row r="13" spans="2:13">
      <c r="B13" s="2" t="s">
        <v>147</v>
      </c>
      <c r="C13" s="21">
        <f>IndexHistorical!G13</f>
        <v>4269.5324999999993</v>
      </c>
      <c r="D13" s="9">
        <f t="shared" si="0"/>
        <v>16.72</v>
      </c>
      <c r="E13" s="22">
        <f t="shared" si="1"/>
        <v>255.35481459330143</v>
      </c>
      <c r="F13" s="11">
        <f t="shared" si="2"/>
        <v>0.19041674588169077</v>
      </c>
      <c r="G13" s="11">
        <f t="shared" si="3"/>
        <v>0.25320300095907688</v>
      </c>
      <c r="H13" s="11">
        <f t="shared" si="4"/>
        <v>0.21825473650234284</v>
      </c>
      <c r="I13" s="11">
        <f>_xlfn.RRI(10,E3,E13)</f>
        <v>0.13158946410587058</v>
      </c>
      <c r="J13" s="3"/>
      <c r="K13" s="3"/>
      <c r="L13" s="3"/>
      <c r="M13" s="3"/>
    </row>
    <row r="14" spans="2:13">
      <c r="B14" s="2" t="s">
        <v>146</v>
      </c>
      <c r="C14" s="21">
        <f>IndexHistorical!G14</f>
        <v>4207.6491666666661</v>
      </c>
      <c r="D14" s="9">
        <f t="shared" si="0"/>
        <v>21.27</v>
      </c>
      <c r="E14" s="22">
        <f t="shared" si="1"/>
        <v>197.82083529227393</v>
      </c>
      <c r="F14" s="11">
        <f t="shared" si="2"/>
        <v>2.85271253182382E-2</v>
      </c>
      <c r="G14" s="11">
        <f t="shared" si="3"/>
        <v>0.1014978799770776</v>
      </c>
      <c r="H14" s="11">
        <f t="shared" si="4"/>
        <v>0.15003984080179844</v>
      </c>
      <c r="I14" s="11">
        <f t="shared" ref="I14:I30" si="5">_xlfn.RRI(10,E4,E14)</f>
        <v>0.15457345036505976</v>
      </c>
      <c r="J14" s="3"/>
      <c r="K14" s="3"/>
      <c r="L14" s="3"/>
      <c r="M14" s="3"/>
    </row>
    <row r="15" spans="2:13">
      <c r="B15" s="2" t="s">
        <v>145</v>
      </c>
      <c r="C15" s="21">
        <f>IndexHistorical!G15</f>
        <v>5608.4516666666668</v>
      </c>
      <c r="D15" s="9">
        <f t="shared" si="0"/>
        <v>21.91</v>
      </c>
      <c r="E15" s="22">
        <f t="shared" si="1"/>
        <v>255.97679902631981</v>
      </c>
      <c r="F15" s="11">
        <f t="shared" si="2"/>
        <v>6.2180353665163945E-2</v>
      </c>
      <c r="G15" s="11">
        <f t="shared" si="3"/>
        <v>0.11078684350454049</v>
      </c>
      <c r="H15" s="11">
        <f t="shared" si="4"/>
        <v>0.17534737197990657</v>
      </c>
      <c r="I15" s="11">
        <f t="shared" si="5"/>
        <v>0.16196017982795485</v>
      </c>
      <c r="J15" s="3"/>
      <c r="K15" s="3"/>
      <c r="L15" s="3"/>
      <c r="M15" s="3"/>
    </row>
    <row r="16" spans="2:13">
      <c r="B16" s="2" t="s">
        <v>144</v>
      </c>
      <c r="C16" s="21">
        <f>IndexHistorical!G16</f>
        <v>5354.1158333333324</v>
      </c>
      <c r="D16" s="9">
        <f t="shared" si="0"/>
        <v>18.68</v>
      </c>
      <c r="E16" s="22">
        <f t="shared" si="1"/>
        <v>286.622903283369</v>
      </c>
      <c r="F16" s="11">
        <f t="shared" si="2"/>
        <v>3.9255376647827855E-2</v>
      </c>
      <c r="G16" s="11">
        <f t="shared" si="3"/>
        <v>9.53104263699176E-2</v>
      </c>
      <c r="H16" s="11">
        <f t="shared" si="4"/>
        <v>0.12978000412997726</v>
      </c>
      <c r="I16" s="11">
        <f t="shared" si="5"/>
        <v>0.16153783307678093</v>
      </c>
      <c r="J16" s="3"/>
      <c r="K16" s="3"/>
      <c r="L16" s="3"/>
      <c r="M16" s="3"/>
    </row>
    <row r="17" spans="2:16">
      <c r="B17" s="2" t="s">
        <v>143</v>
      </c>
      <c r="C17" s="21">
        <f>IndexHistorical!G17</f>
        <v>5425.1116666666667</v>
      </c>
      <c r="D17" s="9">
        <f t="shared" si="0"/>
        <v>17.940000000000001</v>
      </c>
      <c r="E17" s="22">
        <f t="shared" si="1"/>
        <v>302.40310293571162</v>
      </c>
      <c r="F17" s="11">
        <f t="shared" si="2"/>
        <v>0.15196178098849478</v>
      </c>
      <c r="G17" s="11">
        <f t="shared" si="3"/>
        <v>7.2003211567882142E-2</v>
      </c>
      <c r="H17" s="11">
        <f t="shared" si="4"/>
        <v>0.10391130817449667</v>
      </c>
      <c r="I17" s="11">
        <f t="shared" si="5"/>
        <v>0.15061608592357567</v>
      </c>
      <c r="J17" s="3"/>
      <c r="K17" s="3"/>
      <c r="L17" s="3"/>
      <c r="M17" s="3"/>
    </row>
    <row r="18" spans="2:16">
      <c r="B18" s="2" t="s">
        <v>142</v>
      </c>
      <c r="C18" s="21">
        <f>IndexHistorical!G18</f>
        <v>5906.4958333333343</v>
      </c>
      <c r="D18" s="9">
        <f t="shared" si="0"/>
        <v>16.47</v>
      </c>
      <c r="E18" s="22">
        <f t="shared" si="1"/>
        <v>358.62148350536336</v>
      </c>
      <c r="F18" s="11">
        <f t="shared" si="2"/>
        <v>0.11895314069381846</v>
      </c>
      <c r="G18" s="11">
        <f t="shared" si="3"/>
        <v>7.0282564082856824E-2</v>
      </c>
      <c r="H18" s="11">
        <f t="shared" si="4"/>
        <v>0.10190588615870766</v>
      </c>
      <c r="I18" s="11">
        <f t="shared" si="5"/>
        <v>0.15813700449593249</v>
      </c>
      <c r="J18" s="3"/>
      <c r="K18" s="3"/>
      <c r="L18" s="3"/>
      <c r="M18" s="3"/>
    </row>
    <row r="19" spans="2:16">
      <c r="B19" s="2" t="s">
        <v>141</v>
      </c>
      <c r="C19" s="21">
        <f>IndexHistorical!G19</f>
        <v>7503.9291666666677</v>
      </c>
      <c r="D19" s="9">
        <f t="shared" si="0"/>
        <v>18.809999999999999</v>
      </c>
      <c r="E19" s="22">
        <f t="shared" si="1"/>
        <v>398.93297005139118</v>
      </c>
      <c r="F19" s="11">
        <f t="shared" si="2"/>
        <v>0.11651101807234143</v>
      </c>
      <c r="G19" s="11">
        <f t="shared" si="3"/>
        <v>0.15060320601190136</v>
      </c>
      <c r="H19" s="11">
        <f t="shared" si="4"/>
        <v>9.3342682792732168E-2</v>
      </c>
      <c r="I19" s="11">
        <f t="shared" si="5"/>
        <v>0.12578283523819001</v>
      </c>
      <c r="J19" s="3"/>
      <c r="K19" s="3"/>
      <c r="L19" s="3"/>
      <c r="M19" s="3"/>
    </row>
    <row r="20" spans="2:16">
      <c r="B20" s="2" t="s">
        <v>140</v>
      </c>
      <c r="C20" s="21">
        <f>IndexHistorical!G20</f>
        <v>8422.1224999999995</v>
      </c>
      <c r="D20" s="9">
        <f t="shared" si="0"/>
        <v>20.63</v>
      </c>
      <c r="E20" s="22">
        <f t="shared" si="1"/>
        <v>408.24636451769265</v>
      </c>
      <c r="F20" s="11">
        <f t="shared" si="2"/>
        <v>0.10521141282814428</v>
      </c>
      <c r="G20" s="11">
        <f t="shared" si="3"/>
        <v>9.7853382818422707E-2</v>
      </c>
      <c r="H20" s="11">
        <f t="shared" si="4"/>
        <v>6.932859919491241E-2</v>
      </c>
      <c r="I20" s="11">
        <f t="shared" si="5"/>
        <v>0.1043011789053101</v>
      </c>
      <c r="J20" s="3"/>
      <c r="K20" s="3"/>
      <c r="L20" s="3"/>
      <c r="M20" s="3"/>
    </row>
    <row r="21" spans="2:16">
      <c r="B21" s="2" t="s">
        <v>139</v>
      </c>
      <c r="C21" s="21">
        <f>IndexHistorical!G21</f>
        <v>8314.9083333333328</v>
      </c>
      <c r="D21" s="9">
        <f t="shared" si="0"/>
        <v>22.63</v>
      </c>
      <c r="E21" s="22">
        <f t="shared" si="1"/>
        <v>367.42856090735012</v>
      </c>
      <c r="F21" s="11">
        <f t="shared" si="2"/>
        <v>8.1199356007370938E-3</v>
      </c>
      <c r="G21" s="11">
        <f t="shared" si="3"/>
        <v>5.0926647433271244E-2</v>
      </c>
      <c r="H21" s="11">
        <f t="shared" si="4"/>
        <v>9.2482305227471251E-2</v>
      </c>
      <c r="I21" s="11">
        <f t="shared" si="5"/>
        <v>7.288905031398496E-2</v>
      </c>
      <c r="J21" s="3"/>
      <c r="K21" s="3"/>
      <c r="L21" s="3"/>
      <c r="M21" s="3"/>
    </row>
    <row r="22" spans="2:16">
      <c r="B22" s="2" t="s">
        <v>138</v>
      </c>
      <c r="C22" s="21">
        <f>IndexHistorical!G22</f>
        <v>10033.375</v>
      </c>
      <c r="D22" s="9">
        <f t="shared" si="0"/>
        <v>24.01</v>
      </c>
      <c r="E22" s="22">
        <f t="shared" si="1"/>
        <v>417.88317367763432</v>
      </c>
      <c r="F22" s="11">
        <f t="shared" si="2"/>
        <v>1.5589770991739416E-2</v>
      </c>
      <c r="G22" s="11">
        <f t="shared" si="3"/>
        <v>6.6826335934232484E-2</v>
      </c>
      <c r="H22" s="11">
        <f t="shared" si="4"/>
        <v>7.2525815438035712E-2</v>
      </c>
      <c r="I22" s="11">
        <f t="shared" si="5"/>
        <v>6.9411641187196782E-2</v>
      </c>
      <c r="J22" s="3"/>
      <c r="K22" s="3"/>
      <c r="L22" s="3"/>
      <c r="M22" s="3"/>
    </row>
    <row r="23" spans="2:16">
      <c r="B23" s="2" t="s">
        <v>137</v>
      </c>
      <c r="C23" s="21">
        <f>IndexHistorical!G23</f>
        <v>11141.150000000001</v>
      </c>
      <c r="D23" s="9">
        <f t="shared" si="0"/>
        <v>22.94</v>
      </c>
      <c r="E23" s="22">
        <f t="shared" si="1"/>
        <v>485.66477768090675</v>
      </c>
      <c r="F23" s="11">
        <f t="shared" si="2"/>
        <v>5.9590592923891794E-2</v>
      </c>
      <c r="G23" s="11">
        <f t="shared" si="3"/>
        <v>6.2527211017305184E-2</v>
      </c>
      <c r="H23" s="11">
        <f t="shared" si="4"/>
        <v>7.8246257904270644E-2</v>
      </c>
      <c r="I23" s="11">
        <f t="shared" si="5"/>
        <v>6.6397837495654422E-2</v>
      </c>
      <c r="J23" s="3"/>
      <c r="K23" s="3"/>
      <c r="L23" s="3"/>
      <c r="M23" s="3"/>
    </row>
    <row r="24" spans="2:16">
      <c r="B24" s="2" t="s">
        <v>136</v>
      </c>
      <c r="C24" s="21">
        <f>IndexHistorical!G24</f>
        <v>11665.345000000001</v>
      </c>
      <c r="D24" s="9">
        <f t="shared" si="0"/>
        <v>24.41</v>
      </c>
      <c r="E24" s="22">
        <f t="shared" si="1"/>
        <v>477.89205243752565</v>
      </c>
      <c r="F24" s="11">
        <f t="shared" si="2"/>
        <v>9.157177815420936E-2</v>
      </c>
      <c r="G24" s="11">
        <f t="shared" si="3"/>
        <v>3.6778483361316949E-2</v>
      </c>
      <c r="H24" s="11">
        <f t="shared" si="4"/>
        <v>6.7559126976100004E-2</v>
      </c>
      <c r="I24" s="11">
        <f t="shared" si="5"/>
        <v>9.2209067385767396E-2</v>
      </c>
      <c r="J24" s="3"/>
      <c r="K24" s="3"/>
      <c r="L24" s="3"/>
      <c r="M24" s="3"/>
    </row>
    <row r="25" spans="2:16">
      <c r="B25" s="2" t="s">
        <v>135</v>
      </c>
      <c r="C25" s="21">
        <f>IndexHistorical!G25</f>
        <v>11250.669166666665</v>
      </c>
      <c r="D25" s="9">
        <f t="shared" si="0"/>
        <v>28.26</v>
      </c>
      <c r="E25" s="22">
        <f t="shared" si="1"/>
        <v>398.11285090823299</v>
      </c>
      <c r="F25" s="11">
        <f t="shared" si="2"/>
        <v>-1.6025665262708322E-2</v>
      </c>
      <c r="G25" s="11">
        <f t="shared" si="3"/>
        <v>-5.0144488005569032E-3</v>
      </c>
      <c r="H25" s="11">
        <f t="shared" si="4"/>
        <v>1.5035924947072621E-2</v>
      </c>
      <c r="I25" s="11">
        <f t="shared" si="5"/>
        <v>4.5154655177769065E-2</v>
      </c>
      <c r="J25" s="3"/>
      <c r="K25" s="3"/>
      <c r="L25" s="3"/>
      <c r="M25" s="3"/>
    </row>
    <row r="26" spans="2:16">
      <c r="B26" s="2" t="s">
        <v>134</v>
      </c>
      <c r="C26" s="21">
        <f>IndexHistorical!G26</f>
        <v>16190.109166666667</v>
      </c>
      <c r="D26" s="9">
        <f t="shared" si="0"/>
        <v>28.22</v>
      </c>
      <c r="E26" s="22">
        <f t="shared" si="1"/>
        <v>573.71045948499886</v>
      </c>
      <c r="F26" s="11">
        <f t="shared" si="2"/>
        <v>5.7106443270474205E-2</v>
      </c>
      <c r="G26" s="11">
        <f t="shared" si="3"/>
        <v>9.3210945182663263E-2</v>
      </c>
      <c r="H26" s="11">
        <f t="shared" si="4"/>
        <v>5.3275140175662594E-2</v>
      </c>
      <c r="I26" s="11">
        <f t="shared" si="5"/>
        <v>7.1860305057601215E-2</v>
      </c>
      <c r="J26" s="3"/>
      <c r="K26" s="3"/>
      <c r="L26" s="3"/>
      <c r="M26" s="3"/>
    </row>
    <row r="27" spans="2:16">
      <c r="B27" s="2" t="s">
        <v>133</v>
      </c>
      <c r="C27" s="21">
        <f>IndexHistorical!G27</f>
        <v>17675.189166666667</v>
      </c>
      <c r="D27" s="9">
        <f t="shared" si="0"/>
        <v>22.81</v>
      </c>
      <c r="E27" s="22">
        <f t="shared" si="1"/>
        <v>774.88773198889385</v>
      </c>
      <c r="F27" s="11">
        <f t="shared" si="2"/>
        <v>0.17481547637519101</v>
      </c>
      <c r="G27" s="11">
        <f t="shared" si="3"/>
        <v>0.13145368227176735</v>
      </c>
      <c r="H27" s="11">
        <f t="shared" si="4"/>
        <v>9.5871150926194693E-2</v>
      </c>
      <c r="I27" s="11">
        <f t="shared" si="5"/>
        <v>9.8664910760912994E-2</v>
      </c>
      <c r="J27" s="3"/>
      <c r="K27" s="3"/>
      <c r="L27" s="3"/>
      <c r="M27" s="3"/>
    </row>
    <row r="28" spans="2:16">
      <c r="B28" s="2" t="s">
        <v>132</v>
      </c>
      <c r="C28" s="21">
        <f>IndexHistorical!G28</f>
        <v>19381.792499999996</v>
      </c>
      <c r="D28" s="9">
        <f t="shared" si="0"/>
        <v>23.97</v>
      </c>
      <c r="E28" s="22">
        <f t="shared" si="1"/>
        <v>808.58541927409249</v>
      </c>
      <c r="F28" s="11">
        <f t="shared" si="2"/>
        <v>0.26640680739896738</v>
      </c>
      <c r="G28" s="11">
        <f t="shared" si="3"/>
        <v>0.10733202320740975</v>
      </c>
      <c r="H28" s="11">
        <f t="shared" si="4"/>
        <v>0.11927329508735629</v>
      </c>
      <c r="I28" s="11">
        <f t="shared" si="5"/>
        <v>8.4698301966366518E-2</v>
      </c>
      <c r="J28" s="3"/>
      <c r="K28" s="3"/>
      <c r="L28" s="3"/>
      <c r="M28" s="3"/>
    </row>
    <row r="29" spans="2:16">
      <c r="B29" s="2" t="s">
        <v>131</v>
      </c>
      <c r="C29" s="21">
        <f>IndexHistorical!G29</f>
        <v>24857.639166666664</v>
      </c>
      <c r="D29" s="9">
        <f t="shared" si="0"/>
        <v>23.45</v>
      </c>
      <c r="E29" s="22">
        <f t="shared" si="1"/>
        <v>1060.0272565742714</v>
      </c>
      <c r="F29" s="11">
        <f t="shared" si="2"/>
        <v>0.22708530411510086</v>
      </c>
      <c r="G29" s="11">
        <f t="shared" si="3"/>
        <v>0.17272840614799057</v>
      </c>
      <c r="H29" s="11">
        <f t="shared" si="4"/>
        <v>0.14222519478407625</v>
      </c>
      <c r="I29" s="11">
        <f t="shared" si="5"/>
        <v>0.10266022795820828</v>
      </c>
      <c r="J29" s="3"/>
    </row>
    <row r="30" spans="2:16">
      <c r="B30" s="2" t="s">
        <v>130</v>
      </c>
      <c r="C30" s="21">
        <f>IndexHistorical!G30</f>
        <v>25778.28</v>
      </c>
      <c r="D30" s="9">
        <f t="shared" si="0"/>
        <v>22.91</v>
      </c>
      <c r="E30" s="22">
        <f t="shared" si="1"/>
        <v>1125.1977302487996</v>
      </c>
      <c r="F30" s="11">
        <f t="shared" si="2"/>
        <v>0.13239172586230419</v>
      </c>
      <c r="G30" s="11">
        <f t="shared" si="3"/>
        <v>0.23096167053498418</v>
      </c>
      <c r="H30" s="11">
        <f t="shared" si="4"/>
        <v>0.12752833034017086</v>
      </c>
      <c r="I30" s="11">
        <f t="shared" si="5"/>
        <v>0.1067018913251383</v>
      </c>
      <c r="J30" s="3"/>
    </row>
    <row r="32" spans="2:16" ht="30">
      <c r="B32" s="58" t="s">
        <v>0</v>
      </c>
      <c r="C32" s="31" t="s">
        <v>1</v>
      </c>
      <c r="D32" s="31" t="s">
        <v>2</v>
      </c>
      <c r="E32" s="31" t="s">
        <v>3</v>
      </c>
      <c r="F32" s="31" t="s">
        <v>4</v>
      </c>
      <c r="G32" s="31" t="s">
        <v>5</v>
      </c>
      <c r="H32" s="65" t="s">
        <v>6</v>
      </c>
      <c r="J32" s="53"/>
      <c r="K32" s="54"/>
      <c r="L32" s="54"/>
      <c r="M32" s="54"/>
      <c r="N32" s="54"/>
      <c r="O32" s="54"/>
      <c r="P32" s="54"/>
    </row>
    <row r="33" spans="2:16">
      <c r="B33" s="8" t="s">
        <v>157</v>
      </c>
      <c r="C33">
        <v>1107.06</v>
      </c>
      <c r="D33">
        <v>711.47</v>
      </c>
      <c r="E33">
        <v>957.79</v>
      </c>
      <c r="F33">
        <v>11.43</v>
      </c>
      <c r="G33">
        <v>1.47</v>
      </c>
      <c r="H33">
        <v>2.2999999999999998</v>
      </c>
      <c r="J33" s="53"/>
      <c r="K33" s="54"/>
      <c r="L33" s="54"/>
      <c r="M33" s="54"/>
      <c r="N33" s="54"/>
      <c r="O33" s="54"/>
      <c r="P33" s="54"/>
    </row>
    <row r="34" spans="2:16">
      <c r="B34" s="8" t="s">
        <v>156</v>
      </c>
      <c r="C34">
        <v>2265.7199999999998</v>
      </c>
      <c r="D34">
        <v>800.23</v>
      </c>
      <c r="E34">
        <v>1683.28</v>
      </c>
      <c r="F34">
        <v>23.57</v>
      </c>
      <c r="G34">
        <v>2.81</v>
      </c>
      <c r="H34">
        <v>1.22</v>
      </c>
      <c r="J34" s="53"/>
      <c r="K34" s="54"/>
      <c r="L34" s="54"/>
      <c r="M34" s="54"/>
      <c r="N34" s="54"/>
      <c r="O34" s="54"/>
      <c r="P34" s="54"/>
    </row>
    <row r="35" spans="2:16">
      <c r="B35" s="8" t="s">
        <v>155</v>
      </c>
      <c r="C35">
        <v>1771.98</v>
      </c>
      <c r="D35">
        <v>947.66</v>
      </c>
      <c r="E35">
        <v>981.19</v>
      </c>
      <c r="F35">
        <v>24.2</v>
      </c>
      <c r="G35">
        <v>2.59</v>
      </c>
      <c r="H35">
        <v>1.24</v>
      </c>
      <c r="J35" s="53"/>
      <c r="K35" s="54"/>
      <c r="L35" s="54"/>
      <c r="M35" s="54"/>
      <c r="N35" s="54"/>
      <c r="O35" s="54"/>
      <c r="P35" s="54"/>
    </row>
    <row r="36" spans="2:16">
      <c r="B36" s="8" t="s">
        <v>154</v>
      </c>
      <c r="C36">
        <v>1061.97</v>
      </c>
      <c r="D36">
        <v>701.76</v>
      </c>
      <c r="E36">
        <v>995.44</v>
      </c>
      <c r="F36">
        <v>15.1</v>
      </c>
      <c r="G36">
        <v>1.72</v>
      </c>
      <c r="H36">
        <v>2.1</v>
      </c>
      <c r="J36" s="53"/>
      <c r="K36" s="54"/>
      <c r="L36" s="54"/>
      <c r="M36" s="54"/>
      <c r="N36" s="54"/>
      <c r="O36" s="54"/>
      <c r="P36" s="54"/>
    </row>
    <row r="37" spans="2:16">
      <c r="B37" s="8" t="s">
        <v>153</v>
      </c>
      <c r="C37">
        <v>1022.82</v>
      </c>
      <c r="D37">
        <v>818.57</v>
      </c>
      <c r="E37">
        <v>870.42</v>
      </c>
      <c r="F37">
        <v>12.49</v>
      </c>
      <c r="G37">
        <v>1.71</v>
      </c>
      <c r="H37">
        <v>2.87</v>
      </c>
      <c r="J37" s="53"/>
      <c r="K37" s="54"/>
      <c r="L37" s="54"/>
      <c r="M37" s="54"/>
      <c r="N37" s="54"/>
      <c r="O37" s="54"/>
      <c r="P37" s="54"/>
    </row>
    <row r="38" spans="2:16">
      <c r="B38" s="8" t="s">
        <v>152</v>
      </c>
      <c r="C38">
        <v>1956.48</v>
      </c>
      <c r="D38">
        <v>838.99</v>
      </c>
      <c r="E38">
        <v>1720.46</v>
      </c>
      <c r="F38">
        <v>14.19</v>
      </c>
      <c r="G38">
        <v>2.5099999999999998</v>
      </c>
      <c r="H38">
        <v>2.5299999999999998</v>
      </c>
      <c r="J38" s="53"/>
      <c r="K38" s="54"/>
      <c r="L38" s="54"/>
      <c r="M38" s="54"/>
      <c r="N38" s="54"/>
      <c r="O38" s="54"/>
      <c r="P38" s="54"/>
    </row>
    <row r="39" spans="2:16">
      <c r="B39" s="8" t="s">
        <v>151</v>
      </c>
      <c r="C39">
        <v>2178.52</v>
      </c>
      <c r="D39">
        <v>1291.29</v>
      </c>
      <c r="E39">
        <v>2019.48</v>
      </c>
      <c r="F39">
        <v>14.04</v>
      </c>
      <c r="G39">
        <v>2.92</v>
      </c>
      <c r="H39">
        <v>2.23</v>
      </c>
      <c r="J39" s="53"/>
      <c r="K39" s="54"/>
      <c r="L39" s="54"/>
      <c r="M39" s="54"/>
      <c r="N39" s="54"/>
      <c r="O39" s="54"/>
      <c r="P39" s="54"/>
    </row>
    <row r="40" spans="2:16">
      <c r="B40" s="8" t="s">
        <v>150</v>
      </c>
      <c r="C40">
        <v>3447.13</v>
      </c>
      <c r="D40">
        <v>1914.25</v>
      </c>
      <c r="E40">
        <v>3424.42</v>
      </c>
      <c r="F40">
        <v>15.3</v>
      </c>
      <c r="G40">
        <v>3.56</v>
      </c>
      <c r="H40">
        <v>1.69</v>
      </c>
      <c r="J40" s="53"/>
      <c r="K40" s="54"/>
      <c r="L40" s="54"/>
      <c r="M40" s="54"/>
      <c r="N40" s="54"/>
      <c r="O40" s="54"/>
      <c r="P40" s="54"/>
    </row>
    <row r="41" spans="2:16">
      <c r="B41" s="8" t="s">
        <v>149</v>
      </c>
      <c r="C41">
        <v>4317.68</v>
      </c>
      <c r="D41">
        <v>2593.48</v>
      </c>
      <c r="E41">
        <v>3820.58</v>
      </c>
      <c r="F41">
        <v>19.079999999999998</v>
      </c>
      <c r="G41">
        <v>4.24</v>
      </c>
      <c r="H41">
        <v>1.37</v>
      </c>
      <c r="J41" s="53"/>
      <c r="K41" s="54"/>
      <c r="L41" s="54"/>
      <c r="M41" s="54"/>
      <c r="N41" s="54"/>
      <c r="O41" s="54"/>
      <c r="P41" s="54"/>
    </row>
    <row r="42" spans="2:16">
      <c r="B42" s="8" t="s">
        <v>148</v>
      </c>
      <c r="C42">
        <v>6760.43</v>
      </c>
      <c r="D42">
        <v>3637.16</v>
      </c>
      <c r="E42">
        <v>4775.04</v>
      </c>
      <c r="F42">
        <v>22.43</v>
      </c>
      <c r="G42">
        <v>5.35</v>
      </c>
      <c r="H42">
        <v>0.97</v>
      </c>
      <c r="J42" s="53"/>
      <c r="K42" s="54"/>
      <c r="L42" s="54"/>
      <c r="M42" s="54"/>
      <c r="N42" s="54"/>
      <c r="O42" s="54"/>
      <c r="P42" s="54"/>
    </row>
    <row r="43" spans="2:16">
      <c r="B43" s="8" t="s">
        <v>147</v>
      </c>
      <c r="C43">
        <v>5470.85</v>
      </c>
      <c r="D43">
        <v>2290.5</v>
      </c>
      <c r="E43">
        <v>2866.66</v>
      </c>
      <c r="F43">
        <v>16.72</v>
      </c>
      <c r="G43">
        <v>3.3</v>
      </c>
      <c r="H43">
        <v>1.43</v>
      </c>
      <c r="J43" s="53"/>
      <c r="K43" s="54"/>
      <c r="L43" s="54"/>
      <c r="M43" s="54"/>
      <c r="N43" s="54"/>
      <c r="O43" s="54"/>
      <c r="P43" s="54"/>
    </row>
    <row r="44" spans="2:16">
      <c r="B44" s="8" t="s">
        <v>146</v>
      </c>
      <c r="C44">
        <v>5479.32</v>
      </c>
      <c r="D44">
        <v>2825.37</v>
      </c>
      <c r="E44">
        <v>5394.12</v>
      </c>
      <c r="F44">
        <v>21.27</v>
      </c>
      <c r="G44">
        <v>3.77</v>
      </c>
      <c r="H44">
        <v>1.1100000000000001</v>
      </c>
      <c r="J44" s="53"/>
      <c r="K44" s="54"/>
      <c r="L44" s="54"/>
      <c r="M44" s="54"/>
      <c r="N44" s="54"/>
      <c r="O44" s="54"/>
      <c r="P44" s="54"/>
    </row>
    <row r="45" spans="2:16">
      <c r="B45" s="8" t="s">
        <v>145</v>
      </c>
      <c r="C45">
        <v>6491.89</v>
      </c>
      <c r="D45">
        <v>4935.68</v>
      </c>
      <c r="E45">
        <v>5855.53</v>
      </c>
      <c r="F45">
        <v>21.91</v>
      </c>
      <c r="G45">
        <v>3.68</v>
      </c>
      <c r="H45">
        <v>0.98</v>
      </c>
      <c r="J45" s="53"/>
      <c r="K45" s="54"/>
      <c r="L45" s="54"/>
      <c r="M45" s="54"/>
      <c r="N45" s="54"/>
      <c r="O45" s="54"/>
      <c r="P45" s="54"/>
    </row>
    <row r="46" spans="2:16">
      <c r="B46" s="8" t="s">
        <v>144</v>
      </c>
      <c r="C46">
        <v>5989.65</v>
      </c>
      <c r="D46">
        <v>4516.41</v>
      </c>
      <c r="E46">
        <v>5315.15</v>
      </c>
      <c r="F46">
        <v>18.68</v>
      </c>
      <c r="G46">
        <v>3.19</v>
      </c>
      <c r="H46">
        <v>1.33</v>
      </c>
      <c r="J46" s="53"/>
      <c r="K46" s="54"/>
      <c r="L46" s="54"/>
      <c r="M46" s="54"/>
      <c r="N46" s="54"/>
      <c r="O46" s="54"/>
      <c r="P46" s="54"/>
    </row>
    <row r="47" spans="2:16">
      <c r="B47" s="8" t="s">
        <v>143</v>
      </c>
      <c r="C47">
        <v>6172.3</v>
      </c>
      <c r="D47">
        <v>4786.41</v>
      </c>
      <c r="E47">
        <v>5678.7</v>
      </c>
      <c r="F47">
        <v>17.940000000000001</v>
      </c>
      <c r="G47">
        <v>2.58</v>
      </c>
      <c r="H47">
        <v>1.58</v>
      </c>
      <c r="J47" s="53"/>
      <c r="K47" s="54"/>
      <c r="L47" s="54"/>
      <c r="M47" s="54"/>
      <c r="N47" s="54"/>
      <c r="O47" s="54"/>
      <c r="P47" s="54"/>
    </row>
    <row r="48" spans="2:16">
      <c r="B48" s="8" t="s">
        <v>142</v>
      </c>
      <c r="C48">
        <v>6730.85</v>
      </c>
      <c r="D48">
        <v>5116.8100000000004</v>
      </c>
      <c r="E48">
        <v>6707.28</v>
      </c>
      <c r="F48">
        <v>16.47</v>
      </c>
      <c r="G48">
        <v>2.4300000000000002</v>
      </c>
      <c r="H48">
        <v>1.49</v>
      </c>
      <c r="J48" s="53"/>
      <c r="K48" s="54"/>
      <c r="L48" s="54"/>
      <c r="M48" s="54"/>
      <c r="N48" s="54"/>
      <c r="O48" s="54"/>
      <c r="P48" s="54"/>
    </row>
    <row r="49" spans="2:16">
      <c r="B49" s="8" t="s">
        <v>141</v>
      </c>
      <c r="C49">
        <v>9231.26</v>
      </c>
      <c r="D49">
        <v>6661.69</v>
      </c>
      <c r="E49">
        <v>8606.6</v>
      </c>
      <c r="F49">
        <v>18.809999999999999</v>
      </c>
      <c r="G49">
        <v>2.7</v>
      </c>
      <c r="H49">
        <v>1.22</v>
      </c>
      <c r="J49" s="53"/>
      <c r="K49" s="54"/>
      <c r="L49" s="54"/>
      <c r="M49" s="54"/>
      <c r="N49" s="54"/>
      <c r="O49" s="54"/>
      <c r="P49" s="54"/>
    </row>
    <row r="50" spans="2:16">
      <c r="B50" s="8" t="s">
        <v>140</v>
      </c>
      <c r="C50">
        <v>8998.19</v>
      </c>
      <c r="D50">
        <v>6914.17</v>
      </c>
      <c r="E50">
        <v>7835.45</v>
      </c>
      <c r="F50">
        <v>20.63</v>
      </c>
      <c r="G50">
        <v>2.61</v>
      </c>
      <c r="H50">
        <v>1.35</v>
      </c>
      <c r="J50" s="53"/>
      <c r="K50" s="54"/>
      <c r="L50" s="54"/>
      <c r="M50" s="54"/>
      <c r="N50" s="54"/>
      <c r="O50" s="54"/>
      <c r="P50" s="54"/>
    </row>
    <row r="51" spans="2:16">
      <c r="B51" s="8" t="s">
        <v>139</v>
      </c>
      <c r="C51">
        <v>9522.32</v>
      </c>
      <c r="D51">
        <v>7633.7</v>
      </c>
      <c r="E51">
        <v>9494.36</v>
      </c>
      <c r="F51">
        <v>22.63</v>
      </c>
      <c r="G51">
        <v>2.66</v>
      </c>
      <c r="H51">
        <v>1.35</v>
      </c>
      <c r="J51" s="53"/>
      <c r="K51" s="54"/>
      <c r="L51" s="54"/>
      <c r="M51" s="54"/>
      <c r="N51" s="54"/>
      <c r="O51" s="54"/>
      <c r="P51" s="54"/>
    </row>
    <row r="52" spans="2:16">
      <c r="B52" s="8" t="s">
        <v>138</v>
      </c>
      <c r="C52">
        <v>11595.01</v>
      </c>
      <c r="D52">
        <v>9413.8700000000008</v>
      </c>
      <c r="E52">
        <v>10502.61</v>
      </c>
      <c r="F52">
        <v>24.01</v>
      </c>
      <c r="G52">
        <v>3.01</v>
      </c>
      <c r="H52">
        <v>1.29</v>
      </c>
      <c r="J52" s="53"/>
      <c r="K52" s="54"/>
      <c r="L52" s="54"/>
      <c r="M52" s="54"/>
      <c r="N52" s="54"/>
      <c r="O52" s="54"/>
      <c r="P52" s="54"/>
    </row>
    <row r="53" spans="2:16">
      <c r="B53" s="8" t="s">
        <v>137</v>
      </c>
      <c r="C53">
        <v>12095.54</v>
      </c>
      <c r="D53">
        <v>10233.129999999999</v>
      </c>
      <c r="E53">
        <v>11809.19</v>
      </c>
      <c r="F53">
        <v>22.94</v>
      </c>
      <c r="G53">
        <v>2.93</v>
      </c>
      <c r="H53">
        <v>1.26</v>
      </c>
      <c r="J53" s="53"/>
      <c r="K53" s="54"/>
      <c r="L53" s="54"/>
      <c r="M53" s="54"/>
      <c r="N53" s="54"/>
      <c r="O53" s="54"/>
      <c r="P53" s="54"/>
    </row>
    <row r="54" spans="2:16">
      <c r="B54" s="8" t="s">
        <v>136</v>
      </c>
      <c r="C54">
        <v>12536.11</v>
      </c>
      <c r="D54">
        <v>7588.58</v>
      </c>
      <c r="E54">
        <v>8668.98</v>
      </c>
      <c r="F54">
        <v>24.41</v>
      </c>
      <c r="G54">
        <v>2.78</v>
      </c>
      <c r="H54">
        <v>1.27</v>
      </c>
      <c r="J54" s="53"/>
      <c r="K54" s="54"/>
      <c r="L54" s="54"/>
      <c r="M54" s="54"/>
      <c r="N54" s="54"/>
      <c r="O54" s="54"/>
      <c r="P54" s="54"/>
    </row>
    <row r="55" spans="2:16">
      <c r="B55" s="8" t="s">
        <v>135</v>
      </c>
      <c r="C55">
        <v>15573.28</v>
      </c>
      <c r="D55">
        <v>8156.59</v>
      </c>
      <c r="E55">
        <v>14863.54</v>
      </c>
      <c r="F55">
        <v>28.26</v>
      </c>
      <c r="G55">
        <v>2.74</v>
      </c>
      <c r="H55">
        <v>1.0900000000000001</v>
      </c>
      <c r="J55" s="53"/>
      <c r="K55" s="54"/>
      <c r="L55" s="54"/>
      <c r="M55" s="54"/>
      <c r="N55" s="54"/>
      <c r="O55" s="54"/>
      <c r="P55" s="54"/>
    </row>
    <row r="56" spans="2:16">
      <c r="B56" s="8" t="s">
        <v>134</v>
      </c>
      <c r="C56">
        <v>18926.88</v>
      </c>
      <c r="D56">
        <v>14362.26</v>
      </c>
      <c r="E56">
        <v>17723.939999999999</v>
      </c>
      <c r="F56">
        <v>28.22</v>
      </c>
      <c r="G56">
        <v>3.45</v>
      </c>
      <c r="H56">
        <v>1.08</v>
      </c>
      <c r="J56" s="53"/>
      <c r="K56" s="54"/>
      <c r="L56" s="54"/>
      <c r="M56" s="54"/>
      <c r="N56" s="54"/>
      <c r="O56" s="54"/>
      <c r="P56" s="54"/>
    </row>
    <row r="57" spans="2:16">
      <c r="B57" s="8" t="s">
        <v>133</v>
      </c>
      <c r="C57">
        <v>19198.89</v>
      </c>
      <c r="D57">
        <v>15433.75</v>
      </c>
      <c r="E57">
        <v>17601.669999999998</v>
      </c>
      <c r="F57">
        <v>22.81</v>
      </c>
      <c r="G57">
        <v>3.28</v>
      </c>
      <c r="H57">
        <v>1.35</v>
      </c>
      <c r="J57" s="53"/>
      <c r="K57" s="54"/>
      <c r="L57" s="54"/>
      <c r="M57" s="54"/>
      <c r="N57" s="54"/>
      <c r="O57" s="54"/>
      <c r="P57" s="54"/>
    </row>
    <row r="58" spans="2:16">
      <c r="B58" s="8" t="s">
        <v>132</v>
      </c>
      <c r="C58">
        <v>23449.26</v>
      </c>
      <c r="D58">
        <v>17564.48</v>
      </c>
      <c r="E58">
        <v>23294.04</v>
      </c>
      <c r="F58">
        <v>23.97</v>
      </c>
      <c r="G58">
        <v>3.5</v>
      </c>
      <c r="H58">
        <v>1.3</v>
      </c>
      <c r="J58" s="53"/>
      <c r="K58" s="54"/>
      <c r="L58" s="54"/>
      <c r="M58" s="54"/>
      <c r="N58" s="54"/>
      <c r="O58" s="54"/>
      <c r="P58" s="54"/>
    </row>
    <row r="59" spans="2:16">
      <c r="B59" s="8" t="s">
        <v>131</v>
      </c>
      <c r="C59">
        <v>27762.240000000002</v>
      </c>
      <c r="D59">
        <v>22334.49</v>
      </c>
      <c r="E59">
        <v>24577.8</v>
      </c>
      <c r="F59">
        <v>23.45</v>
      </c>
      <c r="G59">
        <v>3.95</v>
      </c>
      <c r="H59">
        <v>1.18</v>
      </c>
      <c r="J59" s="53"/>
      <c r="K59" s="54"/>
      <c r="L59" s="54"/>
      <c r="M59" s="54"/>
      <c r="N59" s="54"/>
      <c r="O59" s="54"/>
      <c r="P59" s="54"/>
    </row>
    <row r="60" spans="2:16">
      <c r="B60" s="8" t="s">
        <v>130</v>
      </c>
      <c r="C60">
        <v>27592.55</v>
      </c>
      <c r="D60">
        <v>22539.11</v>
      </c>
      <c r="E60">
        <v>27577.11</v>
      </c>
      <c r="F60">
        <v>22.91</v>
      </c>
      <c r="G60">
        <v>4.1500000000000004</v>
      </c>
      <c r="H60">
        <v>1.2</v>
      </c>
    </row>
  </sheetData>
  <pageMargins left="0.7" right="0.7" top="0.75" bottom="0.75" header="0.3" footer="0.3"/>
  <ignoredErrors>
    <ignoredError sqref="P1 B3:B30 P31 B33:B60 P60:P1048576" numberStoredAsText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D097-FD64-41AB-9129-8B0694D0BF23}">
  <sheetPr>
    <tabColor rgb="FFFF0000"/>
  </sheetPr>
  <dimension ref="B2:L338"/>
  <sheetViews>
    <sheetView showGridLines="0" tabSelected="1" workbookViewId="0">
      <selection activeCell="Q18" sqref="Q18"/>
    </sheetView>
  </sheetViews>
  <sheetFormatPr defaultRowHeight="15"/>
  <cols>
    <col min="2" max="2" width="10.140625" style="2" bestFit="1" customWidth="1"/>
    <col min="3" max="3" width="12.28515625" bestFit="1" customWidth="1"/>
    <col min="4" max="4" width="15.85546875" bestFit="1" customWidth="1"/>
    <col min="6" max="6" width="9.140625" style="2"/>
    <col min="7" max="7" width="21.140625" style="9" bestFit="1" customWidth="1"/>
    <col min="8" max="8" width="15.7109375" style="9" bestFit="1" customWidth="1"/>
    <col min="10" max="10" width="21.5703125" bestFit="1" customWidth="1"/>
    <col min="11" max="11" width="8.140625" bestFit="1" customWidth="1"/>
  </cols>
  <sheetData>
    <row r="2" spans="2:12">
      <c r="B2" s="58" t="s">
        <v>7</v>
      </c>
      <c r="C2" s="57" t="s">
        <v>121</v>
      </c>
      <c r="D2" s="57" t="s">
        <v>122</v>
      </c>
      <c r="F2" s="58" t="s">
        <v>0</v>
      </c>
      <c r="G2" s="31" t="s">
        <v>123</v>
      </c>
      <c r="H2" s="31" t="s">
        <v>124</v>
      </c>
      <c r="J2" s="31" t="s">
        <v>195</v>
      </c>
      <c r="K2" s="59" t="s">
        <v>115</v>
      </c>
      <c r="L2" s="15">
        <f>_xlfn.RRI(20,G10,$G$30)</f>
        <v>0.12804331690514426</v>
      </c>
    </row>
    <row r="3" spans="2:12">
      <c r="B3" s="20">
        <v>35796</v>
      </c>
      <c r="C3" s="7">
        <v>812.8</v>
      </c>
      <c r="F3" s="2">
        <v>1998</v>
      </c>
      <c r="G3" s="21">
        <f>AVERAGEIFS($C$4:$C$338,$B$4:$B$338,"&gt;="&amp;DATE(F3,1,1),$B$4:$B$338,"&lt;="&amp;DATE(F3,12,31))</f>
        <v>847.81545454545449</v>
      </c>
      <c r="J3" s="13"/>
      <c r="K3" s="14"/>
      <c r="L3" s="9"/>
    </row>
    <row r="4" spans="2:12">
      <c r="B4" s="20">
        <v>35827</v>
      </c>
      <c r="C4" s="7">
        <v>909.92</v>
      </c>
      <c r="D4" s="10">
        <f>C4/C3-1</f>
        <v>0.11948818897637792</v>
      </c>
      <c r="F4" s="2">
        <f>F3+1</f>
        <v>1999</v>
      </c>
      <c r="G4" s="21">
        <f t="shared" ref="G4:G30" si="0">AVERAGEIFS($C$4:$C$338,$B$4:$B$338,"&gt;="&amp;DATE(F4,1,1),$B$4:$B$338,"&lt;="&amp;DATE(F4,12,31))</f>
        <v>1107.6841666666667</v>
      </c>
      <c r="H4" s="11">
        <f>G4/G3-1</f>
        <v>0.30651565824609506</v>
      </c>
      <c r="J4" s="31" t="s">
        <v>195</v>
      </c>
      <c r="K4" s="59" t="s">
        <v>119</v>
      </c>
      <c r="L4" s="15">
        <f>_xlfn.RRI(15,G15,$G$30)</f>
        <v>0.1070334160231039</v>
      </c>
    </row>
    <row r="5" spans="2:12">
      <c r="B5" s="20">
        <v>35855</v>
      </c>
      <c r="C5" s="7">
        <v>984.34</v>
      </c>
      <c r="D5" s="10">
        <f t="shared" ref="D5:D68" si="1">C5/C4-1</f>
        <v>8.1787409882187578E-2</v>
      </c>
      <c r="F5" s="2">
        <f t="shared" ref="F5:F30" si="2">F4+1</f>
        <v>2000</v>
      </c>
      <c r="G5" s="21">
        <f t="shared" si="0"/>
        <v>1380.7133333333331</v>
      </c>
      <c r="H5" s="11">
        <f t="shared" ref="H5:H30" si="3">G5/G4-1</f>
        <v>0.24648647591333561</v>
      </c>
      <c r="J5" s="13"/>
      <c r="K5" s="14"/>
      <c r="L5" s="9"/>
    </row>
    <row r="6" spans="2:12">
      <c r="B6" s="20">
        <v>35886</v>
      </c>
      <c r="C6" s="7">
        <v>1021.36</v>
      </c>
      <c r="D6" s="10">
        <f t="shared" si="1"/>
        <v>3.7608956254952641E-2</v>
      </c>
      <c r="F6" s="2">
        <f t="shared" si="2"/>
        <v>2001</v>
      </c>
      <c r="G6" s="21">
        <f t="shared" si="0"/>
        <v>968.17583333333323</v>
      </c>
      <c r="H6" s="11">
        <f t="shared" si="3"/>
        <v>-0.29878577257166583</v>
      </c>
      <c r="J6" s="31" t="s">
        <v>195</v>
      </c>
      <c r="K6" s="59" t="s">
        <v>125</v>
      </c>
      <c r="L6" s="15">
        <f>_xlfn.RRI(10,G20,$G$30)</f>
        <v>0.1183641532880082</v>
      </c>
    </row>
    <row r="7" spans="2:12">
      <c r="B7" s="20">
        <v>35916</v>
      </c>
      <c r="C7" s="7">
        <v>953.6</v>
      </c>
      <c r="D7" s="10">
        <f t="shared" si="1"/>
        <v>-6.6342915328581498E-2</v>
      </c>
      <c r="F7" s="2">
        <f t="shared" si="2"/>
        <v>2002</v>
      </c>
      <c r="G7" s="21">
        <f t="shared" si="0"/>
        <v>928.63333333333333</v>
      </c>
      <c r="H7" s="11">
        <f t="shared" si="3"/>
        <v>-4.0842271247216511E-2</v>
      </c>
      <c r="J7" s="13"/>
      <c r="K7" s="14"/>
      <c r="L7" s="9"/>
    </row>
    <row r="8" spans="2:12">
      <c r="B8" s="20">
        <v>35947</v>
      </c>
      <c r="C8" s="7">
        <v>827.79</v>
      </c>
      <c r="D8" s="10">
        <f t="shared" si="1"/>
        <v>-0.13193162751677856</v>
      </c>
      <c r="F8" s="2">
        <f t="shared" si="2"/>
        <v>2003</v>
      </c>
      <c r="G8" s="21">
        <f t="shared" si="0"/>
        <v>1172.2474999999997</v>
      </c>
      <c r="H8" s="11">
        <f t="shared" si="3"/>
        <v>0.2623362288667932</v>
      </c>
      <c r="J8" s="31" t="s">
        <v>195</v>
      </c>
      <c r="K8" s="59" t="s">
        <v>118</v>
      </c>
      <c r="L8" s="15">
        <f>_xlfn.RRI(7,G23,$G$30)</f>
        <v>0.12731756421992424</v>
      </c>
    </row>
    <row r="9" spans="2:12">
      <c r="B9" s="20">
        <v>35977</v>
      </c>
      <c r="C9" s="7">
        <v>821.67</v>
      </c>
      <c r="D9" s="10">
        <f t="shared" si="1"/>
        <v>-7.3931794295655218E-3</v>
      </c>
      <c r="F9" s="2">
        <f t="shared" si="2"/>
        <v>2004</v>
      </c>
      <c r="G9" s="21">
        <f t="shared" si="0"/>
        <v>1712.8558333333333</v>
      </c>
      <c r="H9" s="11">
        <f t="shared" si="3"/>
        <v>0.46117251973950357</v>
      </c>
      <c r="J9" s="13"/>
      <c r="K9" s="14"/>
      <c r="L9" s="9"/>
    </row>
    <row r="10" spans="2:12">
      <c r="B10" s="20">
        <v>36008</v>
      </c>
      <c r="C10" s="7">
        <v>760.15</v>
      </c>
      <c r="D10" s="10">
        <f t="shared" si="1"/>
        <v>-7.4871907213358124E-2</v>
      </c>
      <c r="F10" s="2">
        <f t="shared" si="2"/>
        <v>2005</v>
      </c>
      <c r="G10" s="21">
        <f t="shared" si="0"/>
        <v>2315.999166666667</v>
      </c>
      <c r="H10" s="11">
        <f t="shared" si="3"/>
        <v>0.35212731953019993</v>
      </c>
      <c r="J10" s="31" t="s">
        <v>195</v>
      </c>
      <c r="K10" s="59" t="s">
        <v>117</v>
      </c>
      <c r="L10" s="15">
        <f>_xlfn.RRI(5,G25,$G$30)</f>
        <v>0.18036171980081672</v>
      </c>
    </row>
    <row r="11" spans="2:12">
      <c r="B11" s="20">
        <v>36039</v>
      </c>
      <c r="C11" s="7">
        <v>800.27</v>
      </c>
      <c r="D11" s="10">
        <f t="shared" si="1"/>
        <v>5.2779056765112076E-2</v>
      </c>
      <c r="F11" s="2">
        <f t="shared" si="2"/>
        <v>2006</v>
      </c>
      <c r="G11" s="21">
        <f t="shared" si="0"/>
        <v>3468.9908333333333</v>
      </c>
      <c r="H11" s="11">
        <f t="shared" si="3"/>
        <v>0.49783768632616798</v>
      </c>
      <c r="J11" s="16" t="s">
        <v>126</v>
      </c>
    </row>
    <row r="12" spans="2:12">
      <c r="B12" s="20">
        <v>36069</v>
      </c>
      <c r="C12" s="7">
        <v>731.25</v>
      </c>
      <c r="D12" s="10">
        <f t="shared" si="1"/>
        <v>-8.6245892011446168E-2</v>
      </c>
      <c r="F12" s="2">
        <f t="shared" si="2"/>
        <v>2007</v>
      </c>
      <c r="G12" s="21">
        <f t="shared" si="0"/>
        <v>4791.0983333333324</v>
      </c>
      <c r="H12" s="11">
        <f t="shared" si="3"/>
        <v>0.38112164704960994</v>
      </c>
    </row>
    <row r="13" spans="2:12">
      <c r="B13" s="20">
        <v>36100</v>
      </c>
      <c r="C13" s="7">
        <v>727.38</v>
      </c>
      <c r="D13" s="10">
        <f t="shared" si="1"/>
        <v>-5.2923076923077073E-3</v>
      </c>
      <c r="F13" s="2">
        <f t="shared" si="2"/>
        <v>2008</v>
      </c>
      <c r="G13" s="21">
        <f t="shared" si="0"/>
        <v>4269.5324999999993</v>
      </c>
      <c r="H13" s="11">
        <f t="shared" si="3"/>
        <v>-0.10886143365178269</v>
      </c>
    </row>
    <row r="14" spans="2:12">
      <c r="B14" s="20">
        <v>36130</v>
      </c>
      <c r="C14" s="7">
        <v>788.24</v>
      </c>
      <c r="D14" s="10">
        <f t="shared" si="1"/>
        <v>8.367015865159888E-2</v>
      </c>
      <c r="F14" s="2">
        <f t="shared" si="2"/>
        <v>2009</v>
      </c>
      <c r="G14" s="21">
        <f t="shared" si="0"/>
        <v>4207.6491666666661</v>
      </c>
      <c r="H14" s="11">
        <f t="shared" si="3"/>
        <v>-1.4494170809879803E-2</v>
      </c>
    </row>
    <row r="15" spans="2:12">
      <c r="B15" s="20">
        <v>36161</v>
      </c>
      <c r="C15" s="7">
        <v>847.68</v>
      </c>
      <c r="D15" s="10">
        <f t="shared" si="1"/>
        <v>7.5408505023850436E-2</v>
      </c>
      <c r="F15" s="2">
        <f t="shared" si="2"/>
        <v>2010</v>
      </c>
      <c r="G15" s="21">
        <f t="shared" si="0"/>
        <v>5608.4516666666668</v>
      </c>
      <c r="H15" s="11">
        <f t="shared" si="3"/>
        <v>0.33291808430637948</v>
      </c>
    </row>
    <row r="16" spans="2:12">
      <c r="B16" s="20">
        <v>36192</v>
      </c>
      <c r="C16" s="7">
        <v>874.03</v>
      </c>
      <c r="D16" s="10">
        <f t="shared" si="1"/>
        <v>3.1084843337108481E-2</v>
      </c>
      <c r="F16" s="2">
        <f t="shared" si="2"/>
        <v>2011</v>
      </c>
      <c r="G16" s="21">
        <f t="shared" si="0"/>
        <v>5354.1158333333324</v>
      </c>
      <c r="H16" s="11">
        <f t="shared" si="3"/>
        <v>-4.5348671692217124E-2</v>
      </c>
    </row>
    <row r="17" spans="2:8">
      <c r="B17" s="20">
        <v>36220</v>
      </c>
      <c r="C17" s="7">
        <v>957.79</v>
      </c>
      <c r="D17" s="10">
        <f t="shared" si="1"/>
        <v>9.5831950848369152E-2</v>
      </c>
      <c r="F17" s="2">
        <f t="shared" si="2"/>
        <v>2012</v>
      </c>
      <c r="G17" s="21">
        <f t="shared" si="0"/>
        <v>5425.1116666666667</v>
      </c>
      <c r="H17" s="11">
        <f t="shared" si="3"/>
        <v>1.3260048072051944E-2</v>
      </c>
    </row>
    <row r="18" spans="2:8">
      <c r="B18" s="20">
        <v>36251</v>
      </c>
      <c r="C18" s="7">
        <v>840.79</v>
      </c>
      <c r="D18" s="10">
        <f t="shared" si="1"/>
        <v>-0.1221562137838148</v>
      </c>
      <c r="F18" s="2">
        <f t="shared" si="2"/>
        <v>2013</v>
      </c>
      <c r="G18" s="21">
        <f t="shared" si="0"/>
        <v>5906.4958333333343</v>
      </c>
      <c r="H18" s="11">
        <f t="shared" si="3"/>
        <v>8.8732582155759188E-2</v>
      </c>
    </row>
    <row r="19" spans="2:8">
      <c r="B19" s="20">
        <v>36281</v>
      </c>
      <c r="C19" s="7">
        <v>994.13</v>
      </c>
      <c r="D19" s="10">
        <f t="shared" si="1"/>
        <v>0.18237609866910875</v>
      </c>
      <c r="F19" s="2">
        <f t="shared" si="2"/>
        <v>2014</v>
      </c>
      <c r="G19" s="21">
        <f t="shared" si="0"/>
        <v>7503.9291666666677</v>
      </c>
      <c r="H19" s="11">
        <f t="shared" si="3"/>
        <v>0.27045364602108268</v>
      </c>
    </row>
    <row r="20" spans="2:8">
      <c r="B20" s="20">
        <v>36312</v>
      </c>
      <c r="C20" s="7">
        <v>1038.5</v>
      </c>
      <c r="D20" s="10">
        <f t="shared" si="1"/>
        <v>4.4631989780008707E-2</v>
      </c>
      <c r="F20" s="2">
        <f t="shared" si="2"/>
        <v>2015</v>
      </c>
      <c r="G20" s="21">
        <f t="shared" si="0"/>
        <v>8422.1224999999995</v>
      </c>
      <c r="H20" s="11">
        <f t="shared" si="3"/>
        <v>0.12236167385641838</v>
      </c>
    </row>
    <row r="21" spans="2:8">
      <c r="B21" s="20">
        <v>36342</v>
      </c>
      <c r="C21" s="7">
        <v>1153.07</v>
      </c>
      <c r="D21" s="10">
        <f t="shared" si="1"/>
        <v>0.11032258064516132</v>
      </c>
      <c r="F21" s="2">
        <f t="shared" si="2"/>
        <v>2016</v>
      </c>
      <c r="G21" s="21">
        <f t="shared" si="0"/>
        <v>8314.9083333333328</v>
      </c>
      <c r="H21" s="11">
        <f t="shared" si="3"/>
        <v>-1.2730064976692823E-2</v>
      </c>
    </row>
    <row r="22" spans="2:8">
      <c r="B22" s="20">
        <v>36373</v>
      </c>
      <c r="C22" s="7">
        <v>1271.9100000000001</v>
      </c>
      <c r="D22" s="10">
        <f t="shared" si="1"/>
        <v>0.10306399438021985</v>
      </c>
      <c r="F22" s="2">
        <f t="shared" si="2"/>
        <v>2017</v>
      </c>
      <c r="G22" s="21">
        <f t="shared" si="0"/>
        <v>10033.375</v>
      </c>
      <c r="H22" s="11">
        <f t="shared" si="3"/>
        <v>0.20667295390107543</v>
      </c>
    </row>
    <row r="23" spans="2:8">
      <c r="B23" s="20">
        <v>36404</v>
      </c>
      <c r="C23" s="7">
        <v>1283.73</v>
      </c>
      <c r="D23" s="10">
        <f t="shared" si="1"/>
        <v>9.2931103615820909E-3</v>
      </c>
      <c r="F23" s="2">
        <f t="shared" si="2"/>
        <v>2018</v>
      </c>
      <c r="G23" s="21">
        <f t="shared" si="0"/>
        <v>11141.150000000001</v>
      </c>
      <c r="H23" s="11">
        <f t="shared" si="3"/>
        <v>0.11040900992936087</v>
      </c>
    </row>
    <row r="24" spans="2:8">
      <c r="B24" s="20">
        <v>36434</v>
      </c>
      <c r="C24" s="7">
        <v>1201.47</v>
      </c>
      <c r="D24" s="10">
        <f t="shared" si="1"/>
        <v>-6.4078895094762944E-2</v>
      </c>
      <c r="F24" s="2">
        <f t="shared" si="2"/>
        <v>2019</v>
      </c>
      <c r="G24" s="21">
        <f t="shared" si="0"/>
        <v>11665.345000000001</v>
      </c>
      <c r="H24" s="11">
        <f t="shared" si="3"/>
        <v>4.7050349380449941E-2</v>
      </c>
    </row>
    <row r="25" spans="2:8">
      <c r="B25" s="20">
        <v>36465</v>
      </c>
      <c r="C25" s="7">
        <v>1306.9100000000001</v>
      </c>
      <c r="D25" s="10">
        <f t="shared" si="1"/>
        <v>8.7759161693591992E-2</v>
      </c>
      <c r="F25" s="2">
        <f t="shared" si="2"/>
        <v>2020</v>
      </c>
      <c r="G25" s="21">
        <f t="shared" si="0"/>
        <v>11250.669166666665</v>
      </c>
      <c r="H25" s="11">
        <f t="shared" si="3"/>
        <v>-3.554766990031899E-2</v>
      </c>
    </row>
    <row r="26" spans="2:8">
      <c r="B26" s="20">
        <v>36495</v>
      </c>
      <c r="C26" s="7">
        <v>1522.2</v>
      </c>
      <c r="D26" s="10">
        <f t="shared" si="1"/>
        <v>0.16473207795487066</v>
      </c>
      <c r="F26" s="2">
        <f t="shared" si="2"/>
        <v>2021</v>
      </c>
      <c r="G26" s="21">
        <f t="shared" si="0"/>
        <v>16190.109166666667</v>
      </c>
      <c r="H26" s="11">
        <f t="shared" si="3"/>
        <v>0.43903521886809282</v>
      </c>
    </row>
    <row r="27" spans="2:8">
      <c r="B27" s="20">
        <v>36526</v>
      </c>
      <c r="C27" s="7">
        <v>1667.71</v>
      </c>
      <c r="D27" s="10">
        <f t="shared" si="1"/>
        <v>9.5591906451188979E-2</v>
      </c>
      <c r="F27" s="2">
        <f t="shared" si="2"/>
        <v>2022</v>
      </c>
      <c r="G27" s="21">
        <f t="shared" si="0"/>
        <v>17675.189166666667</v>
      </c>
      <c r="H27" s="11">
        <f t="shared" si="3"/>
        <v>9.172760879571995E-2</v>
      </c>
    </row>
    <row r="28" spans="2:8">
      <c r="B28" s="20">
        <v>36557</v>
      </c>
      <c r="C28" s="7">
        <v>1910.11</v>
      </c>
      <c r="D28" s="10">
        <f t="shared" si="1"/>
        <v>0.14534901151878921</v>
      </c>
      <c r="F28" s="2">
        <f t="shared" si="2"/>
        <v>2023</v>
      </c>
      <c r="G28" s="21">
        <f t="shared" si="0"/>
        <v>19381.792499999996</v>
      </c>
      <c r="H28" s="11">
        <f t="shared" si="3"/>
        <v>9.6553610670927492E-2</v>
      </c>
    </row>
    <row r="29" spans="2:8">
      <c r="B29" s="20">
        <v>36586</v>
      </c>
      <c r="C29" s="7">
        <v>1683.28</v>
      </c>
      <c r="D29" s="10">
        <f t="shared" si="1"/>
        <v>-0.11875232316463447</v>
      </c>
      <c r="F29" s="2">
        <f t="shared" si="2"/>
        <v>2024</v>
      </c>
      <c r="G29" s="21">
        <f t="shared" si="0"/>
        <v>24857.639166666664</v>
      </c>
      <c r="H29" s="11">
        <f t="shared" si="3"/>
        <v>0.28252529618541056</v>
      </c>
    </row>
    <row r="30" spans="2:8">
      <c r="B30" s="20">
        <v>36617</v>
      </c>
      <c r="C30" s="7">
        <v>1389.81</v>
      </c>
      <c r="D30" s="10">
        <f t="shared" si="1"/>
        <v>-0.17434413763604395</v>
      </c>
      <c r="F30" s="2">
        <f t="shared" si="2"/>
        <v>2025</v>
      </c>
      <c r="G30" s="21">
        <f t="shared" si="0"/>
        <v>25778.28</v>
      </c>
      <c r="H30" s="11">
        <f t="shared" si="3"/>
        <v>3.7036535415152727E-2</v>
      </c>
    </row>
    <row r="31" spans="2:8">
      <c r="B31" s="20">
        <v>36647</v>
      </c>
      <c r="C31" s="7">
        <v>1251.05</v>
      </c>
      <c r="D31" s="10">
        <f t="shared" si="1"/>
        <v>-9.9840985458443998E-2</v>
      </c>
    </row>
    <row r="32" spans="2:8">
      <c r="B32" s="20">
        <v>36678</v>
      </c>
      <c r="C32" s="7">
        <v>1390.29</v>
      </c>
      <c r="D32" s="10">
        <f t="shared" si="1"/>
        <v>0.11129850925222806</v>
      </c>
    </row>
    <row r="33" spans="2:4">
      <c r="B33" s="20">
        <v>36708</v>
      </c>
      <c r="C33" s="7">
        <v>1248.8900000000001</v>
      </c>
      <c r="D33" s="10">
        <f t="shared" si="1"/>
        <v>-0.1017053995928906</v>
      </c>
    </row>
    <row r="34" spans="2:4">
      <c r="B34" s="20">
        <v>36739</v>
      </c>
      <c r="C34" s="7">
        <v>1337.52</v>
      </c>
      <c r="D34" s="10">
        <f t="shared" si="1"/>
        <v>7.0967018712616792E-2</v>
      </c>
    </row>
    <row r="35" spans="2:4">
      <c r="B35" s="20">
        <v>36770</v>
      </c>
      <c r="C35" s="7">
        <v>1203.8900000000001</v>
      </c>
      <c r="D35" s="10">
        <f t="shared" si="1"/>
        <v>-9.9908786410670358E-2</v>
      </c>
    </row>
    <row r="36" spans="2:4">
      <c r="B36" s="20">
        <v>36800</v>
      </c>
      <c r="C36" s="7">
        <v>1111.8499999999999</v>
      </c>
      <c r="D36" s="10">
        <f t="shared" si="1"/>
        <v>-7.6452167556836703E-2</v>
      </c>
    </row>
    <row r="37" spans="2:4">
      <c r="B37" s="20">
        <v>36831</v>
      </c>
      <c r="C37" s="7">
        <v>1195.48</v>
      </c>
      <c r="D37" s="10">
        <f t="shared" si="1"/>
        <v>7.521698070782934E-2</v>
      </c>
    </row>
    <row r="38" spans="2:4">
      <c r="B38" s="20">
        <v>36861</v>
      </c>
      <c r="C38" s="7">
        <v>1178.68</v>
      </c>
      <c r="D38" s="10">
        <f t="shared" si="1"/>
        <v>-1.4052932713219723E-2</v>
      </c>
    </row>
    <row r="39" spans="2:4">
      <c r="B39" s="20">
        <v>36892</v>
      </c>
      <c r="C39" s="7">
        <v>1281.4000000000001</v>
      </c>
      <c r="D39" s="10">
        <f t="shared" si="1"/>
        <v>8.7148335426069812E-2</v>
      </c>
    </row>
    <row r="40" spans="2:4">
      <c r="B40" s="20">
        <v>36923</v>
      </c>
      <c r="C40" s="7">
        <v>1241.04</v>
      </c>
      <c r="D40" s="10">
        <f t="shared" si="1"/>
        <v>-3.149680037459035E-2</v>
      </c>
    </row>
    <row r="41" spans="2:4">
      <c r="B41" s="20">
        <v>36951</v>
      </c>
      <c r="C41" s="7">
        <v>981.19</v>
      </c>
      <c r="D41" s="10">
        <f t="shared" si="1"/>
        <v>-0.20938084187455674</v>
      </c>
    </row>
    <row r="42" spans="2:4">
      <c r="B42" s="20">
        <v>36982</v>
      </c>
      <c r="C42" s="7">
        <v>975.57</v>
      </c>
      <c r="D42" s="10">
        <f t="shared" si="1"/>
        <v>-5.7277387661920365E-3</v>
      </c>
    </row>
    <row r="43" spans="2:4">
      <c r="B43" s="20">
        <v>37012</v>
      </c>
      <c r="C43" s="7">
        <v>1022.74</v>
      </c>
      <c r="D43" s="10">
        <f t="shared" si="1"/>
        <v>4.8351220312227605E-2</v>
      </c>
    </row>
    <row r="44" spans="2:4">
      <c r="B44" s="20">
        <v>37043</v>
      </c>
      <c r="C44" s="7">
        <v>945.41</v>
      </c>
      <c r="D44" s="10">
        <f t="shared" si="1"/>
        <v>-7.5610614623462524E-2</v>
      </c>
    </row>
    <row r="45" spans="2:4">
      <c r="B45" s="20">
        <v>37073</v>
      </c>
      <c r="C45" s="7">
        <v>907.39</v>
      </c>
      <c r="D45" s="10">
        <f t="shared" si="1"/>
        <v>-4.0215356300441041E-2</v>
      </c>
    </row>
    <row r="46" spans="2:4">
      <c r="B46" s="20">
        <v>37104</v>
      </c>
      <c r="C46" s="7">
        <v>890.14</v>
      </c>
      <c r="D46" s="10">
        <f t="shared" si="1"/>
        <v>-1.9010568774176506E-2</v>
      </c>
    </row>
    <row r="47" spans="2:4">
      <c r="B47" s="20">
        <v>37135</v>
      </c>
      <c r="C47" s="7">
        <v>761.25</v>
      </c>
      <c r="D47" s="10">
        <f t="shared" si="1"/>
        <v>-0.14479744759251356</v>
      </c>
    </row>
    <row r="48" spans="2:4">
      <c r="B48" s="20">
        <v>37165</v>
      </c>
      <c r="C48" s="7">
        <v>805.72</v>
      </c>
      <c r="D48" s="10">
        <f t="shared" si="1"/>
        <v>5.8417077175697996E-2</v>
      </c>
    </row>
    <row r="49" spans="2:4">
      <c r="B49" s="20">
        <v>37196</v>
      </c>
      <c r="C49" s="7">
        <v>903.07</v>
      </c>
      <c r="D49" s="10">
        <f t="shared" si="1"/>
        <v>0.12082361118006268</v>
      </c>
    </row>
    <row r="50" spans="2:4">
      <c r="B50" s="20">
        <v>37226</v>
      </c>
      <c r="C50" s="7">
        <v>903.19</v>
      </c>
      <c r="D50" s="10">
        <f t="shared" si="1"/>
        <v>1.3288006466827262E-4</v>
      </c>
    </row>
    <row r="51" spans="2:4">
      <c r="B51" s="20">
        <v>37257</v>
      </c>
      <c r="C51" s="7">
        <v>923.52</v>
      </c>
      <c r="D51" s="10">
        <f t="shared" si="1"/>
        <v>2.2509106611011909E-2</v>
      </c>
    </row>
    <row r="52" spans="2:4">
      <c r="B52" s="20">
        <v>37288</v>
      </c>
      <c r="C52" s="7">
        <v>990.48</v>
      </c>
      <c r="D52" s="10">
        <f t="shared" si="1"/>
        <v>7.2505197505197572E-2</v>
      </c>
    </row>
    <row r="53" spans="2:4">
      <c r="B53" s="20">
        <v>37316</v>
      </c>
      <c r="C53" s="7">
        <v>995.44</v>
      </c>
      <c r="D53" s="10">
        <f t="shared" si="1"/>
        <v>5.0076730474113429E-3</v>
      </c>
    </row>
    <row r="54" spans="2:4">
      <c r="B54" s="20">
        <v>37347</v>
      </c>
      <c r="C54" s="7">
        <v>969.55</v>
      </c>
      <c r="D54" s="10">
        <f t="shared" si="1"/>
        <v>-2.6008599212408723E-2</v>
      </c>
    </row>
    <row r="55" spans="2:4">
      <c r="B55" s="20">
        <v>37377</v>
      </c>
      <c r="C55" s="7">
        <v>926.09</v>
      </c>
      <c r="D55" s="10">
        <f t="shared" si="1"/>
        <v>-4.4824918776751987E-2</v>
      </c>
    </row>
    <row r="56" spans="2:4">
      <c r="B56" s="20">
        <v>37408</v>
      </c>
      <c r="C56" s="7">
        <v>957.2</v>
      </c>
      <c r="D56" s="10">
        <f t="shared" si="1"/>
        <v>3.359284734745005E-2</v>
      </c>
    </row>
    <row r="57" spans="2:4">
      <c r="B57" s="20">
        <v>37438</v>
      </c>
      <c r="C57" s="7">
        <v>873.61</v>
      </c>
      <c r="D57" s="10">
        <f t="shared" si="1"/>
        <v>-8.7327622231508584E-2</v>
      </c>
    </row>
    <row r="58" spans="2:4">
      <c r="B58" s="20">
        <v>37469</v>
      </c>
      <c r="C58" s="7">
        <v>916.72</v>
      </c>
      <c r="D58" s="10">
        <f t="shared" si="1"/>
        <v>4.9346962603450173E-2</v>
      </c>
    </row>
    <row r="59" spans="2:4">
      <c r="B59" s="20">
        <v>37500</v>
      </c>
      <c r="C59" s="7">
        <v>854.85</v>
      </c>
      <c r="D59" s="10">
        <f t="shared" si="1"/>
        <v>-6.7490618727637619E-2</v>
      </c>
    </row>
    <row r="60" spans="2:4">
      <c r="B60" s="20">
        <v>37530</v>
      </c>
      <c r="C60" s="7">
        <v>846.09</v>
      </c>
      <c r="D60" s="10">
        <f t="shared" si="1"/>
        <v>-1.0247411826636244E-2</v>
      </c>
    </row>
    <row r="61" spans="2:4">
      <c r="B61" s="20">
        <v>37561</v>
      </c>
      <c r="C61" s="7">
        <v>924.54</v>
      </c>
      <c r="D61" s="10">
        <f t="shared" si="1"/>
        <v>9.2720632556820171E-2</v>
      </c>
    </row>
    <row r="62" spans="2:4">
      <c r="B62" s="20">
        <v>37591</v>
      </c>
      <c r="C62" s="7">
        <v>965.51</v>
      </c>
      <c r="D62" s="10">
        <f t="shared" si="1"/>
        <v>4.4313929089060622E-2</v>
      </c>
    </row>
    <row r="63" spans="2:4">
      <c r="B63" s="20">
        <v>37622</v>
      </c>
      <c r="C63" s="7">
        <v>928.5</v>
      </c>
      <c r="D63" s="10">
        <f t="shared" si="1"/>
        <v>-3.8332073204834782E-2</v>
      </c>
    </row>
    <row r="64" spans="2:4">
      <c r="B64" s="20">
        <v>37653</v>
      </c>
      <c r="C64" s="7">
        <v>944.66</v>
      </c>
      <c r="D64" s="10">
        <f t="shared" si="1"/>
        <v>1.7404415724286526E-2</v>
      </c>
    </row>
    <row r="65" spans="2:4">
      <c r="B65" s="20">
        <v>37681</v>
      </c>
      <c r="C65" s="7">
        <v>870.42</v>
      </c>
      <c r="D65" s="10">
        <f t="shared" si="1"/>
        <v>-7.8589122012152512E-2</v>
      </c>
    </row>
    <row r="66" spans="2:4">
      <c r="B66" s="20">
        <v>37712</v>
      </c>
      <c r="C66" s="7">
        <v>852.78</v>
      </c>
      <c r="D66" s="10">
        <f t="shared" si="1"/>
        <v>-2.0266078444888702E-2</v>
      </c>
    </row>
    <row r="67" spans="2:4">
      <c r="B67" s="20">
        <v>37742</v>
      </c>
      <c r="C67" s="7">
        <v>952.04</v>
      </c>
      <c r="D67" s="10">
        <f t="shared" si="1"/>
        <v>0.1163957878937123</v>
      </c>
    </row>
    <row r="68" spans="2:4">
      <c r="B68" s="20">
        <v>37773</v>
      </c>
      <c r="C68" s="7">
        <v>1055.23</v>
      </c>
      <c r="D68" s="10">
        <f t="shared" si="1"/>
        <v>0.10838830301247859</v>
      </c>
    </row>
    <row r="69" spans="2:4">
      <c r="B69" s="20">
        <v>37803</v>
      </c>
      <c r="C69" s="7">
        <v>1098.2</v>
      </c>
      <c r="D69" s="10">
        <f t="shared" ref="D69:D132" si="4">C69/C68-1</f>
        <v>4.0720980260227746E-2</v>
      </c>
    </row>
    <row r="70" spans="2:4">
      <c r="B70" s="20">
        <v>37834</v>
      </c>
      <c r="C70" s="7">
        <v>1292.97</v>
      </c>
      <c r="D70" s="10">
        <f t="shared" si="4"/>
        <v>0.17735385175742113</v>
      </c>
    </row>
    <row r="71" spans="2:4">
      <c r="B71" s="20">
        <v>37865</v>
      </c>
      <c r="C71" s="7">
        <v>1342.48</v>
      </c>
      <c r="D71" s="10">
        <f t="shared" si="4"/>
        <v>3.8291685035229062E-2</v>
      </c>
    </row>
    <row r="72" spans="2:4">
      <c r="B72" s="20">
        <v>37895</v>
      </c>
      <c r="C72" s="7">
        <v>1441.55</v>
      </c>
      <c r="D72" s="10">
        <f t="shared" si="4"/>
        <v>7.3796257672367416E-2</v>
      </c>
    </row>
    <row r="73" spans="2:4">
      <c r="B73" s="20">
        <v>37926</v>
      </c>
      <c r="C73" s="7">
        <v>1504.72</v>
      </c>
      <c r="D73" s="10">
        <f t="shared" si="4"/>
        <v>4.3820887239429895E-2</v>
      </c>
    </row>
    <row r="74" spans="2:4">
      <c r="B74" s="20">
        <v>37956</v>
      </c>
      <c r="C74" s="7">
        <v>1783.42</v>
      </c>
      <c r="D74" s="10">
        <f t="shared" si="4"/>
        <v>0.18521718326333136</v>
      </c>
    </row>
    <row r="75" spans="2:4">
      <c r="B75" s="20">
        <v>37987</v>
      </c>
      <c r="C75" s="7">
        <v>1708.76</v>
      </c>
      <c r="D75" s="10">
        <f t="shared" si="4"/>
        <v>-4.1863386078433651E-2</v>
      </c>
    </row>
    <row r="76" spans="2:4">
      <c r="B76" s="20">
        <v>38018</v>
      </c>
      <c r="C76" s="7">
        <v>1695.91</v>
      </c>
      <c r="D76" s="10">
        <f t="shared" si="4"/>
        <v>-7.5200730354174627E-3</v>
      </c>
    </row>
    <row r="77" spans="2:4">
      <c r="B77" s="20">
        <v>38047</v>
      </c>
      <c r="C77" s="7">
        <v>1720.46</v>
      </c>
      <c r="D77" s="10">
        <f t="shared" si="4"/>
        <v>1.4476004033232792E-2</v>
      </c>
    </row>
    <row r="78" spans="2:4">
      <c r="B78" s="20">
        <v>38078</v>
      </c>
      <c r="C78" s="7">
        <v>1754.58</v>
      </c>
      <c r="D78" s="10">
        <f t="shared" si="4"/>
        <v>1.9831905420643281E-2</v>
      </c>
    </row>
    <row r="79" spans="2:4">
      <c r="B79" s="20">
        <v>38108</v>
      </c>
      <c r="C79" s="7">
        <v>1464.7</v>
      </c>
      <c r="D79" s="10">
        <f t="shared" si="4"/>
        <v>-0.16521332740598882</v>
      </c>
    </row>
    <row r="80" spans="2:4">
      <c r="B80" s="20">
        <v>38139</v>
      </c>
      <c r="C80" s="7">
        <v>1485.47</v>
      </c>
      <c r="D80" s="10">
        <f t="shared" si="4"/>
        <v>1.418037823445073E-2</v>
      </c>
    </row>
    <row r="81" spans="2:4">
      <c r="B81" s="20">
        <v>38169</v>
      </c>
      <c r="C81" s="7">
        <v>1598.03</v>
      </c>
      <c r="D81" s="10">
        <f t="shared" si="4"/>
        <v>7.577399745535085E-2</v>
      </c>
    </row>
    <row r="82" spans="2:4">
      <c r="B82" s="20">
        <v>38200</v>
      </c>
      <c r="C82" s="7">
        <v>1617.66</v>
      </c>
      <c r="D82" s="10">
        <f t="shared" si="4"/>
        <v>1.2283874520503391E-2</v>
      </c>
    </row>
    <row r="83" spans="2:4">
      <c r="B83" s="20">
        <v>38231</v>
      </c>
      <c r="C83" s="7">
        <v>1738.82</v>
      </c>
      <c r="D83" s="10">
        <f t="shared" si="4"/>
        <v>7.4898309904429805E-2</v>
      </c>
    </row>
    <row r="84" spans="2:4">
      <c r="B84" s="20">
        <v>38261</v>
      </c>
      <c r="C84" s="7">
        <v>1756.22</v>
      </c>
      <c r="D84" s="10">
        <f t="shared" si="4"/>
        <v>1.0006786211338881E-2</v>
      </c>
    </row>
    <row r="85" spans="2:4">
      <c r="B85" s="20">
        <v>38292</v>
      </c>
      <c r="C85" s="7">
        <v>1937.06</v>
      </c>
      <c r="D85" s="10">
        <f t="shared" si="4"/>
        <v>0.10297115395565481</v>
      </c>
    </row>
    <row r="86" spans="2:4">
      <c r="B86" s="20">
        <v>38322</v>
      </c>
      <c r="C86" s="7">
        <v>2076.6</v>
      </c>
      <c r="D86" s="10">
        <f t="shared" si="4"/>
        <v>7.2037004532642168E-2</v>
      </c>
    </row>
    <row r="87" spans="2:4">
      <c r="B87" s="20">
        <v>38353</v>
      </c>
      <c r="C87" s="7">
        <v>2042.59</v>
      </c>
      <c r="D87" s="10">
        <f t="shared" si="4"/>
        <v>-1.6377732832514647E-2</v>
      </c>
    </row>
    <row r="88" spans="2:4">
      <c r="B88" s="20">
        <v>38384</v>
      </c>
      <c r="C88" s="7">
        <v>2094.9</v>
      </c>
      <c r="D88" s="10">
        <f t="shared" si="4"/>
        <v>2.5609642659564669E-2</v>
      </c>
    </row>
    <row r="89" spans="2:4">
      <c r="B89" s="20">
        <v>38412</v>
      </c>
      <c r="C89" s="7">
        <v>2019.48</v>
      </c>
      <c r="D89" s="10">
        <f t="shared" si="4"/>
        <v>-3.600171845911504E-2</v>
      </c>
    </row>
    <row r="90" spans="2:4">
      <c r="B90" s="20">
        <v>38443</v>
      </c>
      <c r="C90" s="7">
        <v>1921.8</v>
      </c>
      <c r="D90" s="10">
        <f t="shared" si="4"/>
        <v>-4.8368887040228237E-2</v>
      </c>
    </row>
    <row r="91" spans="2:4">
      <c r="B91" s="20">
        <v>38473</v>
      </c>
      <c r="C91" s="7">
        <v>2089</v>
      </c>
      <c r="D91" s="10">
        <f t="shared" si="4"/>
        <v>8.7001769174732013E-2</v>
      </c>
    </row>
    <row r="92" spans="2:4">
      <c r="B92" s="20">
        <v>38504</v>
      </c>
      <c r="C92" s="7">
        <v>2204.14</v>
      </c>
      <c r="D92" s="10">
        <f t="shared" si="4"/>
        <v>5.5117280995691686E-2</v>
      </c>
    </row>
    <row r="93" spans="2:4">
      <c r="B93" s="20">
        <v>38534</v>
      </c>
      <c r="C93" s="7">
        <v>2361.85</v>
      </c>
      <c r="D93" s="10">
        <f t="shared" si="4"/>
        <v>7.1551716315660485E-2</v>
      </c>
    </row>
    <row r="94" spans="2:4">
      <c r="B94" s="20">
        <v>38565</v>
      </c>
      <c r="C94" s="7">
        <v>2427.1999999999998</v>
      </c>
      <c r="D94" s="10">
        <f t="shared" si="4"/>
        <v>2.7668988293075403E-2</v>
      </c>
    </row>
    <row r="95" spans="2:4">
      <c r="B95" s="20">
        <v>38596</v>
      </c>
      <c r="C95" s="7">
        <v>2648.65</v>
      </c>
      <c r="D95" s="10">
        <f t="shared" si="4"/>
        <v>9.1236816084377281E-2</v>
      </c>
    </row>
    <row r="96" spans="2:4">
      <c r="B96" s="20">
        <v>38626</v>
      </c>
      <c r="C96" s="7">
        <v>2412.56</v>
      </c>
      <c r="D96" s="10">
        <f t="shared" si="4"/>
        <v>-8.9135974930625084E-2</v>
      </c>
    </row>
    <row r="97" spans="2:4">
      <c r="B97" s="20">
        <v>38657</v>
      </c>
      <c r="C97" s="7">
        <v>2696.92</v>
      </c>
      <c r="D97" s="10">
        <f t="shared" si="4"/>
        <v>0.11786649865702836</v>
      </c>
    </row>
    <row r="98" spans="2:4">
      <c r="B98" s="20">
        <v>38687</v>
      </c>
      <c r="C98" s="7">
        <v>2872.9</v>
      </c>
      <c r="D98" s="10">
        <f t="shared" si="4"/>
        <v>6.5252213636296297E-2</v>
      </c>
    </row>
    <row r="99" spans="2:4">
      <c r="B99" s="20">
        <v>38718</v>
      </c>
      <c r="C99" s="7">
        <v>3030.48</v>
      </c>
      <c r="D99" s="10">
        <f t="shared" si="4"/>
        <v>5.4850499495283422E-2</v>
      </c>
    </row>
    <row r="100" spans="2:4">
      <c r="B100" s="20">
        <v>38749</v>
      </c>
      <c r="C100" s="7">
        <v>3145.15</v>
      </c>
      <c r="D100" s="10">
        <f t="shared" si="4"/>
        <v>3.7838890208811815E-2</v>
      </c>
    </row>
    <row r="101" spans="2:4">
      <c r="B101" s="20">
        <v>38777</v>
      </c>
      <c r="C101" s="7">
        <v>3424.42</v>
      </c>
      <c r="D101" s="10">
        <f t="shared" si="4"/>
        <v>8.879385720871813E-2</v>
      </c>
    </row>
    <row r="102" spans="2:4">
      <c r="B102" s="20">
        <v>38808</v>
      </c>
      <c r="C102" s="7">
        <v>3625.81</v>
      </c>
      <c r="D102" s="10">
        <f t="shared" si="4"/>
        <v>5.8809959058760297E-2</v>
      </c>
    </row>
    <row r="103" spans="2:4">
      <c r="B103" s="20">
        <v>38838</v>
      </c>
      <c r="C103" s="7">
        <v>3123.42</v>
      </c>
      <c r="D103" s="10">
        <f t="shared" si="4"/>
        <v>-0.13855938397213308</v>
      </c>
    </row>
    <row r="104" spans="2:4">
      <c r="B104" s="20">
        <v>38869</v>
      </c>
      <c r="C104" s="7">
        <v>3121.62</v>
      </c>
      <c r="D104" s="10">
        <f t="shared" si="4"/>
        <v>-5.7629137291825838E-4</v>
      </c>
    </row>
    <row r="105" spans="2:4">
      <c r="B105" s="20">
        <v>38899</v>
      </c>
      <c r="C105" s="7">
        <v>3144.99</v>
      </c>
      <c r="D105" s="10">
        <f t="shared" si="4"/>
        <v>7.4864973955830472E-3</v>
      </c>
    </row>
    <row r="106" spans="2:4">
      <c r="B106" s="20">
        <v>38930</v>
      </c>
      <c r="C106" s="7">
        <v>3441.59</v>
      </c>
      <c r="D106" s="10">
        <f t="shared" si="4"/>
        <v>9.43087259418951E-2</v>
      </c>
    </row>
    <row r="107" spans="2:4">
      <c r="B107" s="20">
        <v>38961</v>
      </c>
      <c r="C107" s="7">
        <v>3670.43</v>
      </c>
      <c r="D107" s="10">
        <f t="shared" si="4"/>
        <v>6.6492522351587313E-2</v>
      </c>
    </row>
    <row r="108" spans="2:4">
      <c r="B108" s="20">
        <v>38991</v>
      </c>
      <c r="C108" s="7">
        <v>3830.09</v>
      </c>
      <c r="D108" s="10">
        <f t="shared" si="4"/>
        <v>4.3498990581485097E-2</v>
      </c>
    </row>
    <row r="109" spans="2:4">
      <c r="B109" s="20">
        <v>39022</v>
      </c>
      <c r="C109" s="7">
        <v>4020.01</v>
      </c>
      <c r="D109" s="10">
        <f t="shared" si="4"/>
        <v>4.9586302149557948E-2</v>
      </c>
    </row>
    <row r="110" spans="2:4">
      <c r="B110" s="20">
        <v>39052</v>
      </c>
      <c r="C110" s="7">
        <v>4049.88</v>
      </c>
      <c r="D110" s="10">
        <f t="shared" si="4"/>
        <v>7.430329775299116E-3</v>
      </c>
    </row>
    <row r="111" spans="2:4">
      <c r="B111" s="20">
        <v>39083</v>
      </c>
      <c r="C111" s="7">
        <v>4144.63</v>
      </c>
      <c r="D111" s="10">
        <f t="shared" si="4"/>
        <v>2.3395754935948698E-2</v>
      </c>
    </row>
    <row r="112" spans="2:4">
      <c r="B112" s="20">
        <v>39114</v>
      </c>
      <c r="C112" s="7">
        <v>3785.73</v>
      </c>
      <c r="D112" s="10">
        <f t="shared" si="4"/>
        <v>-8.6593978232073821E-2</v>
      </c>
    </row>
    <row r="113" spans="2:4">
      <c r="B113" s="20">
        <v>39142</v>
      </c>
      <c r="C113" s="7">
        <v>3820.58</v>
      </c>
      <c r="D113" s="10">
        <f t="shared" si="4"/>
        <v>9.2056221653418202E-3</v>
      </c>
    </row>
    <row r="114" spans="2:4">
      <c r="B114" s="20">
        <v>39173</v>
      </c>
      <c r="C114" s="7">
        <v>4079.1</v>
      </c>
      <c r="D114" s="10">
        <f t="shared" si="4"/>
        <v>6.7665118908647459E-2</v>
      </c>
    </row>
    <row r="115" spans="2:4">
      <c r="B115" s="20">
        <v>39203</v>
      </c>
      <c r="C115" s="7">
        <v>4331.8500000000004</v>
      </c>
      <c r="D115" s="10">
        <f t="shared" si="4"/>
        <v>6.1962197543575792E-2</v>
      </c>
    </row>
    <row r="116" spans="2:4">
      <c r="B116" s="20">
        <v>39234</v>
      </c>
      <c r="C116" s="7">
        <v>4411.1099999999997</v>
      </c>
      <c r="D116" s="10">
        <f t="shared" si="4"/>
        <v>1.8297032445721673E-2</v>
      </c>
    </row>
    <row r="117" spans="2:4">
      <c r="B117" s="20">
        <v>39264</v>
      </c>
      <c r="C117" s="7">
        <v>4642.3500000000004</v>
      </c>
      <c r="D117" s="10">
        <f t="shared" si="4"/>
        <v>5.2422179451430795E-2</v>
      </c>
    </row>
    <row r="118" spans="2:4">
      <c r="B118" s="20">
        <v>39295</v>
      </c>
      <c r="C118" s="7">
        <v>4557.41</v>
      </c>
      <c r="D118" s="10">
        <f t="shared" si="4"/>
        <v>-1.8296767800790703E-2</v>
      </c>
    </row>
    <row r="119" spans="2:4">
      <c r="B119" s="20">
        <v>39326</v>
      </c>
      <c r="C119" s="7">
        <v>5201.1000000000004</v>
      </c>
      <c r="D119" s="10">
        <f t="shared" si="4"/>
        <v>0.14124030973732893</v>
      </c>
    </row>
    <row r="120" spans="2:4">
      <c r="B120" s="20">
        <v>39356</v>
      </c>
      <c r="C120" s="7">
        <v>6026.89</v>
      </c>
      <c r="D120" s="10">
        <f t="shared" si="4"/>
        <v>0.15877218280748306</v>
      </c>
    </row>
    <row r="121" spans="2:4">
      <c r="B121" s="20">
        <v>39387</v>
      </c>
      <c r="C121" s="7">
        <v>6022.95</v>
      </c>
      <c r="D121" s="10">
        <f t="shared" si="4"/>
        <v>-6.5373683607972133E-4</v>
      </c>
    </row>
    <row r="122" spans="2:4">
      <c r="B122" s="20">
        <v>39417</v>
      </c>
      <c r="C122" s="7">
        <v>6469.48</v>
      </c>
      <c r="D122" s="10">
        <f t="shared" si="4"/>
        <v>7.4138088478237441E-2</v>
      </c>
    </row>
    <row r="123" spans="2:4">
      <c r="B123" s="20">
        <v>39448</v>
      </c>
      <c r="C123" s="7">
        <v>5475.75</v>
      </c>
      <c r="D123" s="10">
        <f t="shared" si="4"/>
        <v>-0.15360276250950611</v>
      </c>
    </row>
    <row r="124" spans="2:4">
      <c r="B124" s="20">
        <v>39479</v>
      </c>
      <c r="C124" s="7">
        <v>5454.89</v>
      </c>
      <c r="D124" s="10">
        <f t="shared" si="4"/>
        <v>-3.8095238095237072E-3</v>
      </c>
    </row>
    <row r="125" spans="2:4">
      <c r="B125" s="20">
        <v>39508</v>
      </c>
      <c r="C125" s="7">
        <v>4775.04</v>
      </c>
      <c r="D125" s="10">
        <f t="shared" si="4"/>
        <v>-0.12463129412325458</v>
      </c>
    </row>
    <row r="126" spans="2:4">
      <c r="B126" s="20">
        <v>39539</v>
      </c>
      <c r="C126" s="7">
        <v>5335.69</v>
      </c>
      <c r="D126" s="10">
        <f t="shared" si="4"/>
        <v>0.11741262900415483</v>
      </c>
    </row>
    <row r="127" spans="2:4">
      <c r="B127" s="20">
        <v>39569</v>
      </c>
      <c r="C127" s="7">
        <v>5036.3</v>
      </c>
      <c r="D127" s="10">
        <f t="shared" si="4"/>
        <v>-5.611083102654002E-2</v>
      </c>
    </row>
    <row r="128" spans="2:4">
      <c r="B128" s="20">
        <v>39600</v>
      </c>
      <c r="C128" s="7">
        <v>4077.25</v>
      </c>
      <c r="D128" s="10">
        <f t="shared" si="4"/>
        <v>-0.19042749637630807</v>
      </c>
    </row>
    <row r="129" spans="2:4">
      <c r="B129" s="20">
        <v>39630</v>
      </c>
      <c r="C129" s="7">
        <v>4343.32</v>
      </c>
      <c r="D129" s="10">
        <f t="shared" si="4"/>
        <v>6.5257219939910405E-2</v>
      </c>
    </row>
    <row r="130" spans="2:4">
      <c r="B130" s="20">
        <v>39661</v>
      </c>
      <c r="C130" s="7">
        <v>4420.41</v>
      </c>
      <c r="D130" s="10">
        <f t="shared" si="4"/>
        <v>1.7749095162226114E-2</v>
      </c>
    </row>
    <row r="131" spans="2:4">
      <c r="B131" s="20">
        <v>39692</v>
      </c>
      <c r="C131" s="7">
        <v>3881.11</v>
      </c>
      <c r="D131" s="10">
        <f t="shared" si="4"/>
        <v>-0.12200225770912643</v>
      </c>
    </row>
    <row r="132" spans="2:4">
      <c r="B132" s="20">
        <v>39722</v>
      </c>
      <c r="C132" s="7">
        <v>2873.31</v>
      </c>
      <c r="D132" s="10">
        <f t="shared" si="4"/>
        <v>-0.25966798158258853</v>
      </c>
    </row>
    <row r="133" spans="2:4">
      <c r="B133" s="20">
        <v>39753</v>
      </c>
      <c r="C133" s="7">
        <v>2668.26</v>
      </c>
      <c r="D133" s="10">
        <f t="shared" ref="D133:D196" si="5">C133/C132-1</f>
        <v>-7.1363688568236494E-2</v>
      </c>
    </row>
    <row r="134" spans="2:4">
      <c r="B134" s="20">
        <v>39783</v>
      </c>
      <c r="C134" s="7">
        <v>2893.06</v>
      </c>
      <c r="D134" s="10">
        <f t="shared" si="5"/>
        <v>8.4249660827655282E-2</v>
      </c>
    </row>
    <row r="135" spans="2:4">
      <c r="B135" s="20">
        <v>39814</v>
      </c>
      <c r="C135" s="7">
        <v>2778.39</v>
      </c>
      <c r="D135" s="10">
        <f t="shared" si="5"/>
        <v>-3.9636232916012815E-2</v>
      </c>
    </row>
    <row r="136" spans="2:4">
      <c r="B136" s="20">
        <v>39845</v>
      </c>
      <c r="C136" s="7">
        <v>2619.5</v>
      </c>
      <c r="D136" s="10">
        <f t="shared" si="5"/>
        <v>-5.7187795809803488E-2</v>
      </c>
    </row>
    <row r="137" spans="2:4">
      <c r="B137" s="20">
        <v>39873</v>
      </c>
      <c r="C137" s="7">
        <v>2866.66</v>
      </c>
      <c r="D137" s="10">
        <f t="shared" si="5"/>
        <v>9.4353884329070326E-2</v>
      </c>
    </row>
    <row r="138" spans="2:4">
      <c r="B138" s="20">
        <v>39904</v>
      </c>
      <c r="C138" s="7">
        <v>3366.3</v>
      </c>
      <c r="D138" s="10">
        <f t="shared" si="5"/>
        <v>0.17429342858936892</v>
      </c>
    </row>
    <row r="139" spans="2:4">
      <c r="B139" s="20">
        <v>39934</v>
      </c>
      <c r="C139" s="7">
        <v>4419.68</v>
      </c>
      <c r="D139" s="10">
        <f t="shared" si="5"/>
        <v>0.31291922882690204</v>
      </c>
    </row>
    <row r="140" spans="2:4">
      <c r="B140" s="20">
        <v>39965</v>
      </c>
      <c r="C140" s="7">
        <v>4391.46</v>
      </c>
      <c r="D140" s="10">
        <f t="shared" si="5"/>
        <v>-6.3850776526808151E-3</v>
      </c>
    </row>
    <row r="141" spans="2:4">
      <c r="B141" s="20">
        <v>39995</v>
      </c>
      <c r="C141" s="7">
        <v>4742.3900000000003</v>
      </c>
      <c r="D141" s="10">
        <f t="shared" si="5"/>
        <v>7.9911919953728372E-2</v>
      </c>
    </row>
    <row r="142" spans="2:4">
      <c r="B142" s="20">
        <v>40026</v>
      </c>
      <c r="C142" s="7">
        <v>4770.79</v>
      </c>
      <c r="D142" s="10">
        <f t="shared" si="5"/>
        <v>5.9885416425051741E-3</v>
      </c>
    </row>
    <row r="143" spans="2:4">
      <c r="B143" s="20">
        <v>40057</v>
      </c>
      <c r="C143" s="7">
        <v>5179.58</v>
      </c>
      <c r="D143" s="10">
        <f t="shared" si="5"/>
        <v>8.568601845815893E-2</v>
      </c>
    </row>
    <row r="144" spans="2:4">
      <c r="B144" s="20">
        <v>40087</v>
      </c>
      <c r="C144" s="7">
        <v>4833.24</v>
      </c>
      <c r="D144" s="10">
        <f t="shared" si="5"/>
        <v>-6.6866425463068424E-2</v>
      </c>
    </row>
    <row r="145" spans="2:4">
      <c r="B145" s="20">
        <v>40118</v>
      </c>
      <c r="C145" s="7">
        <v>5170.57</v>
      </c>
      <c r="D145" s="10">
        <f t="shared" si="5"/>
        <v>6.9793761534705512E-2</v>
      </c>
    </row>
    <row r="146" spans="2:4">
      <c r="B146" s="20">
        <v>40148</v>
      </c>
      <c r="C146" s="7">
        <v>5353.23</v>
      </c>
      <c r="D146" s="10">
        <f t="shared" si="5"/>
        <v>3.5326859514521525E-2</v>
      </c>
    </row>
    <row r="147" spans="2:4">
      <c r="B147" s="20">
        <v>40179</v>
      </c>
      <c r="C147" s="7">
        <v>5050.54</v>
      </c>
      <c r="D147" s="10">
        <f t="shared" si="5"/>
        <v>-5.65434326565456E-2</v>
      </c>
    </row>
    <row r="148" spans="2:4">
      <c r="B148" s="20">
        <v>40210</v>
      </c>
      <c r="C148" s="7">
        <v>5079.9399999999996</v>
      </c>
      <c r="D148" s="10">
        <f t="shared" si="5"/>
        <v>5.8211597175745755E-3</v>
      </c>
    </row>
    <row r="149" spans="2:4">
      <c r="B149" s="20">
        <v>40238</v>
      </c>
      <c r="C149" s="7">
        <v>5394.12</v>
      </c>
      <c r="D149" s="10">
        <f t="shared" si="5"/>
        <v>6.184718717150206E-2</v>
      </c>
    </row>
    <row r="150" spans="2:4">
      <c r="B150" s="20">
        <v>40269</v>
      </c>
      <c r="C150" s="7">
        <v>5439.84</v>
      </c>
      <c r="D150" s="10">
        <f t="shared" si="5"/>
        <v>8.4758959756179308E-3</v>
      </c>
    </row>
    <row r="151" spans="2:4">
      <c r="B151" s="20">
        <v>40299</v>
      </c>
      <c r="C151" s="7">
        <v>5243.91</v>
      </c>
      <c r="D151" s="10">
        <f t="shared" si="5"/>
        <v>-3.6017603458925351E-2</v>
      </c>
    </row>
    <row r="152" spans="2:4">
      <c r="B152" s="20">
        <v>40330</v>
      </c>
      <c r="C152" s="7">
        <v>5476.7</v>
      </c>
      <c r="D152" s="10">
        <f t="shared" si="5"/>
        <v>4.4392447620191788E-2</v>
      </c>
    </row>
    <row r="153" spans="2:4">
      <c r="B153" s="20">
        <v>40360</v>
      </c>
      <c r="C153" s="7">
        <v>5542.87</v>
      </c>
      <c r="D153" s="10">
        <f t="shared" si="5"/>
        <v>1.2082093231325475E-2</v>
      </c>
    </row>
    <row r="154" spans="2:4">
      <c r="B154" s="20">
        <v>40391</v>
      </c>
      <c r="C154" s="7">
        <v>5584.08</v>
      </c>
      <c r="D154" s="10">
        <f t="shared" si="5"/>
        <v>7.4347765688171918E-3</v>
      </c>
    </row>
    <row r="155" spans="2:4">
      <c r="B155" s="20">
        <v>40422</v>
      </c>
      <c r="C155" s="7">
        <v>6163.86</v>
      </c>
      <c r="D155" s="10">
        <f t="shared" si="5"/>
        <v>0.10382730906434001</v>
      </c>
    </row>
    <row r="156" spans="2:4">
      <c r="B156" s="20">
        <v>40452</v>
      </c>
      <c r="C156" s="7">
        <v>6171.18</v>
      </c>
      <c r="D156" s="10">
        <f t="shared" si="5"/>
        <v>1.1875675307357891E-3</v>
      </c>
    </row>
    <row r="157" spans="2:4">
      <c r="B157" s="20">
        <v>40483</v>
      </c>
      <c r="C157" s="7">
        <v>5962.87</v>
      </c>
      <c r="D157" s="10">
        <f t="shared" si="5"/>
        <v>-3.3755294773446964E-2</v>
      </c>
    </row>
    <row r="158" spans="2:4">
      <c r="B158" s="20">
        <v>40513</v>
      </c>
      <c r="C158" s="7">
        <v>6191.51</v>
      </c>
      <c r="D158" s="10">
        <f t="shared" si="5"/>
        <v>3.8343951821857569E-2</v>
      </c>
    </row>
    <row r="159" spans="2:4">
      <c r="B159" s="20">
        <v>40544</v>
      </c>
      <c r="C159" s="7">
        <v>5550.03</v>
      </c>
      <c r="D159" s="10">
        <f t="shared" si="5"/>
        <v>-0.10360639004055561</v>
      </c>
    </row>
    <row r="160" spans="2:4">
      <c r="B160" s="20">
        <v>40575</v>
      </c>
      <c r="C160" s="7">
        <v>5370.5</v>
      </c>
      <c r="D160" s="10">
        <f t="shared" si="5"/>
        <v>-3.2347572896002319E-2</v>
      </c>
    </row>
    <row r="161" spans="2:4">
      <c r="B161" s="20">
        <v>40603</v>
      </c>
      <c r="C161" s="7">
        <v>5855.53</v>
      </c>
      <c r="D161" s="10">
        <f t="shared" si="5"/>
        <v>9.0313751047388369E-2</v>
      </c>
    </row>
    <row r="162" spans="2:4">
      <c r="B162" s="20">
        <v>40634</v>
      </c>
      <c r="C162" s="7">
        <v>5795.29</v>
      </c>
      <c r="D162" s="10">
        <f t="shared" si="5"/>
        <v>-1.0287710933083782E-2</v>
      </c>
    </row>
    <row r="163" spans="2:4">
      <c r="B163" s="20">
        <v>40664</v>
      </c>
      <c r="C163" s="7">
        <v>5638.16</v>
      </c>
      <c r="D163" s="10">
        <f t="shared" si="5"/>
        <v>-2.7113397258808458E-2</v>
      </c>
    </row>
    <row r="164" spans="2:4">
      <c r="B164" s="20">
        <v>40695</v>
      </c>
      <c r="C164" s="7">
        <v>5686.26</v>
      </c>
      <c r="D164" s="10">
        <f t="shared" si="5"/>
        <v>8.5311520070379121E-3</v>
      </c>
    </row>
    <row r="165" spans="2:4">
      <c r="B165" s="20">
        <v>40725</v>
      </c>
      <c r="C165" s="7">
        <v>5531.7</v>
      </c>
      <c r="D165" s="10">
        <f t="shared" si="5"/>
        <v>-2.718131073851715E-2</v>
      </c>
    </row>
    <row r="166" spans="2:4">
      <c r="B166" s="20">
        <v>40756</v>
      </c>
      <c r="C166" s="7">
        <v>5062.17</v>
      </c>
      <c r="D166" s="10">
        <f t="shared" si="5"/>
        <v>-8.4879874179727755E-2</v>
      </c>
    </row>
    <row r="167" spans="2:4">
      <c r="B167" s="20">
        <v>40787</v>
      </c>
      <c r="C167" s="7">
        <v>4995.67</v>
      </c>
      <c r="D167" s="10">
        <f t="shared" si="5"/>
        <v>-1.3136658784671407E-2</v>
      </c>
    </row>
    <row r="168" spans="2:4">
      <c r="B168" s="20">
        <v>40817</v>
      </c>
      <c r="C168" s="7">
        <v>5334.14</v>
      </c>
      <c r="D168" s="10">
        <f t="shared" si="5"/>
        <v>6.77526738155243E-2</v>
      </c>
    </row>
    <row r="169" spans="2:4">
      <c r="B169" s="20">
        <v>40848</v>
      </c>
      <c r="C169" s="7">
        <v>4831.7299999999996</v>
      </c>
      <c r="D169" s="10">
        <f t="shared" si="5"/>
        <v>-9.4187629121095573E-2</v>
      </c>
    </row>
    <row r="170" spans="2:4">
      <c r="B170" s="20">
        <v>40878</v>
      </c>
      <c r="C170" s="7">
        <v>4598.21</v>
      </c>
      <c r="D170" s="10">
        <f t="shared" si="5"/>
        <v>-4.8330515157096854E-2</v>
      </c>
    </row>
    <row r="171" spans="2:4">
      <c r="B171" s="20">
        <v>40909</v>
      </c>
      <c r="C171" s="7">
        <v>5202.6499999999996</v>
      </c>
      <c r="D171" s="10">
        <f t="shared" si="5"/>
        <v>0.13145115164379173</v>
      </c>
    </row>
    <row r="172" spans="2:4">
      <c r="B172" s="20">
        <v>40940</v>
      </c>
      <c r="C172" s="7">
        <v>5406.46</v>
      </c>
      <c r="D172" s="10">
        <f t="shared" si="5"/>
        <v>3.9174266960106952E-2</v>
      </c>
    </row>
    <row r="173" spans="2:4">
      <c r="B173" s="20">
        <v>40969</v>
      </c>
      <c r="C173" s="7">
        <v>5315.15</v>
      </c>
      <c r="D173" s="10">
        <f t="shared" si="5"/>
        <v>-1.6889054945380177E-2</v>
      </c>
    </row>
    <row r="174" spans="2:4">
      <c r="B174" s="20">
        <v>41000</v>
      </c>
      <c r="C174" s="7">
        <v>5268.41</v>
      </c>
      <c r="D174" s="10">
        <f t="shared" si="5"/>
        <v>-8.7937311270612772E-3</v>
      </c>
    </row>
    <row r="175" spans="2:4">
      <c r="B175" s="20">
        <v>41030</v>
      </c>
      <c r="C175" s="7">
        <v>4942.13</v>
      </c>
      <c r="D175" s="10">
        <f t="shared" si="5"/>
        <v>-6.1931398657279813E-2</v>
      </c>
    </row>
    <row r="176" spans="2:4">
      <c r="B176" s="20">
        <v>41061</v>
      </c>
      <c r="C176" s="7">
        <v>5279.22</v>
      </c>
      <c r="D176" s="10">
        <f t="shared" si="5"/>
        <v>6.8207432827546155E-2</v>
      </c>
    </row>
    <row r="177" spans="2:4">
      <c r="B177" s="20">
        <v>41091</v>
      </c>
      <c r="C177" s="7">
        <v>5229.16</v>
      </c>
      <c r="D177" s="10">
        <f t="shared" si="5"/>
        <v>-9.4824614242255967E-3</v>
      </c>
    </row>
    <row r="178" spans="2:4">
      <c r="B178" s="20">
        <v>41122</v>
      </c>
      <c r="C178" s="7">
        <v>5251.07</v>
      </c>
      <c r="D178" s="10">
        <f t="shared" si="5"/>
        <v>4.1899655011512493E-3</v>
      </c>
    </row>
    <row r="179" spans="2:4">
      <c r="B179" s="20">
        <v>41153</v>
      </c>
      <c r="C179" s="7">
        <v>5701.39</v>
      </c>
      <c r="D179" s="10">
        <f t="shared" si="5"/>
        <v>8.5757759847040926E-2</v>
      </c>
    </row>
    <row r="180" spans="2:4">
      <c r="B180" s="20">
        <v>41183</v>
      </c>
      <c r="C180" s="7">
        <v>5620.99</v>
      </c>
      <c r="D180" s="10">
        <f t="shared" si="5"/>
        <v>-1.4101824291971043E-2</v>
      </c>
    </row>
    <row r="181" spans="2:4">
      <c r="B181" s="20">
        <v>41214</v>
      </c>
      <c r="C181" s="7">
        <v>5908.97</v>
      </c>
      <c r="D181" s="10">
        <f t="shared" si="5"/>
        <v>5.1232967857975265E-2</v>
      </c>
    </row>
    <row r="182" spans="2:4">
      <c r="B182" s="20">
        <v>41244</v>
      </c>
      <c r="C182" s="7">
        <v>5975.74</v>
      </c>
      <c r="D182" s="10">
        <f t="shared" si="5"/>
        <v>1.1299769672210136E-2</v>
      </c>
    </row>
    <row r="183" spans="2:4">
      <c r="B183" s="20">
        <v>41275</v>
      </c>
      <c r="C183" s="7">
        <v>6091.49</v>
      </c>
      <c r="D183" s="10">
        <f t="shared" si="5"/>
        <v>1.9369985976632087E-2</v>
      </c>
    </row>
    <row r="184" spans="2:4">
      <c r="B184" s="20">
        <v>41306</v>
      </c>
      <c r="C184" s="7">
        <v>5720.1</v>
      </c>
      <c r="D184" s="10">
        <f t="shared" si="5"/>
        <v>-6.0968662839469445E-2</v>
      </c>
    </row>
    <row r="185" spans="2:4">
      <c r="B185" s="20">
        <v>41334</v>
      </c>
      <c r="C185" s="7">
        <v>5678.7</v>
      </c>
      <c r="D185" s="10">
        <f t="shared" si="5"/>
        <v>-7.2376357056695984E-3</v>
      </c>
    </row>
    <row r="186" spans="2:4">
      <c r="B186" s="20">
        <v>41365</v>
      </c>
      <c r="C186" s="7">
        <v>5941.35</v>
      </c>
      <c r="D186" s="10">
        <f t="shared" si="5"/>
        <v>4.6251782978498746E-2</v>
      </c>
    </row>
    <row r="187" spans="2:4">
      <c r="B187" s="20">
        <v>41395</v>
      </c>
      <c r="C187" s="7">
        <v>5991.11</v>
      </c>
      <c r="D187" s="10">
        <f t="shared" si="5"/>
        <v>8.3752009223492241E-3</v>
      </c>
    </row>
    <row r="188" spans="2:4">
      <c r="B188" s="20">
        <v>41426</v>
      </c>
      <c r="C188" s="7">
        <v>5802.3</v>
      </c>
      <c r="D188" s="10">
        <f t="shared" si="5"/>
        <v>-3.151502809996809E-2</v>
      </c>
    </row>
    <row r="189" spans="2:4">
      <c r="B189" s="20">
        <v>41456</v>
      </c>
      <c r="C189" s="7">
        <v>5707.16</v>
      </c>
      <c r="D189" s="10">
        <f t="shared" si="5"/>
        <v>-1.6396946038639948E-2</v>
      </c>
    </row>
    <row r="190" spans="2:4">
      <c r="B190" s="20">
        <v>41487</v>
      </c>
      <c r="C190" s="7">
        <v>5447.15</v>
      </c>
      <c r="D190" s="10">
        <f t="shared" si="5"/>
        <v>-4.5558561526223285E-2</v>
      </c>
    </row>
    <row r="191" spans="2:4">
      <c r="B191" s="20">
        <v>41518</v>
      </c>
      <c r="C191" s="7">
        <v>5723.4</v>
      </c>
      <c r="D191" s="10">
        <f t="shared" si="5"/>
        <v>5.0714593870188951E-2</v>
      </c>
    </row>
    <row r="192" spans="2:4">
      <c r="B192" s="20">
        <v>41548</v>
      </c>
      <c r="C192" s="7">
        <v>6270.72</v>
      </c>
      <c r="D192" s="10">
        <f t="shared" si="5"/>
        <v>9.5628472586225088E-2</v>
      </c>
    </row>
    <row r="193" spans="2:4">
      <c r="B193" s="20">
        <v>41579</v>
      </c>
      <c r="C193" s="7">
        <v>6177.75</v>
      </c>
      <c r="D193" s="10">
        <f t="shared" si="5"/>
        <v>-1.4826048683404869E-2</v>
      </c>
    </row>
    <row r="194" spans="2:4">
      <c r="B194" s="20">
        <v>41609</v>
      </c>
      <c r="C194" s="7">
        <v>6326.72</v>
      </c>
      <c r="D194" s="10">
        <f t="shared" si="5"/>
        <v>2.4113957346930448E-2</v>
      </c>
    </row>
    <row r="195" spans="2:4">
      <c r="B195" s="20">
        <v>41640</v>
      </c>
      <c r="C195" s="7">
        <v>6071.02</v>
      </c>
      <c r="D195" s="10">
        <f t="shared" si="5"/>
        <v>-4.0415886905062925E-2</v>
      </c>
    </row>
    <row r="196" spans="2:4">
      <c r="B196" s="20">
        <v>41671</v>
      </c>
      <c r="C196" s="7">
        <v>6235.99</v>
      </c>
      <c r="D196" s="10">
        <f t="shared" si="5"/>
        <v>2.7173358018915961E-2</v>
      </c>
    </row>
    <row r="197" spans="2:4">
      <c r="B197" s="20">
        <v>41699</v>
      </c>
      <c r="C197" s="7">
        <v>6707.28</v>
      </c>
      <c r="D197" s="10">
        <f t="shared" ref="D197:D260" si="6">C197/C196-1</f>
        <v>7.5575810737348759E-2</v>
      </c>
    </row>
    <row r="198" spans="2:4">
      <c r="B198" s="20">
        <v>41730</v>
      </c>
      <c r="C198" s="7">
        <v>6715.36</v>
      </c>
      <c r="D198" s="10">
        <f t="shared" si="6"/>
        <v>1.2046612039455784E-3</v>
      </c>
    </row>
    <row r="199" spans="2:4">
      <c r="B199" s="20">
        <v>41760</v>
      </c>
      <c r="C199" s="7">
        <v>7345.12</v>
      </c>
      <c r="D199" s="10">
        <f t="shared" si="6"/>
        <v>9.3779037907126384E-2</v>
      </c>
    </row>
    <row r="200" spans="2:4">
      <c r="B200" s="20">
        <v>41791</v>
      </c>
      <c r="C200" s="7">
        <v>7742.66</v>
      </c>
      <c r="D200" s="10">
        <f t="shared" si="6"/>
        <v>5.4123009562811797E-2</v>
      </c>
    </row>
    <row r="201" spans="2:4">
      <c r="B201" s="20">
        <v>41821</v>
      </c>
      <c r="C201" s="7">
        <v>7799.72</v>
      </c>
      <c r="D201" s="10">
        <f t="shared" si="6"/>
        <v>7.3695603319789971E-3</v>
      </c>
    </row>
    <row r="202" spans="2:4">
      <c r="B202" s="20">
        <v>41852</v>
      </c>
      <c r="C202" s="7">
        <v>8016.74</v>
      </c>
      <c r="D202" s="10">
        <f t="shared" si="6"/>
        <v>2.7824075736051945E-2</v>
      </c>
    </row>
    <row r="203" spans="2:4">
      <c r="B203" s="20">
        <v>41883</v>
      </c>
      <c r="C203" s="7">
        <v>8015.71</v>
      </c>
      <c r="D203" s="10">
        <f t="shared" si="6"/>
        <v>-1.2848115318697673E-4</v>
      </c>
    </row>
    <row r="204" spans="2:4">
      <c r="B204" s="20">
        <v>41913</v>
      </c>
      <c r="C204" s="7">
        <v>8383.91</v>
      </c>
      <c r="D204" s="10">
        <f t="shared" si="6"/>
        <v>4.5934795545248042E-2</v>
      </c>
    </row>
    <row r="205" spans="2:4">
      <c r="B205" s="20">
        <v>41944</v>
      </c>
      <c r="C205" s="7">
        <v>8644.3700000000008</v>
      </c>
      <c r="D205" s="10">
        <f t="shared" si="6"/>
        <v>3.1066650286083908E-2</v>
      </c>
    </row>
    <row r="206" spans="2:4">
      <c r="B206" s="20">
        <v>41974</v>
      </c>
      <c r="C206" s="7">
        <v>8369.27</v>
      </c>
      <c r="D206" s="10">
        <f t="shared" si="6"/>
        <v>-3.1824181519300998E-2</v>
      </c>
    </row>
    <row r="207" spans="2:4">
      <c r="B207" s="20">
        <v>42005</v>
      </c>
      <c r="C207" s="7">
        <v>8903.1</v>
      </c>
      <c r="D207" s="10">
        <f t="shared" si="6"/>
        <v>6.3784535568813139E-2</v>
      </c>
    </row>
    <row r="208" spans="2:4">
      <c r="B208" s="20">
        <v>42036</v>
      </c>
      <c r="C208" s="7">
        <v>8994.4599999999991</v>
      </c>
      <c r="D208" s="10">
        <f t="shared" si="6"/>
        <v>1.0261594276150809E-2</v>
      </c>
    </row>
    <row r="209" spans="2:4">
      <c r="B209" s="20">
        <v>42064</v>
      </c>
      <c r="C209" s="7">
        <v>8606.6</v>
      </c>
      <c r="D209" s="10">
        <f t="shared" si="6"/>
        <v>-4.3122099603533637E-2</v>
      </c>
    </row>
    <row r="210" spans="2:4">
      <c r="B210" s="20">
        <v>42095</v>
      </c>
      <c r="C210" s="7">
        <v>8321.56</v>
      </c>
      <c r="D210" s="10">
        <f t="shared" si="6"/>
        <v>-3.3118769316571095E-2</v>
      </c>
    </row>
    <row r="211" spans="2:4">
      <c r="B211" s="20">
        <v>42125</v>
      </c>
      <c r="C211" s="7">
        <v>8550.51</v>
      </c>
      <c r="D211" s="10">
        <f t="shared" si="6"/>
        <v>2.7512870182994531E-2</v>
      </c>
    </row>
    <row r="212" spans="2:4">
      <c r="B212" s="20">
        <v>42156</v>
      </c>
      <c r="C212" s="7">
        <v>8464.09</v>
      </c>
      <c r="D212" s="10">
        <f t="shared" si="6"/>
        <v>-1.0106999465528954E-2</v>
      </c>
    </row>
    <row r="213" spans="2:4">
      <c r="B213" s="20">
        <v>42186</v>
      </c>
      <c r="C213" s="7">
        <v>8653.31</v>
      </c>
      <c r="D213" s="10">
        <f t="shared" si="6"/>
        <v>2.2355622400045183E-2</v>
      </c>
    </row>
    <row r="214" spans="2:4">
      <c r="B214" s="20">
        <v>42217</v>
      </c>
      <c r="C214" s="7">
        <v>8120.97</v>
      </c>
      <c r="D214" s="10">
        <f t="shared" si="6"/>
        <v>-6.1518655866945604E-2</v>
      </c>
    </row>
    <row r="215" spans="2:4">
      <c r="B215" s="20">
        <v>42248</v>
      </c>
      <c r="C215" s="7">
        <v>8077.41</v>
      </c>
      <c r="D215" s="10">
        <f t="shared" si="6"/>
        <v>-5.3638912592954835E-3</v>
      </c>
    </row>
    <row r="216" spans="2:4">
      <c r="B216" s="20">
        <v>42278</v>
      </c>
      <c r="C216" s="7">
        <v>8193.8700000000008</v>
      </c>
      <c r="D216" s="10">
        <f t="shared" si="6"/>
        <v>1.4417987944155497E-2</v>
      </c>
    </row>
    <row r="217" spans="2:4">
      <c r="B217" s="20">
        <v>42309</v>
      </c>
      <c r="C217" s="7">
        <v>8082.02</v>
      </c>
      <c r="D217" s="10">
        <f t="shared" si="6"/>
        <v>-1.3650448444996077E-2</v>
      </c>
    </row>
    <row r="218" spans="2:4">
      <c r="B218" s="20">
        <v>42339</v>
      </c>
      <c r="C218" s="7">
        <v>8097.57</v>
      </c>
      <c r="D218" s="10">
        <f t="shared" si="6"/>
        <v>1.9240239445088569E-3</v>
      </c>
    </row>
    <row r="219" spans="2:4">
      <c r="B219" s="20">
        <v>42370</v>
      </c>
      <c r="C219" s="7">
        <v>7651.7</v>
      </c>
      <c r="D219" s="10">
        <f t="shared" si="6"/>
        <v>-5.5062197671647106E-2</v>
      </c>
    </row>
    <row r="220" spans="2:4">
      <c r="B220" s="20">
        <v>42401</v>
      </c>
      <c r="C220" s="7">
        <v>7075.44</v>
      </c>
      <c r="D220" s="10">
        <f t="shared" si="6"/>
        <v>-7.5311368715448856E-2</v>
      </c>
    </row>
    <row r="221" spans="2:4">
      <c r="B221" s="20">
        <v>42430</v>
      </c>
      <c r="C221" s="7">
        <v>7835.45</v>
      </c>
      <c r="D221" s="10">
        <f t="shared" si="6"/>
        <v>0.10741522788688762</v>
      </c>
    </row>
    <row r="222" spans="2:4">
      <c r="B222" s="20">
        <v>42461</v>
      </c>
      <c r="C222" s="7">
        <v>7973.88</v>
      </c>
      <c r="D222" s="10">
        <f t="shared" si="6"/>
        <v>1.7667141006579179E-2</v>
      </c>
    </row>
    <row r="223" spans="2:4">
      <c r="B223" s="20">
        <v>42491</v>
      </c>
      <c r="C223" s="7">
        <v>8276.73</v>
      </c>
      <c r="D223" s="10">
        <f t="shared" si="6"/>
        <v>3.7980255534319385E-2</v>
      </c>
    </row>
    <row r="224" spans="2:4">
      <c r="B224" s="20">
        <v>42522</v>
      </c>
      <c r="C224" s="7">
        <v>8429.9599999999991</v>
      </c>
      <c r="D224" s="10">
        <f t="shared" si="6"/>
        <v>1.8513350079077062E-2</v>
      </c>
    </row>
    <row r="225" spans="2:4">
      <c r="B225" s="20">
        <v>42552</v>
      </c>
      <c r="C225" s="7">
        <v>8856.01</v>
      </c>
      <c r="D225" s="10">
        <f t="shared" si="6"/>
        <v>5.0539978837384814E-2</v>
      </c>
    </row>
    <row r="226" spans="2:4">
      <c r="B226" s="20">
        <v>42583</v>
      </c>
      <c r="C226" s="7">
        <v>9021.4500000000007</v>
      </c>
      <c r="D226" s="10">
        <f t="shared" si="6"/>
        <v>1.8681099050249506E-2</v>
      </c>
    </row>
    <row r="227" spans="2:4">
      <c r="B227" s="20">
        <v>42614</v>
      </c>
      <c r="C227" s="7">
        <v>8863.7099999999991</v>
      </c>
      <c r="D227" s="10">
        <f t="shared" si="6"/>
        <v>-1.7484994097401341E-2</v>
      </c>
    </row>
    <row r="228" spans="2:4">
      <c r="B228" s="20">
        <v>42644</v>
      </c>
      <c r="C228" s="7">
        <v>8928.2000000000007</v>
      </c>
      <c r="D228" s="10">
        <f t="shared" si="6"/>
        <v>7.2757344272320612E-3</v>
      </c>
    </row>
    <row r="229" spans="2:4">
      <c r="B229" s="20">
        <v>42675</v>
      </c>
      <c r="C229" s="7">
        <v>8479.68</v>
      </c>
      <c r="D229" s="10">
        <f t="shared" si="6"/>
        <v>-5.0236329831320981E-2</v>
      </c>
    </row>
    <row r="230" spans="2:4">
      <c r="B230" s="20">
        <v>42705</v>
      </c>
      <c r="C230" s="7">
        <v>8386.69</v>
      </c>
      <c r="D230" s="10">
        <f t="shared" si="6"/>
        <v>-1.0966215706253002E-2</v>
      </c>
    </row>
    <row r="231" spans="2:4">
      <c r="B231" s="20">
        <v>42736</v>
      </c>
      <c r="C231" s="7">
        <v>8831.7099999999991</v>
      </c>
      <c r="D231" s="10">
        <f t="shared" si="6"/>
        <v>5.3062650461624061E-2</v>
      </c>
    </row>
    <row r="232" spans="2:4">
      <c r="B232" s="20">
        <v>42767</v>
      </c>
      <c r="C232" s="7">
        <v>9190.73</v>
      </c>
      <c r="D232" s="10">
        <f t="shared" si="6"/>
        <v>4.0651244209785053E-2</v>
      </c>
    </row>
    <row r="233" spans="2:4">
      <c r="B233" s="20">
        <v>42795</v>
      </c>
      <c r="C233" s="7">
        <v>9494.36</v>
      </c>
      <c r="D233" s="10">
        <f t="shared" si="6"/>
        <v>3.3036548783393904E-2</v>
      </c>
    </row>
    <row r="234" spans="2:4">
      <c r="B234" s="20">
        <v>42826</v>
      </c>
      <c r="C234" s="7">
        <v>9669.9599999999991</v>
      </c>
      <c r="D234" s="10">
        <f t="shared" si="6"/>
        <v>1.8495190829081576E-2</v>
      </c>
    </row>
    <row r="235" spans="2:4">
      <c r="B235" s="20">
        <v>42856</v>
      </c>
      <c r="C235" s="7">
        <v>9928.65</v>
      </c>
      <c r="D235" s="10">
        <f t="shared" si="6"/>
        <v>2.6751920380229111E-2</v>
      </c>
    </row>
    <row r="236" spans="2:4">
      <c r="B236" s="20">
        <v>42887</v>
      </c>
      <c r="C236" s="7">
        <v>9852.86</v>
      </c>
      <c r="D236" s="10">
        <f t="shared" si="6"/>
        <v>-7.6334647711420178E-3</v>
      </c>
    </row>
    <row r="237" spans="2:4">
      <c r="B237" s="20">
        <v>42917</v>
      </c>
      <c r="C237" s="7">
        <v>10432.76</v>
      </c>
      <c r="D237" s="10">
        <f t="shared" si="6"/>
        <v>5.8856007291283818E-2</v>
      </c>
    </row>
    <row r="238" spans="2:4">
      <c r="B238" s="20">
        <v>42948</v>
      </c>
      <c r="C238" s="7">
        <v>10315.16</v>
      </c>
      <c r="D238" s="10">
        <f t="shared" si="6"/>
        <v>-1.1272184925178008E-2</v>
      </c>
    </row>
    <row r="239" spans="2:4">
      <c r="B239" s="20">
        <v>42979</v>
      </c>
      <c r="C239" s="7">
        <v>10172.64</v>
      </c>
      <c r="D239" s="10">
        <f t="shared" si="6"/>
        <v>-1.3816557377684946E-2</v>
      </c>
    </row>
    <row r="240" spans="2:4">
      <c r="B240" s="20">
        <v>43009</v>
      </c>
      <c r="C240" s="7">
        <v>10776.46</v>
      </c>
      <c r="D240" s="10">
        <f t="shared" si="6"/>
        <v>5.9357256326774577E-2</v>
      </c>
    </row>
    <row r="241" spans="2:4">
      <c r="B241" s="20">
        <v>43040</v>
      </c>
      <c r="C241" s="7">
        <v>10705.43</v>
      </c>
      <c r="D241" s="10">
        <f t="shared" si="6"/>
        <v>-6.5912182664806807E-3</v>
      </c>
    </row>
    <row r="242" spans="2:4">
      <c r="B242" s="20">
        <v>43070</v>
      </c>
      <c r="C242" s="7">
        <v>11029.78</v>
      </c>
      <c r="D242" s="10">
        <f t="shared" si="6"/>
        <v>3.0297708732857975E-2</v>
      </c>
    </row>
    <row r="243" spans="2:4">
      <c r="B243" s="20">
        <v>43101</v>
      </c>
      <c r="C243" s="7">
        <v>11419.07</v>
      </c>
      <c r="D243" s="10">
        <f t="shared" si="6"/>
        <v>3.5294448302686021E-2</v>
      </c>
    </row>
    <row r="244" spans="2:4">
      <c r="B244" s="20">
        <v>43132</v>
      </c>
      <c r="C244" s="7">
        <v>10864.95</v>
      </c>
      <c r="D244" s="10">
        <f t="shared" si="6"/>
        <v>-4.8525843172867789E-2</v>
      </c>
    </row>
    <row r="245" spans="2:4">
      <c r="B245" s="20">
        <v>43160</v>
      </c>
      <c r="C245" s="7">
        <v>10502.61</v>
      </c>
      <c r="D245" s="10">
        <f t="shared" si="6"/>
        <v>-3.3349440172297129E-2</v>
      </c>
    </row>
    <row r="246" spans="2:4">
      <c r="B246" s="20">
        <v>43191</v>
      </c>
      <c r="C246" s="7">
        <v>11152.97</v>
      </c>
      <c r="D246" s="10">
        <f t="shared" si="6"/>
        <v>6.1923655167620106E-2</v>
      </c>
    </row>
    <row r="247" spans="2:4">
      <c r="B247" s="20">
        <v>43221</v>
      </c>
      <c r="C247" s="7">
        <v>11040.77</v>
      </c>
      <c r="D247" s="10">
        <f t="shared" si="6"/>
        <v>-1.0060100583073273E-2</v>
      </c>
    </row>
    <row r="248" spans="2:4">
      <c r="B248" s="20">
        <v>43252</v>
      </c>
      <c r="C248" s="7">
        <v>10987.71</v>
      </c>
      <c r="D248" s="10">
        <f t="shared" si="6"/>
        <v>-4.8058242314622523E-3</v>
      </c>
    </row>
    <row r="249" spans="2:4">
      <c r="B249" s="20">
        <v>43282</v>
      </c>
      <c r="C249" s="7">
        <v>11625.85</v>
      </c>
      <c r="D249" s="10">
        <f t="shared" si="6"/>
        <v>5.8077615808935779E-2</v>
      </c>
    </row>
    <row r="250" spans="2:4">
      <c r="B250" s="20">
        <v>43313</v>
      </c>
      <c r="C250" s="7">
        <v>12016.97</v>
      </c>
      <c r="D250" s="10">
        <f t="shared" si="6"/>
        <v>3.3642271317795958E-2</v>
      </c>
    </row>
    <row r="251" spans="2:4">
      <c r="B251" s="20">
        <v>43344</v>
      </c>
      <c r="C251" s="7">
        <v>11140.99</v>
      </c>
      <c r="D251" s="10">
        <f t="shared" si="6"/>
        <v>-7.2895247304436972E-2</v>
      </c>
    </row>
    <row r="252" spans="2:4">
      <c r="B252" s="20">
        <v>43374</v>
      </c>
      <c r="C252" s="7">
        <v>10661.72</v>
      </c>
      <c r="D252" s="10">
        <f t="shared" si="6"/>
        <v>-4.3018618632635008E-2</v>
      </c>
    </row>
    <row r="253" spans="2:4">
      <c r="B253" s="20">
        <v>43405</v>
      </c>
      <c r="C253" s="7">
        <v>11119.17</v>
      </c>
      <c r="D253" s="10">
        <f t="shared" si="6"/>
        <v>4.2905835081018973E-2</v>
      </c>
    </row>
    <row r="254" spans="2:4">
      <c r="B254" s="20">
        <v>43435</v>
      </c>
      <c r="C254" s="7">
        <v>11161.02</v>
      </c>
      <c r="D254" s="10">
        <f t="shared" si="6"/>
        <v>3.7637701375192734E-3</v>
      </c>
    </row>
    <row r="255" spans="2:4">
      <c r="B255" s="20">
        <v>43466</v>
      </c>
      <c r="C255" s="7">
        <v>11054.82</v>
      </c>
      <c r="D255" s="10">
        <f t="shared" si="6"/>
        <v>-9.5152593580157818E-3</v>
      </c>
    </row>
    <row r="256" spans="2:4">
      <c r="B256" s="20">
        <v>43497</v>
      </c>
      <c r="C256" s="7">
        <v>10988.69</v>
      </c>
      <c r="D256" s="10">
        <f t="shared" si="6"/>
        <v>-5.9820060389946805E-3</v>
      </c>
    </row>
    <row r="257" spans="2:4">
      <c r="B257" s="20">
        <v>43525</v>
      </c>
      <c r="C257" s="7">
        <v>11809.19</v>
      </c>
      <c r="D257" s="10">
        <f t="shared" si="6"/>
        <v>7.4667681042963174E-2</v>
      </c>
    </row>
    <row r="258" spans="2:4">
      <c r="B258" s="20">
        <v>43556</v>
      </c>
      <c r="C258" s="7">
        <v>11868.07</v>
      </c>
      <c r="D258" s="10">
        <f t="shared" si="6"/>
        <v>4.9859473850448754E-3</v>
      </c>
    </row>
    <row r="259" spans="2:4">
      <c r="B259" s="20">
        <v>43586</v>
      </c>
      <c r="C259" s="7">
        <v>12044.07</v>
      </c>
      <c r="D259" s="10">
        <f t="shared" si="6"/>
        <v>1.4829706936342557E-2</v>
      </c>
    </row>
    <row r="260" spans="2:4">
      <c r="B260" s="20">
        <v>43617</v>
      </c>
      <c r="C260" s="7">
        <v>11909.67</v>
      </c>
      <c r="D260" s="10">
        <f t="shared" si="6"/>
        <v>-1.115901850454204E-2</v>
      </c>
    </row>
    <row r="261" spans="2:4">
      <c r="B261" s="20">
        <v>43647</v>
      </c>
      <c r="C261" s="7">
        <v>11210.78</v>
      </c>
      <c r="D261" s="10">
        <f t="shared" ref="D261:D324" si="7">C261/C260-1</f>
        <v>-5.8682566351544563E-2</v>
      </c>
    </row>
    <row r="262" spans="2:4">
      <c r="B262" s="20">
        <v>43678</v>
      </c>
      <c r="C262" s="7">
        <v>11139.78</v>
      </c>
      <c r="D262" s="10">
        <f t="shared" si="7"/>
        <v>-6.3331900188925427E-3</v>
      </c>
    </row>
    <row r="263" spans="2:4">
      <c r="B263" s="20">
        <v>43709</v>
      </c>
      <c r="C263" s="7">
        <v>11580.94</v>
      </c>
      <c r="D263" s="10">
        <f t="shared" si="7"/>
        <v>3.9602218356197261E-2</v>
      </c>
    </row>
    <row r="264" spans="2:4">
      <c r="B264" s="20">
        <v>43739</v>
      </c>
      <c r="C264" s="7">
        <v>11999.14</v>
      </c>
      <c r="D264" s="10">
        <f t="shared" si="7"/>
        <v>3.6111058342414237E-2</v>
      </c>
    </row>
    <row r="265" spans="2:4">
      <c r="B265" s="20">
        <v>43770</v>
      </c>
      <c r="C265" s="7">
        <v>12142.8</v>
      </c>
      <c r="D265" s="10">
        <f t="shared" si="7"/>
        <v>1.1972524697603237E-2</v>
      </c>
    </row>
    <row r="266" spans="2:4">
      <c r="B266" s="20">
        <v>43800</v>
      </c>
      <c r="C266" s="7">
        <v>12236.19</v>
      </c>
      <c r="D266" s="10">
        <f t="shared" si="7"/>
        <v>7.6909773693054628E-3</v>
      </c>
    </row>
    <row r="267" spans="2:4">
      <c r="B267" s="20">
        <v>43831</v>
      </c>
      <c r="C267" s="7">
        <v>12082.99</v>
      </c>
      <c r="D267" s="10">
        <f t="shared" si="7"/>
        <v>-1.2520237099946985E-2</v>
      </c>
    </row>
    <row r="268" spans="2:4">
      <c r="B268" s="20">
        <v>43862</v>
      </c>
      <c r="C268" s="7">
        <v>11292.68</v>
      </c>
      <c r="D268" s="10">
        <f t="shared" si="7"/>
        <v>-6.5406823973205297E-2</v>
      </c>
    </row>
    <row r="269" spans="2:4">
      <c r="B269" s="20">
        <v>43891</v>
      </c>
      <c r="C269" s="7">
        <v>8668.98</v>
      </c>
      <c r="D269" s="10">
        <f t="shared" si="7"/>
        <v>-0.23233634531395564</v>
      </c>
    </row>
    <row r="270" spans="2:4">
      <c r="B270" s="20">
        <v>43922</v>
      </c>
      <c r="C270" s="7">
        <v>9951.25</v>
      </c>
      <c r="D270" s="10">
        <f t="shared" si="7"/>
        <v>0.14791474890932954</v>
      </c>
    </row>
    <row r="271" spans="2:4">
      <c r="B271" s="20">
        <v>43952</v>
      </c>
      <c r="C271" s="7">
        <v>9697.9</v>
      </c>
      <c r="D271" s="10">
        <f t="shared" si="7"/>
        <v>-2.5459113176736659E-2</v>
      </c>
    </row>
    <row r="272" spans="2:4">
      <c r="B272" s="20">
        <v>43983</v>
      </c>
      <c r="C272" s="7">
        <v>10410.76</v>
      </c>
      <c r="D272" s="10">
        <f t="shared" si="7"/>
        <v>7.3506635457160963E-2</v>
      </c>
    </row>
    <row r="273" spans="2:4">
      <c r="B273" s="20">
        <v>44013</v>
      </c>
      <c r="C273" s="7">
        <v>11158.96</v>
      </c>
      <c r="D273" s="10">
        <f t="shared" si="7"/>
        <v>7.1867952003503932E-2</v>
      </c>
    </row>
    <row r="274" spans="2:4">
      <c r="B274" s="20">
        <v>44044</v>
      </c>
      <c r="C274" s="7">
        <v>11480.92</v>
      </c>
      <c r="D274" s="10">
        <f t="shared" si="7"/>
        <v>2.8852151096518064E-2</v>
      </c>
    </row>
    <row r="275" spans="2:4">
      <c r="B275" s="20">
        <v>44075</v>
      </c>
      <c r="C275" s="7">
        <v>11391.75</v>
      </c>
      <c r="D275" s="10">
        <f t="shared" si="7"/>
        <v>-7.7667991763726851E-3</v>
      </c>
    </row>
    <row r="276" spans="2:4">
      <c r="B276" s="20">
        <v>44105</v>
      </c>
      <c r="C276" s="7">
        <v>11720.76</v>
      </c>
      <c r="D276" s="10">
        <f t="shared" si="7"/>
        <v>2.8881427348739219E-2</v>
      </c>
    </row>
    <row r="277" spans="2:4">
      <c r="B277" s="20">
        <v>44136</v>
      </c>
      <c r="C277" s="7">
        <v>13050.61</v>
      </c>
      <c r="D277" s="10">
        <f t="shared" si="7"/>
        <v>0.11346107249017989</v>
      </c>
    </row>
    <row r="278" spans="2:4">
      <c r="B278" s="20">
        <v>44166</v>
      </c>
      <c r="C278" s="7">
        <v>14100.47</v>
      </c>
      <c r="D278" s="10">
        <f t="shared" si="7"/>
        <v>8.0445281868050555E-2</v>
      </c>
    </row>
    <row r="279" spans="2:4">
      <c r="B279" s="20">
        <v>44197</v>
      </c>
      <c r="C279" s="7">
        <v>13797.78</v>
      </c>
      <c r="D279" s="10">
        <f t="shared" si="7"/>
        <v>-2.1466660331180387E-2</v>
      </c>
    </row>
    <row r="280" spans="2:4">
      <c r="B280" s="20">
        <v>44228</v>
      </c>
      <c r="C280" s="7">
        <v>14723.98</v>
      </c>
      <c r="D280" s="10">
        <f t="shared" si="7"/>
        <v>6.7126740678572938E-2</v>
      </c>
    </row>
    <row r="281" spans="2:4">
      <c r="B281" s="20">
        <v>44256</v>
      </c>
      <c r="C281" s="7">
        <v>14863.54</v>
      </c>
      <c r="D281" s="10">
        <f t="shared" si="7"/>
        <v>9.478415482770286E-3</v>
      </c>
    </row>
    <row r="282" spans="2:4">
      <c r="B282" s="20">
        <v>44287</v>
      </c>
      <c r="C282" s="7">
        <v>14833.77</v>
      </c>
      <c r="D282" s="10">
        <f t="shared" si="7"/>
        <v>-2.0028876028187481E-3</v>
      </c>
    </row>
    <row r="283" spans="2:4">
      <c r="B283" s="20">
        <v>44317</v>
      </c>
      <c r="C283" s="7">
        <v>15822.33</v>
      </c>
      <c r="D283" s="10">
        <f t="shared" si="7"/>
        <v>6.6642532545670985E-2</v>
      </c>
    </row>
    <row r="284" spans="2:4">
      <c r="B284" s="20">
        <v>44348</v>
      </c>
      <c r="C284" s="7">
        <v>16009.72</v>
      </c>
      <c r="D284" s="10">
        <f t="shared" si="7"/>
        <v>1.1843388426356904E-2</v>
      </c>
    </row>
    <row r="285" spans="2:4">
      <c r="B285" s="20">
        <v>44378</v>
      </c>
      <c r="C285" s="7">
        <v>16108.48</v>
      </c>
      <c r="D285" s="10">
        <f t="shared" si="7"/>
        <v>6.1687524828666351E-3</v>
      </c>
    </row>
    <row r="286" spans="2:4">
      <c r="B286" s="20">
        <v>44409</v>
      </c>
      <c r="C286" s="7">
        <v>17375.21</v>
      </c>
      <c r="D286" s="10">
        <f t="shared" si="7"/>
        <v>7.8637463000854169E-2</v>
      </c>
    </row>
    <row r="287" spans="2:4">
      <c r="B287" s="20">
        <v>44440</v>
      </c>
      <c r="C287" s="7">
        <v>17880.57</v>
      </c>
      <c r="D287" s="10">
        <f t="shared" si="7"/>
        <v>2.9085116093561014E-2</v>
      </c>
    </row>
    <row r="288" spans="2:4">
      <c r="B288" s="20">
        <v>44470</v>
      </c>
      <c r="C288" s="7">
        <v>17921.27</v>
      </c>
      <c r="D288" s="10">
        <f t="shared" si="7"/>
        <v>2.2762137896050749E-3</v>
      </c>
    </row>
    <row r="289" spans="2:4">
      <c r="B289" s="20">
        <v>44501</v>
      </c>
      <c r="C289" s="7">
        <v>17319.150000000001</v>
      </c>
      <c r="D289" s="10">
        <f t="shared" si="7"/>
        <v>-3.3598065315683434E-2</v>
      </c>
    </row>
    <row r="290" spans="2:4">
      <c r="B290" s="20">
        <v>44531</v>
      </c>
      <c r="C290" s="7">
        <v>17625.509999999998</v>
      </c>
      <c r="D290" s="10">
        <f t="shared" si="7"/>
        <v>1.7689089822537252E-2</v>
      </c>
    </row>
    <row r="291" spans="2:4">
      <c r="B291" s="20">
        <v>44562</v>
      </c>
      <c r="C291" s="7">
        <v>17618.04</v>
      </c>
      <c r="D291" s="10">
        <f t="shared" si="7"/>
        <v>-4.2381752357789626E-4</v>
      </c>
    </row>
    <row r="292" spans="2:4">
      <c r="B292" s="20">
        <v>44593</v>
      </c>
      <c r="C292" s="7">
        <v>17043.27</v>
      </c>
      <c r="D292" s="10">
        <f t="shared" si="7"/>
        <v>-3.2623946818147731E-2</v>
      </c>
    </row>
    <row r="293" spans="2:4">
      <c r="B293" s="20">
        <v>44621</v>
      </c>
      <c r="C293" s="7">
        <v>17723.939999999999</v>
      </c>
      <c r="D293" s="10">
        <f t="shared" si="7"/>
        <v>3.9937758423119307E-2</v>
      </c>
    </row>
    <row r="294" spans="2:4">
      <c r="B294" s="20">
        <v>44652</v>
      </c>
      <c r="C294" s="7">
        <v>17574.509999999998</v>
      </c>
      <c r="D294" s="10">
        <f t="shared" si="7"/>
        <v>-8.4309696376765331E-3</v>
      </c>
    </row>
    <row r="295" spans="2:4">
      <c r="B295" s="20">
        <v>44682</v>
      </c>
      <c r="C295" s="7">
        <v>16887.919999999998</v>
      </c>
      <c r="D295" s="10">
        <f t="shared" si="7"/>
        <v>-3.9067376558436062E-2</v>
      </c>
    </row>
    <row r="296" spans="2:4">
      <c r="B296" s="20">
        <v>44713</v>
      </c>
      <c r="C296" s="7">
        <v>16014.13</v>
      </c>
      <c r="D296" s="10">
        <f t="shared" si="7"/>
        <v>-5.1740534062217236E-2</v>
      </c>
    </row>
    <row r="297" spans="2:4">
      <c r="B297" s="20">
        <v>44743</v>
      </c>
      <c r="C297" s="7">
        <v>17530.28</v>
      </c>
      <c r="D297" s="10">
        <f t="shared" si="7"/>
        <v>9.4675764465506296E-2</v>
      </c>
    </row>
    <row r="298" spans="2:4">
      <c r="B298" s="20">
        <v>44774</v>
      </c>
      <c r="C298" s="7">
        <v>18222.39</v>
      </c>
      <c r="D298" s="10">
        <f t="shared" si="7"/>
        <v>3.9480829741453061E-2</v>
      </c>
    </row>
    <row r="299" spans="2:4">
      <c r="B299" s="20">
        <v>44805</v>
      </c>
      <c r="C299" s="7">
        <v>17574.98</v>
      </c>
      <c r="D299" s="10">
        <f t="shared" si="7"/>
        <v>-3.5528270440924548E-2</v>
      </c>
    </row>
    <row r="300" spans="2:4">
      <c r="B300" s="20">
        <v>44835</v>
      </c>
      <c r="C300" s="7">
        <v>18405.939999999999</v>
      </c>
      <c r="D300" s="10">
        <f t="shared" si="7"/>
        <v>4.7280850390725826E-2</v>
      </c>
    </row>
    <row r="301" spans="2:4">
      <c r="B301" s="20">
        <v>44866</v>
      </c>
      <c r="C301" s="7">
        <v>19081.7</v>
      </c>
      <c r="D301" s="10">
        <f t="shared" si="7"/>
        <v>3.671423464381629E-2</v>
      </c>
    </row>
    <row r="302" spans="2:4">
      <c r="B302" s="20">
        <v>44896</v>
      </c>
      <c r="C302" s="7">
        <v>18425.169999999998</v>
      </c>
      <c r="D302" s="10">
        <f t="shared" si="7"/>
        <v>-3.4406263592866582E-2</v>
      </c>
    </row>
    <row r="303" spans="2:4">
      <c r="B303" s="20">
        <v>44927</v>
      </c>
      <c r="C303" s="7">
        <v>17935.75</v>
      </c>
      <c r="D303" s="10">
        <f t="shared" si="7"/>
        <v>-2.6562577170251234E-2</v>
      </c>
    </row>
    <row r="304" spans="2:4">
      <c r="B304" s="20">
        <v>44958</v>
      </c>
      <c r="C304" s="7">
        <v>17538.2</v>
      </c>
      <c r="D304" s="10">
        <f t="shared" si="7"/>
        <v>-2.216522866342352E-2</v>
      </c>
    </row>
    <row r="305" spans="2:4">
      <c r="B305" s="20">
        <v>44986</v>
      </c>
      <c r="C305" s="7">
        <v>17601.669999999998</v>
      </c>
      <c r="D305" s="10">
        <f t="shared" si="7"/>
        <v>3.6189574756815279E-3</v>
      </c>
    </row>
    <row r="306" spans="2:4">
      <c r="B306" s="20">
        <v>45017</v>
      </c>
      <c r="C306" s="7">
        <v>18324.96</v>
      </c>
      <c r="D306" s="10">
        <f t="shared" si="7"/>
        <v>4.1092123645086076E-2</v>
      </c>
    </row>
    <row r="307" spans="2:4">
      <c r="B307" s="20">
        <v>45047</v>
      </c>
      <c r="C307" s="7">
        <v>18909.41</v>
      </c>
      <c r="D307" s="10">
        <f t="shared" si="7"/>
        <v>3.1893657612349635E-2</v>
      </c>
    </row>
    <row r="308" spans="2:4">
      <c r="B308" s="20">
        <v>45078</v>
      </c>
      <c r="C308" s="7">
        <v>19571.34</v>
      </c>
      <c r="D308" s="10">
        <f t="shared" si="7"/>
        <v>3.5005322746717082E-2</v>
      </c>
    </row>
    <row r="309" spans="2:4">
      <c r="B309" s="20">
        <v>45108</v>
      </c>
      <c r="C309" s="7">
        <v>20150.32</v>
      </c>
      <c r="D309" s="10">
        <f t="shared" si="7"/>
        <v>2.9583053587541652E-2</v>
      </c>
    </row>
    <row r="310" spans="2:4">
      <c r="B310" s="20">
        <v>45139</v>
      </c>
      <c r="C310" s="7">
        <v>19764.93</v>
      </c>
      <c r="D310" s="10">
        <f t="shared" si="7"/>
        <v>-1.9125750856562096E-2</v>
      </c>
    </row>
    <row r="311" spans="2:4">
      <c r="B311" s="20">
        <v>45170</v>
      </c>
      <c r="C311" s="7">
        <v>20123.3</v>
      </c>
      <c r="D311" s="10">
        <f t="shared" si="7"/>
        <v>1.8131609876685495E-2</v>
      </c>
    </row>
    <row r="312" spans="2:4">
      <c r="B312" s="20">
        <v>45200</v>
      </c>
      <c r="C312" s="7">
        <v>19558.03</v>
      </c>
      <c r="D312" s="10">
        <f t="shared" si="7"/>
        <v>-2.8090323157732633E-2</v>
      </c>
    </row>
    <row r="313" spans="2:4">
      <c r="B313" s="20">
        <v>45231</v>
      </c>
      <c r="C313" s="7">
        <v>20718.71</v>
      </c>
      <c r="D313" s="10">
        <f t="shared" si="7"/>
        <v>5.9345445323480961E-2</v>
      </c>
    </row>
    <row r="314" spans="2:4">
      <c r="B314" s="20">
        <v>45261</v>
      </c>
      <c r="C314" s="7">
        <v>22384.89</v>
      </c>
      <c r="D314" s="10">
        <f t="shared" si="7"/>
        <v>8.0419099451655152E-2</v>
      </c>
    </row>
    <row r="315" spans="2:4">
      <c r="B315" s="20">
        <v>45292</v>
      </c>
      <c r="C315" s="7">
        <v>22509.19</v>
      </c>
      <c r="D315" s="10">
        <f t="shared" si="7"/>
        <v>5.5528528395716314E-3</v>
      </c>
    </row>
    <row r="316" spans="2:4">
      <c r="B316" s="20">
        <v>45323</v>
      </c>
      <c r="C316" s="7">
        <v>22921.27</v>
      </c>
      <c r="D316" s="10">
        <f t="shared" si="7"/>
        <v>1.8307189196945961E-2</v>
      </c>
    </row>
    <row r="317" spans="2:4">
      <c r="B317" s="20">
        <v>45352</v>
      </c>
      <c r="C317" s="7">
        <v>23294.04</v>
      </c>
      <c r="D317" s="10">
        <f t="shared" si="7"/>
        <v>1.6263060467417434E-2</v>
      </c>
    </row>
    <row r="318" spans="2:4">
      <c r="B318" s="20">
        <v>45383</v>
      </c>
      <c r="C318" s="7">
        <v>23759.67</v>
      </c>
      <c r="D318" s="10">
        <f t="shared" si="7"/>
        <v>1.9989233297444287E-2</v>
      </c>
    </row>
    <row r="319" spans="2:4">
      <c r="B319" s="20">
        <v>45413</v>
      </c>
      <c r="C319" s="7">
        <v>23771.040000000001</v>
      </c>
      <c r="D319" s="10">
        <f t="shared" si="7"/>
        <v>4.7854199995223112E-4</v>
      </c>
    </row>
    <row r="320" spans="2:4">
      <c r="B320" s="20">
        <v>45444</v>
      </c>
      <c r="C320" s="7">
        <v>25397.77</v>
      </c>
      <c r="D320" s="10">
        <f t="shared" si="7"/>
        <v>6.8433270063068319E-2</v>
      </c>
    </row>
    <row r="321" spans="2:4">
      <c r="B321" s="20">
        <v>45474</v>
      </c>
      <c r="C321" s="7">
        <v>26438.85</v>
      </c>
      <c r="D321" s="10">
        <f t="shared" si="7"/>
        <v>4.0991000390979027E-2</v>
      </c>
    </row>
    <row r="322" spans="2:4">
      <c r="B322" s="20">
        <v>45505</v>
      </c>
      <c r="C322" s="7">
        <v>26726.58</v>
      </c>
      <c r="D322" s="10">
        <f t="shared" si="7"/>
        <v>1.0882848535394007E-2</v>
      </c>
    </row>
    <row r="323" spans="2:4">
      <c r="B323" s="20">
        <v>45536</v>
      </c>
      <c r="C323" s="7">
        <v>27338.6</v>
      </c>
      <c r="D323" s="10">
        <f t="shared" si="7"/>
        <v>2.2899300995488314E-2</v>
      </c>
    </row>
    <row r="324" spans="2:4">
      <c r="B324" s="20">
        <v>45566</v>
      </c>
      <c r="C324" s="7">
        <v>25526.3</v>
      </c>
      <c r="D324" s="10">
        <f t="shared" si="7"/>
        <v>-6.6290885414761469E-2</v>
      </c>
    </row>
    <row r="325" spans="2:4">
      <c r="B325" s="20">
        <v>45597</v>
      </c>
      <c r="C325" s="7">
        <v>25546.61</v>
      </c>
      <c r="D325" s="10">
        <f t="shared" ref="D325:D338" si="8">C325/C324-1</f>
        <v>7.9564997669079318E-4</v>
      </c>
    </row>
    <row r="326" spans="2:4">
      <c r="B326" s="20">
        <v>45627</v>
      </c>
      <c r="C326" s="7">
        <v>25061.75</v>
      </c>
      <c r="D326" s="10">
        <f t="shared" si="8"/>
        <v>-1.8979426233069696E-2</v>
      </c>
    </row>
    <row r="327" spans="2:4">
      <c r="B327" s="20">
        <v>45658</v>
      </c>
      <c r="C327" s="7">
        <v>24626.67</v>
      </c>
      <c r="D327" s="10">
        <f t="shared" si="8"/>
        <v>-1.7360320009576435E-2</v>
      </c>
    </row>
    <row r="328" spans="2:4">
      <c r="B328" s="20">
        <v>45689</v>
      </c>
      <c r="C328" s="7">
        <v>22978.78</v>
      </c>
      <c r="D328" s="10">
        <f t="shared" si="8"/>
        <v>-6.6914852881043152E-2</v>
      </c>
    </row>
    <row r="329" spans="2:4">
      <c r="B329" s="20">
        <v>45717</v>
      </c>
      <c r="C329" s="7">
        <v>24577.8</v>
      </c>
      <c r="D329" s="10">
        <f t="shared" si="8"/>
        <v>6.958681009174561E-2</v>
      </c>
    </row>
    <row r="330" spans="2:4">
      <c r="B330" s="20">
        <v>45748</v>
      </c>
      <c r="C330" s="7">
        <v>25375.24</v>
      </c>
      <c r="D330" s="10">
        <f t="shared" si="8"/>
        <v>3.2445540284321783E-2</v>
      </c>
    </row>
    <row r="331" spans="2:4">
      <c r="B331" s="20">
        <v>45778</v>
      </c>
      <c r="C331" s="7">
        <v>25940.240000000002</v>
      </c>
      <c r="D331" s="10">
        <f t="shared" si="8"/>
        <v>2.2265799259435504E-2</v>
      </c>
    </row>
    <row r="332" spans="2:4">
      <c r="B332" s="20">
        <v>45809</v>
      </c>
      <c r="C332" s="7">
        <v>26762.83</v>
      </c>
      <c r="D332" s="10">
        <f t="shared" si="8"/>
        <v>3.1710963352690635E-2</v>
      </c>
    </row>
    <row r="333" spans="2:4">
      <c r="B333" s="20">
        <v>45839</v>
      </c>
      <c r="C333" s="7">
        <v>25961.78</v>
      </c>
      <c r="D333" s="10">
        <f t="shared" si="8"/>
        <v>-2.9931438491370366E-2</v>
      </c>
    </row>
    <row r="334" spans="2:4">
      <c r="B334" s="20">
        <v>45870</v>
      </c>
      <c r="C334" s="7">
        <v>25556.76</v>
      </c>
      <c r="D334" s="10">
        <f t="shared" si="8"/>
        <v>-1.5600625226775633E-2</v>
      </c>
    </row>
    <row r="335" spans="2:4">
      <c r="B335" s="20">
        <v>45901</v>
      </c>
      <c r="C335" s="7">
        <v>25810.92</v>
      </c>
      <c r="D335" s="10">
        <f t="shared" si="8"/>
        <v>9.9449225958219145E-3</v>
      </c>
    </row>
    <row r="336" spans="2:4">
      <c r="B336" s="20">
        <v>45931</v>
      </c>
      <c r="C336" s="7">
        <v>26988.799999999999</v>
      </c>
      <c r="D336" s="10">
        <f t="shared" si="8"/>
        <v>4.5634948308700407E-2</v>
      </c>
    </row>
    <row r="337" spans="2:4">
      <c r="B337" s="20">
        <v>45962</v>
      </c>
      <c r="C337" s="7">
        <v>27414.82</v>
      </c>
      <c r="D337" s="10">
        <f t="shared" si="8"/>
        <v>1.5785066397913328E-2</v>
      </c>
    </row>
    <row r="338" spans="2:4">
      <c r="B338" s="20">
        <v>45992</v>
      </c>
      <c r="C338" s="7">
        <v>27344.720000000001</v>
      </c>
      <c r="D338" s="10">
        <f t="shared" si="8"/>
        <v>-2.5570111348532931E-3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Valuation &gt;</vt:lpstr>
      <vt:lpstr>IndexVal</vt:lpstr>
      <vt:lpstr>Data &gt;</vt:lpstr>
      <vt:lpstr>RfHistorical</vt:lpstr>
      <vt:lpstr>ERPHistorical</vt:lpstr>
      <vt:lpstr>2025-BBdata</vt:lpstr>
      <vt:lpstr>ExpDiv&amp;BB</vt:lpstr>
      <vt:lpstr>IndexEPSGrowth</vt:lpstr>
      <vt:lpstr>IndexHistorical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 Sharma</dc:creator>
  <cp:lastModifiedBy>Karn Sharma</cp:lastModifiedBy>
  <dcterms:created xsi:type="dcterms:W3CDTF">2025-12-20T11:14:27Z</dcterms:created>
  <dcterms:modified xsi:type="dcterms:W3CDTF">2026-01-14T06:52:26Z</dcterms:modified>
</cp:coreProperties>
</file>
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rn\Desktop\ALL PROJECTS\"/>
    </mc:Choice>
  </mc:AlternateContent>
  <xr:revisionPtr revIDLastSave="0" documentId="13_ncr:1_{C9518F87-BF36-478D-AB55-698BEC91AD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mps_Val_ITC" sheetId="4" r:id="rId1"/>
    <sheet name="ITC_Data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4" l="1"/>
  <c r="B3" i="4"/>
  <c r="I3" i="3"/>
  <c r="B9" i="4" l="1"/>
  <c r="L18" i="4"/>
  <c r="K18" i="4"/>
  <c r="J18" i="4"/>
  <c r="E18" i="4"/>
  <c r="D18" i="4"/>
  <c r="F18" i="4" s="1"/>
  <c r="B18" i="4"/>
  <c r="L17" i="4"/>
  <c r="K17" i="4"/>
  <c r="J17" i="4"/>
  <c r="G17" i="4"/>
  <c r="E17" i="4"/>
  <c r="F17" i="4" s="1"/>
  <c r="D17" i="4"/>
  <c r="B17" i="4"/>
  <c r="L16" i="4"/>
  <c r="K16" i="4"/>
  <c r="J16" i="4"/>
  <c r="E16" i="4"/>
  <c r="D16" i="4"/>
  <c r="B16" i="4"/>
  <c r="L15" i="4"/>
  <c r="K15" i="4"/>
  <c r="J15" i="4"/>
  <c r="E15" i="4"/>
  <c r="D15" i="4"/>
  <c r="B15" i="4"/>
  <c r="L14" i="4"/>
  <c r="K14" i="4"/>
  <c r="J14" i="4"/>
  <c r="G14" i="4"/>
  <c r="E14" i="4"/>
  <c r="D14" i="4"/>
  <c r="F14" i="4" s="1"/>
  <c r="P14" i="4" s="1"/>
  <c r="B14" i="4"/>
  <c r="L13" i="4"/>
  <c r="K13" i="4"/>
  <c r="J13" i="4"/>
  <c r="E13" i="4"/>
  <c r="D13" i="4"/>
  <c r="F13" i="4" s="1"/>
  <c r="B13" i="4"/>
  <c r="L12" i="4"/>
  <c r="K12" i="4"/>
  <c r="J12" i="4"/>
  <c r="G12" i="4"/>
  <c r="E12" i="4"/>
  <c r="D12" i="4"/>
  <c r="B12" i="4"/>
  <c r="L11" i="4"/>
  <c r="K11" i="4"/>
  <c r="J11" i="4"/>
  <c r="G11" i="4"/>
  <c r="E11" i="4"/>
  <c r="D11" i="4"/>
  <c r="B11" i="4"/>
  <c r="L10" i="4"/>
  <c r="K10" i="4"/>
  <c r="J10" i="4"/>
  <c r="E10" i="4"/>
  <c r="D10" i="4"/>
  <c r="F10" i="4" s="1"/>
  <c r="B10" i="4"/>
  <c r="L9" i="4"/>
  <c r="K9" i="4"/>
  <c r="J9" i="4"/>
  <c r="G9" i="4"/>
  <c r="P30" i="4" s="1"/>
  <c r="E9" i="4"/>
  <c r="N32" i="4" s="1"/>
  <c r="F11" i="4"/>
  <c r="I4" i="3"/>
  <c r="G10" i="4" s="1"/>
  <c r="I5" i="3"/>
  <c r="I6" i="3"/>
  <c r="I7" i="3"/>
  <c r="G13" i="4" s="1"/>
  <c r="I8" i="3"/>
  <c r="I9" i="3"/>
  <c r="G15" i="4" s="1"/>
  <c r="I10" i="3"/>
  <c r="G16" i="4" s="1"/>
  <c r="I11" i="3"/>
  <c r="I12" i="3"/>
  <c r="G18" i="4" s="1"/>
  <c r="F4" i="3"/>
  <c r="J4" i="3" s="1"/>
  <c r="F5" i="3"/>
  <c r="J5" i="3" s="1"/>
  <c r="F6" i="3"/>
  <c r="J6" i="3" s="1"/>
  <c r="F7" i="3"/>
  <c r="J7" i="3" s="1"/>
  <c r="F8" i="3"/>
  <c r="J8" i="3" s="1"/>
  <c r="F9" i="3"/>
  <c r="J9" i="3" s="1"/>
  <c r="F10" i="3"/>
  <c r="J10" i="3" s="1"/>
  <c r="F11" i="3"/>
  <c r="J11" i="3" s="1"/>
  <c r="F12" i="3"/>
  <c r="J12" i="3" s="1"/>
  <c r="F3" i="3"/>
  <c r="J3" i="3" s="1"/>
  <c r="F12" i="4" l="1"/>
  <c r="F15" i="4"/>
  <c r="F16" i="4"/>
  <c r="F9" i="4"/>
  <c r="P9" i="4" s="1"/>
  <c r="P11" i="4"/>
  <c r="H11" i="4"/>
  <c r="O11" i="4" s="1"/>
  <c r="P13" i="4"/>
  <c r="H13" i="4"/>
  <c r="O13" i="4" s="1"/>
  <c r="H12" i="4"/>
  <c r="O12" i="4" s="1"/>
  <c r="P12" i="4"/>
  <c r="H10" i="4"/>
  <c r="O10" i="4" s="1"/>
  <c r="P10" i="4"/>
  <c r="H18" i="4"/>
  <c r="O18" i="4" s="1"/>
  <c r="P18" i="4"/>
  <c r="P17" i="4"/>
  <c r="H17" i="4"/>
  <c r="O17" i="4" s="1"/>
  <c r="P16" i="4"/>
  <c r="H16" i="4"/>
  <c r="O16" i="4" s="1"/>
  <c r="P15" i="4"/>
  <c r="H15" i="4"/>
  <c r="O15" i="4" s="1"/>
  <c r="H14" i="4"/>
  <c r="O14" i="4" s="1"/>
  <c r="O32" i="4"/>
  <c r="N30" i="4"/>
  <c r="P32" i="4"/>
  <c r="O30" i="4"/>
  <c r="H9" i="4" l="1"/>
  <c r="O9" i="4" s="1"/>
  <c r="N16" i="4"/>
  <c r="N10" i="4"/>
  <c r="N17" i="4"/>
  <c r="N12" i="4"/>
  <c r="N14" i="4"/>
  <c r="N13" i="4"/>
  <c r="P23" i="4"/>
  <c r="P31" i="4" s="1"/>
  <c r="P20" i="4"/>
  <c r="P25" i="4"/>
  <c r="P22" i="4"/>
  <c r="P21" i="4"/>
  <c r="P24" i="4"/>
  <c r="N15" i="4"/>
  <c r="N11" i="4"/>
  <c r="N18" i="4"/>
  <c r="N9" i="4" l="1"/>
  <c r="N24" i="4" s="1"/>
  <c r="P34" i="4"/>
  <c r="P29" i="4"/>
  <c r="O23" i="4"/>
  <c r="O29" i="4" s="1"/>
  <c r="O31" i="4" s="1"/>
  <c r="O34" i="4" s="1"/>
  <c r="O36" i="4" s="1"/>
  <c r="O20" i="4"/>
  <c r="O25" i="4"/>
  <c r="O21" i="4"/>
  <c r="O22" i="4"/>
  <c r="O24" i="4"/>
  <c r="N21" i="4"/>
  <c r="N23" i="4"/>
  <c r="N29" i="4" s="1"/>
  <c r="N31" i="4" s="1"/>
  <c r="N34" i="4" s="1"/>
  <c r="N36" i="4" s="1"/>
  <c r="N20" i="4"/>
  <c r="N25" i="4"/>
  <c r="N22" i="4"/>
</calcChain>
</file>

<file path=xl/sharedStrings.xml><?xml version="1.0" encoding="utf-8"?>
<sst xmlns="http://schemas.openxmlformats.org/spreadsheetml/2006/main" count="55" uniqueCount="46">
  <si>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</si>
  <si>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</si>
  <si>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</si>
  <si>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</si>
  <si>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</si>
  <si>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</si>
  <si>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</si>
  <si>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</si>
  <si>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Market Cap</t>
  </si>
  <si>
    <t>Net Debt</t>
  </si>
  <si>
    <t>EV</t>
  </si>
  <si>
    <t>EBITDA</t>
  </si>
  <si>
    <t>Comparable Company Valuation</t>
  </si>
  <si>
    <t>Market Data</t>
  </si>
  <si>
    <t>Financials</t>
  </si>
  <si>
    <t>Valuation</t>
  </si>
  <si>
    <t>Company</t>
  </si>
  <si>
    <t>Share Price</t>
  </si>
  <si>
    <t>Shares Outstanding</t>
  </si>
  <si>
    <t>Equity Value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</si>
  <si>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</si>
  <si>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</si>
  <si>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</si>
  <si>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</si>
  <si>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</si>
  <si>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</si>
  <si>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</si>
  <si>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</si>
  <si>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Average</t>
  </si>
  <si>
    <t xml:space="preserve"> </t>
  </si>
  <si>
    <t>Median</t>
  </si>
  <si>
    <t>25th Percentile</t>
  </si>
  <si>
    <t>Low</t>
  </si>
  <si>
    <t>Implied Enterprise Value</t>
  </si>
  <si>
    <t>Implied Market Value</t>
  </si>
  <si>
    <t>Implied Value per Share</t>
  </si>
  <si>
    <t>Godfrey Phillips</t>
  </si>
  <si>
    <t>Elitecon Inter.</t>
  </si>
  <si>
    <t>VST Industries</t>
  </si>
  <si>
    <t>NTC Industries</t>
  </si>
  <si>
    <t>Sinnar Bidi Udy.</t>
  </si>
  <si>
    <t>Shanthala FMCG</t>
  </si>
  <si>
    <t>Raghunath Intl.</t>
  </si>
  <si>
    <t>ITC</t>
  </si>
  <si>
    <t>ITC Comparable Valuation</t>
  </si>
  <si>
    <t>Amount in crores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</si>
</sst>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#,##0.0"/>
  </numFmts>
  <fonts count="11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sz val="11"/>
      <color rgb="FF0000FF"/>
      <name val="Calibri"/>
      <family val="2"/>
    </font>
    <font>
      <b/>
      <sz val="14"/>
      <color theme="0"/>
      <name val="Calibri"/>
      <family val="2"/>
    </font>
    <font>
      <i/>
      <sz val="11"/>
      <color theme="0"/>
      <name val="Calibri"/>
      <family val="2"/>
    </font>
    <font>
      <i/>
      <sz val="11"/>
      <color theme="8" tint="0.39997558519241921"/>
      <name val="Calibri"/>
      <family val="2"/>
    </font>
    <font>
      <i/>
      <sz val="11"/>
      <color theme="2" tint="-0.499984740745262"/>
      <name val="calibri"/>
      <family val="2"/>
    </font>
    <font>
      <b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 wrapText="1"/>
    </xf>
    <xf numFmtId="2" fontId="1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3" xfId="0" applyBorder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3" xfId="0" applyFill="1" applyBorder="1"/>
    <xf numFmtId="164" fontId="0" fillId="3" borderId="3" xfId="0" applyNumberForma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/>
    <xf numFmtId="0" fontId="1" fillId="2" borderId="1" xfId="0" applyFont="1" applyFill="1" applyBorder="1"/>
    <xf numFmtId="0" fontId="3" fillId="2" borderId="0" xfId="0" applyFont="1" applyFill="1"/>
    <xf numFmtId="0" fontId="0" fillId="0" borderId="3" xfId="0" applyBorder="1"/>
    <xf numFmtId="3" fontId="0" fillId="0" borderId="3" xfId="0" applyNumberFormat="1" applyBorder="1"/>
    <xf numFmtId="2" fontId="0" fillId="0" borderId="3" xfId="0" applyNumberFormat="1" applyBorder="1"/>
    <xf numFmtId="0" fontId="2" fillId="3" borderId="4" xfId="0" applyFont="1" applyFill="1" applyBorder="1"/>
    <xf numFmtId="165" fontId="2" fillId="3" borderId="4" xfId="0" applyNumberFormat="1" applyFont="1" applyFill="1" applyBorder="1"/>
    <xf numFmtId="0" fontId="2" fillId="0" borderId="0" xfId="0" applyFont="1"/>
    <xf numFmtId="165" fontId="2" fillId="0" borderId="0" xfId="0" applyNumberFormat="1" applyFont="1"/>
    <xf numFmtId="165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6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2" borderId="0" xfId="0" applyFont="1" applyFill="1"/>
    <xf numFmtId="0" fontId="9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left"/>
    </xf>
    <xf numFmtId="3" fontId="10" fillId="4" borderId="3" xfId="0" applyNumberFormat="1" applyFont="1" applyFill="1" applyBorder="1" applyAlignment="1">
      <alignment horizontal="right"/>
    </xf>
    <xf numFmtId="165" fontId="2" fillId="4" borderId="3" xfId="0" applyNumberFormat="1" applyFont="1" applyFill="1" applyBorder="1" applyAlignment="1">
      <alignment horizontal="right"/>
    </xf>
    <xf numFmtId="3" fontId="2" fillId="4" borderId="3" xfId="0" applyNumberFormat="1" applyFont="1" applyFill="1" applyBorder="1" applyAlignment="1">
      <alignment horizontal="right"/>
    </xf>
    <xf numFmtId="164" fontId="2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6"/>
  <sheetViews>
    <sheetView showGridLines="0" tabSelected="1" zoomScaleNormal="100" workbookViewId="0">
      <selection activeCell="R20" sqref="R20"/>
    </sheetView>
  </sheetViews>
  <sheetFormatPr defaultRowHeight="15" x14ac:dyDescent="0.25"/>
  <cols>
    <col min="1" max="1" width="1.85546875" customWidth="1"/>
    <col min="2" max="2" width="16.140625" customWidth="1"/>
    <col min="3" max="3" width="7.85546875" customWidth="1"/>
    <col min="5" max="5" width="13.85546875" customWidth="1"/>
    <col min="6" max="8" width="11" customWidth="1"/>
    <col min="9" max="9" width="1.85546875" customWidth="1"/>
    <col min="12" max="12" width="11.5703125" bestFit="1" customWidth="1"/>
    <col min="13" max="13" width="1.85546875" customWidth="1"/>
    <col min="14" max="14" width="12.28515625" bestFit="1" customWidth="1"/>
    <col min="15" max="16" width="12.42578125" bestFit="1" customWidth="1"/>
  </cols>
  <sheetData>
    <row r="1" spans="2:16" ht="9.75" customHeight="1" x14ac:dyDescent="0.25"/>
    <row r="2" spans="2:16" ht="18.75" x14ac:dyDescent="0.3">
      <c r="B2" s="33" t="s">
        <v>12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2:16" x14ac:dyDescent="0.25">
      <c r="B3" s="35" t="str">
        <f>ITC_Data!C3</f>
        <v>ITC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2:16" x14ac:dyDescent="0.25">
      <c r="B4" s="36" t="s">
        <v>45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2:16" ht="4.5" customHeight="1" x14ac:dyDescent="0.25"/>
    <row r="6" spans="2:16" x14ac:dyDescent="0.25">
      <c r="B6" s="3"/>
      <c r="C6" s="3"/>
      <c r="D6" s="38" t="s">
        <v>13</v>
      </c>
      <c r="E6" s="38"/>
      <c r="F6" s="38"/>
      <c r="G6" s="38"/>
      <c r="H6" s="38"/>
      <c r="I6" s="3"/>
      <c r="J6" s="38" t="s">
        <v>14</v>
      </c>
      <c r="K6" s="38"/>
      <c r="L6" s="38"/>
      <c r="M6" s="3"/>
      <c r="N6" s="38" t="s">
        <v>15</v>
      </c>
      <c r="O6" s="38"/>
      <c r="P6" s="38"/>
    </row>
    <row r="7" spans="2:16" ht="30" x14ac:dyDescent="0.25">
      <c r="B7" s="4" t="s">
        <v>16</v>
      </c>
      <c r="C7" s="4"/>
      <c r="D7" s="5" t="s">
        <v>17</v>
      </c>
      <c r="E7" s="5" t="s">
        <v>18</v>
      </c>
      <c r="F7" s="5" t="s">
        <v>19</v>
      </c>
      <c r="G7" s="5" t="s">
        <v>9</v>
      </c>
      <c r="H7" s="5" t="s">
        <v>20</v>
      </c>
      <c r="I7" s="6"/>
      <c r="J7" s="6" t="s">
        <v>21</v>
      </c>
      <c r="K7" s="6" t="s">
        <v>11</v>
      </c>
      <c r="L7" s="6" t="s">
        <v>22</v>
      </c>
      <c r="M7" s="6"/>
      <c r="N7" s="6" t="s">
        <v>23</v>
      </c>
      <c r="O7" s="6" t="s">
        <v>24</v>
      </c>
      <c r="P7" s="6" t="s">
        <v>25</v>
      </c>
    </row>
    <row r="8" spans="2:16" s="10" customFormat="1" ht="4.5" customHeight="1" x14ac:dyDescent="0.25">
      <c r="B8" s="7"/>
      <c r="C8" s="7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</row>
    <row r="9" spans="2:16" s="10" customFormat="1" x14ac:dyDescent="0.25">
      <c r="B9" s="39" t="str">
        <f>ITC_Data!C3</f>
        <v>ITC</v>
      </c>
      <c r="C9" s="39"/>
      <c r="D9" s="40">
        <v>407</v>
      </c>
      <c r="E9" s="41">
        <f>ITC_Data!E3</f>
        <v>1252.3599999999999</v>
      </c>
      <c r="F9" s="42">
        <f>D9*E9</f>
        <v>509710.51999999996</v>
      </c>
      <c r="G9" s="42">
        <f>ITC_Data!I3</f>
        <v>-3727.82</v>
      </c>
      <c r="H9" s="42">
        <f>SUM(F9:G9)</f>
        <v>505982.69999999995</v>
      </c>
      <c r="I9" s="42"/>
      <c r="J9" s="42">
        <f>ITC_Data!K3</f>
        <v>79040.320000000007</v>
      </c>
      <c r="K9" s="42">
        <f>ITC_Data!L3</f>
        <v>28954.460000000003</v>
      </c>
      <c r="L9" s="42">
        <f>ITC_Data!M3</f>
        <v>35218.9</v>
      </c>
      <c r="M9" s="42"/>
      <c r="N9" s="43">
        <f>$H9/J9</f>
        <v>6.4015770685138911</v>
      </c>
      <c r="O9" s="43">
        <f>IF($H9/K9&gt;0,$H9/K9,0)</f>
        <v>17.475121276653059</v>
      </c>
      <c r="P9" s="43">
        <f>IF(F9/L9&gt;0,F9/L9,"-")</f>
        <v>14.472641678189834</v>
      </c>
    </row>
    <row r="10" spans="2:16" x14ac:dyDescent="0.25">
      <c r="B10" s="11" t="str">
        <f>ITC_Data!C4</f>
        <v>Godfrey Phillips</v>
      </c>
      <c r="C10" s="11"/>
      <c r="D10" s="12">
        <f>ITC_Data!D4</f>
        <v>8983.5</v>
      </c>
      <c r="E10" s="27">
        <f>ITC_Data!E4</f>
        <v>5.2</v>
      </c>
      <c r="F10" s="12">
        <f t="shared" ref="F10:F18" si="0">D10*E10</f>
        <v>46714.200000000004</v>
      </c>
      <c r="G10" s="12">
        <f>ITC_Data!I4</f>
        <v>148.66</v>
      </c>
      <c r="H10" s="12">
        <f t="shared" ref="H10:H18" si="1">SUM(F10:G10)</f>
        <v>46862.860000000008</v>
      </c>
      <c r="I10" s="12"/>
      <c r="J10" s="12">
        <f>ITC_Data!K4</f>
        <v>6032.39</v>
      </c>
      <c r="K10" s="12">
        <f>ITC_Data!L4</f>
        <v>1714.83</v>
      </c>
      <c r="L10" s="12">
        <f>ITC_Data!M4</f>
        <v>1200.04</v>
      </c>
      <c r="M10" s="13"/>
      <c r="N10" s="28">
        <f t="shared" ref="N10:N18" si="2">$H10/J10</f>
        <v>7.7685395009274938</v>
      </c>
      <c r="O10" s="28">
        <f t="shared" ref="O10:O18" si="3">IF($H10/K10&gt;0,$H10/K10,0)</f>
        <v>27.327991695969867</v>
      </c>
      <c r="P10" s="28">
        <f>IF(F10/L10&gt;0,F10/L10,"-")</f>
        <v>38.927202426585787</v>
      </c>
    </row>
    <row r="11" spans="2:16" x14ac:dyDescent="0.25">
      <c r="B11" s="11" t="str">
        <f>ITC_Data!C5</f>
        <v>Elitecon Inter.</v>
      </c>
      <c r="C11" s="11"/>
      <c r="D11" s="12">
        <f>ITC_Data!D5</f>
        <v>213.7</v>
      </c>
      <c r="E11" s="27">
        <f>ITC_Data!E5</f>
        <v>159.85</v>
      </c>
      <c r="F11" s="12">
        <f t="shared" si="0"/>
        <v>34159.945</v>
      </c>
      <c r="G11" s="12">
        <f>ITC_Data!I5</f>
        <v>-0.16000000000000014</v>
      </c>
      <c r="H11" s="12">
        <f t="shared" si="1"/>
        <v>34159.784999999996</v>
      </c>
      <c r="I11" s="12"/>
      <c r="J11" s="12">
        <f>ITC_Data!K5</f>
        <v>548.76</v>
      </c>
      <c r="K11" s="12">
        <f>ITC_Data!L5</f>
        <v>71.61</v>
      </c>
      <c r="L11" s="12">
        <f>ITC_Data!M5</f>
        <v>69.650000000000006</v>
      </c>
      <c r="M11" s="13"/>
      <c r="N11" s="28">
        <f t="shared" si="2"/>
        <v>62.249043297616439</v>
      </c>
      <c r="O11" s="28">
        <f t="shared" si="3"/>
        <v>477.02534562211974</v>
      </c>
      <c r="P11" s="28">
        <f>IF(F11/L11&gt;0,F11/L11,"-")</f>
        <v>490.45147164393393</v>
      </c>
    </row>
    <row r="12" spans="2:16" x14ac:dyDescent="0.25">
      <c r="B12" s="11" t="str">
        <f>ITC_Data!C6</f>
        <v>VST Industries</v>
      </c>
      <c r="C12" s="11"/>
      <c r="D12" s="12">
        <f>ITC_Data!D6</f>
        <v>282</v>
      </c>
      <c r="E12" s="27">
        <f>ITC_Data!E6</f>
        <v>16.989999999999998</v>
      </c>
      <c r="F12" s="12">
        <f t="shared" si="0"/>
        <v>4791.1799999999994</v>
      </c>
      <c r="G12" s="12">
        <f>ITC_Data!I6</f>
        <v>-17.55</v>
      </c>
      <c r="H12" s="12">
        <f t="shared" si="1"/>
        <v>4773.6299999999992</v>
      </c>
      <c r="I12" s="12"/>
      <c r="J12" s="12">
        <f>ITC_Data!K6</f>
        <v>1374.32</v>
      </c>
      <c r="K12" s="12">
        <f>ITC_Data!L6</f>
        <v>318.99</v>
      </c>
      <c r="L12" s="12">
        <f>ITC_Data!M6</f>
        <v>292.95</v>
      </c>
      <c r="M12" s="13"/>
      <c r="N12" s="28">
        <f t="shared" si="2"/>
        <v>3.4734486873508348</v>
      </c>
      <c r="O12" s="28">
        <f t="shared" si="3"/>
        <v>14.964826483588825</v>
      </c>
      <c r="P12" s="28">
        <f>IF(F12/L12&gt;0,F12/L12,"-")</f>
        <v>16.354941116231437</v>
      </c>
    </row>
    <row r="13" spans="2:16" x14ac:dyDescent="0.25">
      <c r="B13" s="11" t="str">
        <f>ITC_Data!C7</f>
        <v>NTC Industries</v>
      </c>
      <c r="C13" s="11"/>
      <c r="D13" s="12">
        <f>ITC_Data!D7</f>
        <v>169.7</v>
      </c>
      <c r="E13" s="27">
        <f>ITC_Data!E7</f>
        <v>1.45</v>
      </c>
      <c r="F13" s="12">
        <f t="shared" si="0"/>
        <v>246.06499999999997</v>
      </c>
      <c r="G13" s="12">
        <f>ITC_Data!I7</f>
        <v>75.569999999999993</v>
      </c>
      <c r="H13" s="12">
        <f t="shared" si="1"/>
        <v>321.63499999999999</v>
      </c>
      <c r="I13" s="12"/>
      <c r="J13" s="12">
        <f>ITC_Data!K7</f>
        <v>60.09</v>
      </c>
      <c r="K13" s="12">
        <f>ITC_Data!L7</f>
        <v>21.799999999999997</v>
      </c>
      <c r="L13" s="12">
        <f>ITC_Data!M7</f>
        <v>11.37</v>
      </c>
      <c r="M13" s="13"/>
      <c r="N13" s="28">
        <f t="shared" si="2"/>
        <v>5.3525545015809612</v>
      </c>
      <c r="O13" s="28">
        <f t="shared" si="3"/>
        <v>14.753899082568809</v>
      </c>
      <c r="P13" s="28">
        <f>IF(F13/L13&gt;0,F13/L13,0)</f>
        <v>21.641600703605981</v>
      </c>
    </row>
    <row r="14" spans="2:16" x14ac:dyDescent="0.25">
      <c r="B14" s="11" t="str">
        <f>ITC_Data!C8</f>
        <v>Sinnar Bidi Udy.</v>
      </c>
      <c r="C14" s="11"/>
      <c r="D14" s="12">
        <f>ITC_Data!D8</f>
        <v>997.15</v>
      </c>
      <c r="E14" s="27">
        <f>ITC_Data!E8</f>
        <v>0.04</v>
      </c>
      <c r="F14" s="12">
        <f t="shared" si="0"/>
        <v>39.886000000000003</v>
      </c>
      <c r="G14" s="12">
        <f>ITC_Data!I8</f>
        <v>-2.82</v>
      </c>
      <c r="H14" s="12">
        <f t="shared" si="1"/>
        <v>37.066000000000003</v>
      </c>
      <c r="I14" s="12"/>
      <c r="J14" s="12">
        <f>ITC_Data!K8</f>
        <v>4.7300000000000004</v>
      </c>
      <c r="K14" s="12">
        <f>ITC_Data!L8</f>
        <v>-0.12000000000000001</v>
      </c>
      <c r="L14" s="12">
        <f>ITC_Data!M8</f>
        <v>-0.12</v>
      </c>
      <c r="M14" s="13"/>
      <c r="N14" s="28">
        <f t="shared" si="2"/>
        <v>7.836363636363636</v>
      </c>
      <c r="O14" s="28">
        <f t="shared" si="3"/>
        <v>0</v>
      </c>
      <c r="P14" s="28">
        <f>IF(F14/L14&gt;0,F14/L14,0)</f>
        <v>0</v>
      </c>
    </row>
    <row r="15" spans="2:16" x14ac:dyDescent="0.25">
      <c r="B15" s="11" t="str">
        <f>ITC_Data!C9</f>
        <v>Shanthala FMCG</v>
      </c>
      <c r="C15" s="11"/>
      <c r="D15" s="12">
        <f>ITC_Data!D9</f>
        <v>35</v>
      </c>
      <c r="E15" s="27">
        <f>ITC_Data!E9</f>
        <v>0.67</v>
      </c>
      <c r="F15" s="12">
        <f t="shared" si="0"/>
        <v>23.450000000000003</v>
      </c>
      <c r="G15" s="12">
        <f>ITC_Data!I9</f>
        <v>-2.06</v>
      </c>
      <c r="H15" s="12">
        <f t="shared" si="1"/>
        <v>21.390000000000004</v>
      </c>
      <c r="I15" s="12"/>
      <c r="J15" s="12">
        <f>ITC_Data!K9</f>
        <v>52.75</v>
      </c>
      <c r="K15" s="12">
        <f>ITC_Data!L9</f>
        <v>1.37</v>
      </c>
      <c r="L15" s="12">
        <f>ITC_Data!M9</f>
        <v>0.97</v>
      </c>
      <c r="M15" s="13"/>
      <c r="N15" s="28">
        <f t="shared" si="2"/>
        <v>0.40549763033175362</v>
      </c>
      <c r="O15" s="28">
        <f t="shared" si="3"/>
        <v>15.613138686131389</v>
      </c>
      <c r="P15" s="28">
        <f>IF(F15/L15&gt;0,F15/L15,"-")</f>
        <v>24.175257731958766</v>
      </c>
    </row>
    <row r="16" spans="2:16" x14ac:dyDescent="0.25">
      <c r="B16" s="11" t="str">
        <f>ITC_Data!C10</f>
        <v>Raghunath Intl.</v>
      </c>
      <c r="C16" s="11"/>
      <c r="D16" s="12">
        <f>ITC_Data!D10</f>
        <v>13.3</v>
      </c>
      <c r="E16" s="27">
        <f>ITC_Data!E10</f>
        <v>0.5</v>
      </c>
      <c r="F16" s="12">
        <f t="shared" si="0"/>
        <v>6.65</v>
      </c>
      <c r="G16" s="12">
        <f>ITC_Data!I10</f>
        <v>-0.22</v>
      </c>
      <c r="H16" s="12">
        <f t="shared" si="1"/>
        <v>6.4300000000000006</v>
      </c>
      <c r="I16" s="12"/>
      <c r="J16" s="12">
        <f>ITC_Data!K10</f>
        <v>0.28000000000000003</v>
      </c>
      <c r="K16" s="12">
        <f>ITC_Data!L10</f>
        <v>3.04</v>
      </c>
      <c r="L16" s="12">
        <f>ITC_Data!M10</f>
        <v>2.5299999999999998</v>
      </c>
      <c r="M16" s="13"/>
      <c r="N16" s="28">
        <f t="shared" si="2"/>
        <v>22.964285714285715</v>
      </c>
      <c r="O16" s="28">
        <f t="shared" si="3"/>
        <v>2.1151315789473686</v>
      </c>
      <c r="P16" s="28">
        <f>IF(F16/L16&gt;0,F16/L16,"-")</f>
        <v>2.6284584980237158</v>
      </c>
    </row>
    <row r="17" spans="2:20" x14ac:dyDescent="0.25">
      <c r="B17" s="11" t="str">
        <f>ITC_Data!C11</f>
        <v>Shanthala FMCG</v>
      </c>
      <c r="C17" s="11"/>
      <c r="D17" s="12">
        <f>ITC_Data!D11</f>
        <v>35</v>
      </c>
      <c r="E17" s="27">
        <f>ITC_Data!E11</f>
        <v>0.67</v>
      </c>
      <c r="F17" s="12">
        <f t="shared" si="0"/>
        <v>23.450000000000003</v>
      </c>
      <c r="G17" s="12">
        <f>ITC_Data!I11</f>
        <v>-2.06</v>
      </c>
      <c r="H17" s="12">
        <f t="shared" si="1"/>
        <v>21.390000000000004</v>
      </c>
      <c r="I17" s="12"/>
      <c r="J17" s="12">
        <f>ITC_Data!K11</f>
        <v>52.75</v>
      </c>
      <c r="K17" s="12">
        <f>ITC_Data!L11</f>
        <v>1.37</v>
      </c>
      <c r="L17" s="12">
        <f>ITC_Data!M11</f>
        <v>0.97</v>
      </c>
      <c r="M17" s="13"/>
      <c r="N17" s="28">
        <f t="shared" si="2"/>
        <v>0.40549763033175362</v>
      </c>
      <c r="O17" s="28">
        <f t="shared" si="3"/>
        <v>15.613138686131389</v>
      </c>
      <c r="P17" s="28">
        <f>IF(F17/L17&gt;0,F17/L17,"-")</f>
        <v>24.175257731958766</v>
      </c>
    </row>
    <row r="18" spans="2:20" x14ac:dyDescent="0.25">
      <c r="B18" s="11" t="str">
        <f>ITC_Data!C12</f>
        <v>Raghunath Intl.</v>
      </c>
      <c r="C18" s="11"/>
      <c r="D18" s="12">
        <f>ITC_Data!D12</f>
        <v>13.3</v>
      </c>
      <c r="E18" s="27">
        <f>ITC_Data!E12</f>
        <v>0.5</v>
      </c>
      <c r="F18" s="12">
        <f t="shared" si="0"/>
        <v>6.65</v>
      </c>
      <c r="G18" s="12">
        <f>ITC_Data!I12</f>
        <v>-0.22</v>
      </c>
      <c r="H18" s="12">
        <f t="shared" si="1"/>
        <v>6.4300000000000006</v>
      </c>
      <c r="I18" s="12"/>
      <c r="J18" s="12">
        <f>ITC_Data!K12</f>
        <v>0.28000000000000003</v>
      </c>
      <c r="K18" s="12">
        <f>ITC_Data!L12</f>
        <v>3.04</v>
      </c>
      <c r="L18" s="12">
        <f>ITC_Data!M12</f>
        <v>2.5299999999999998</v>
      </c>
      <c r="M18" s="13"/>
      <c r="N18" s="28">
        <f t="shared" si="2"/>
        <v>22.964285714285715</v>
      </c>
      <c r="O18" s="28">
        <f t="shared" si="3"/>
        <v>2.1151315789473686</v>
      </c>
      <c r="P18" s="28">
        <f>IF(F18/L18&gt;0,F18/L18,"-")</f>
        <v>2.6284584980237158</v>
      </c>
    </row>
    <row r="19" spans="2:20" ht="6.75" customHeight="1" x14ac:dyDescent="0.25"/>
    <row r="20" spans="2:20" x14ac:dyDescent="0.25">
      <c r="B20" s="14" t="s">
        <v>26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>
        <f>MAX(N$9:N$18)</f>
        <v>62.249043297616439</v>
      </c>
      <c r="O20" s="15">
        <f t="shared" ref="O20:P20" si="4">MAX(O$9:O$18)</f>
        <v>477.02534562211974</v>
      </c>
      <c r="P20" s="15">
        <f t="shared" si="4"/>
        <v>490.45147164393393</v>
      </c>
    </row>
    <row r="21" spans="2:20" x14ac:dyDescent="0.25">
      <c r="B21" s="14" t="s">
        <v>27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>
        <f>QUARTILE(N$9:N$18,3)</f>
        <v>19.182305194805195</v>
      </c>
      <c r="O21" s="15">
        <f t="shared" ref="O21:P21" si="5">QUARTILE(O$9:O$18,3)</f>
        <v>17.009625629022644</v>
      </c>
      <c r="P21" s="15">
        <f t="shared" si="5"/>
        <v>24.175257731958766</v>
      </c>
    </row>
    <row r="22" spans="2:20" x14ac:dyDescent="0.25">
      <c r="B22" s="16" t="s">
        <v>28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>
        <f>AVERAGE(N$9:N$18)</f>
        <v>13.982109338158821</v>
      </c>
      <c r="O22" s="17">
        <f t="shared" ref="O22:P22" si="6">AVERAGE(O$9:O$18)</f>
        <v>58.700372469105787</v>
      </c>
      <c r="P22" s="17">
        <f t="shared" si="6"/>
        <v>63.545529002851183</v>
      </c>
      <c r="T22" t="s">
        <v>29</v>
      </c>
    </row>
    <row r="23" spans="2:20" x14ac:dyDescent="0.25">
      <c r="B23" s="16" t="s">
        <v>30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>
        <f>MEDIAN(N$9:N$18)</f>
        <v>7.0850582847206924</v>
      </c>
      <c r="O23" s="17">
        <f t="shared" ref="O23:P23" si="7">MEDIAN(O$9:O$18)</f>
        <v>15.288982584860108</v>
      </c>
      <c r="P23" s="17">
        <f t="shared" si="7"/>
        <v>18.998270909918709</v>
      </c>
    </row>
    <row r="24" spans="2:20" x14ac:dyDescent="0.25">
      <c r="B24" s="14" t="s">
        <v>31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>
        <f>QUARTILE(N$9:N$18,1)</f>
        <v>3.9432251409083663</v>
      </c>
      <c r="O24" s="15">
        <f t="shared" ref="O24:P24" si="8">QUARTILE(O$9:O$18,1)</f>
        <v>5.2748234548527293</v>
      </c>
      <c r="P24" s="15">
        <f t="shared" si="8"/>
        <v>5.5895042930652457</v>
      </c>
    </row>
    <row r="25" spans="2:20" x14ac:dyDescent="0.25">
      <c r="B25" s="14" t="s">
        <v>32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>
        <f>MIN(N$9:N$18)</f>
        <v>0.40549763033175362</v>
      </c>
      <c r="O25" s="15">
        <f t="shared" ref="O25:P25" si="9">MIN(O$9:O$18)</f>
        <v>0</v>
      </c>
      <c r="P25" s="15">
        <f t="shared" si="9"/>
        <v>0</v>
      </c>
    </row>
    <row r="27" spans="2:20" x14ac:dyDescent="0.25">
      <c r="B27" s="18" t="s">
        <v>44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6" t="s">
        <v>23</v>
      </c>
      <c r="O27" s="6" t="s">
        <v>24</v>
      </c>
      <c r="P27" s="6" t="s">
        <v>25</v>
      </c>
    </row>
    <row r="28" spans="2:20" ht="3.75" customHeight="1" x14ac:dyDescent="0.25"/>
    <row r="29" spans="2:20" x14ac:dyDescent="0.25">
      <c r="B29" s="20" t="s">
        <v>33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>N23*J9</f>
        <v>560005.27404297469</v>
      </c>
      <c r="O29" s="21">
        <f>O23*K9</f>
        <v>442684.23469402862</v>
      </c>
      <c r="P29" s="21">
        <f>P31+P30</f>
        <v>665370.3833493361</v>
      </c>
    </row>
    <row r="30" spans="2:20" x14ac:dyDescent="0.25">
      <c r="B30" s="20" t="s">
        <v>9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>$G$9</f>
        <v>-3727.82</v>
      </c>
      <c r="O30" s="21">
        <f t="shared" ref="O30:P30" si="10">$G$9</f>
        <v>-3727.82</v>
      </c>
      <c r="P30" s="21">
        <f t="shared" si="10"/>
        <v>-3727.82</v>
      </c>
    </row>
    <row r="31" spans="2:20" x14ac:dyDescent="0.25">
      <c r="B31" s="20" t="s">
        <v>34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>N29-N30</f>
        <v>563733.09404297464</v>
      </c>
      <c r="O31" s="21">
        <f>O29-O30</f>
        <v>446412.05469402863</v>
      </c>
      <c r="P31" s="21">
        <f>P23*L9</f>
        <v>669098.20334933605</v>
      </c>
    </row>
    <row r="32" spans="2:20" x14ac:dyDescent="0.25">
      <c r="B32" s="20" t="s">
        <v>18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2">
        <f>$E$9</f>
        <v>1252.3599999999999</v>
      </c>
      <c r="O32" s="22">
        <f t="shared" ref="O32:P32" si="11">$E$9</f>
        <v>1252.3599999999999</v>
      </c>
      <c r="P32" s="22">
        <f t="shared" si="11"/>
        <v>1252.3599999999999</v>
      </c>
    </row>
    <row r="33" spans="2:16" ht="5.25" customHeight="1" x14ac:dyDescent="0.25">
      <c r="N33" s="10"/>
      <c r="O33" s="10"/>
      <c r="P33" s="10"/>
    </row>
    <row r="34" spans="2:16" x14ac:dyDescent="0.25">
      <c r="B34" s="23" t="s">
        <v>35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4">
        <f>N31/N32</f>
        <v>450.13661730091565</v>
      </c>
      <c r="O34" s="24">
        <f t="shared" ref="O34:P34" si="12">O31/O32</f>
        <v>356.45665359323891</v>
      </c>
      <c r="P34" s="24">
        <f t="shared" si="12"/>
        <v>534.2698611815581</v>
      </c>
    </row>
    <row r="35" spans="2:16" ht="3.75" customHeight="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6"/>
      <c r="P35" s="26"/>
    </row>
    <row r="36" spans="2:16" x14ac:dyDescent="0.25">
      <c r="B36" s="2"/>
      <c r="N36" s="37" t="str">
        <f>IF(N34&gt;$D$9,"Undervalued","Overvalued")</f>
        <v>Undervalued</v>
      </c>
      <c r="O36" s="37" t="str">
        <f t="shared" ref="O36:P36" si="13">IF(O34&gt;$D$9,"Undervalued","Overvalued")</f>
        <v>Overvalued</v>
      </c>
      <c r="P36" s="37" t="str">
        <f>IF(P34&gt;$D$9,"Undervalued","Overvalued")</f>
        <v>Undervalued</v>
      </c>
    </row>
  </sheetData>
  <mergeCells count="3">
    <mergeCell ref="D6:H6"/>
    <mergeCell ref="J6:L6"/>
    <mergeCell ref="N6:P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2"/>
  <sheetViews>
    <sheetView showGridLines="0" workbookViewId="0">
      <selection activeCell="D24" sqref="D24"/>
    </sheetView>
  </sheetViews>
  <sheetFormatPr defaultRowHeight="15" x14ac:dyDescent="0.25"/>
  <cols>
    <col min="1" max="1" width="1.85546875" customWidth="1"/>
    <col min="2" max="2" width="5.7109375" bestFit="1" customWidth="1"/>
    <col min="3" max="3" width="15.42578125" bestFit="1" customWidth="1"/>
    <col min="4" max="4" width="8.140625" bestFit="1" customWidth="1"/>
    <col min="5" max="5" width="16.5703125" bestFit="1" customWidth="1"/>
    <col min="6" max="6" width="16.5703125" customWidth="1"/>
    <col min="7" max="7" width="10.7109375" bestFit="1" customWidth="1"/>
    <col min="8" max="8" width="14.42578125" bestFit="1" customWidth="1"/>
    <col min="9" max="10" width="14.42578125" customWidth="1"/>
    <col min="11" max="11" width="11" bestFit="1" customWidth="1"/>
    <col min="12" max="12" width="11" customWidth="1"/>
    <col min="13" max="13" width="13.42578125" bestFit="1" customWidth="1"/>
    <col min="14" max="14" width="14.5703125" bestFit="1" customWidth="1"/>
    <col min="15" max="15" width="14.42578125" bestFit="1" customWidth="1"/>
    <col min="16" max="16" width="14.140625" bestFit="1" customWidth="1"/>
  </cols>
  <sheetData>
    <row r="2" spans="2:15" x14ac:dyDescent="0.25">
      <c r="B2" s="29" t="s">
        <v>0</v>
      </c>
      <c r="C2" s="29" t="s">
        <v>1</v>
      </c>
      <c r="D2" s="30" t="s">
        <v>2</v>
      </c>
      <c r="E2" s="30" t="s">
        <v>3</v>
      </c>
      <c r="F2" s="30" t="s">
        <v>8</v>
      </c>
      <c r="G2" s="30" t="s">
        <v>4</v>
      </c>
      <c r="H2" s="30" t="s">
        <v>5</v>
      </c>
      <c r="I2" s="30" t="s">
        <v>9</v>
      </c>
      <c r="J2" s="30" t="s">
        <v>10</v>
      </c>
      <c r="K2" s="30" t="s">
        <v>6</v>
      </c>
      <c r="L2" s="30" t="s">
        <v>11</v>
      </c>
      <c r="M2" s="30" t="s">
        <v>7</v>
      </c>
    </row>
    <row r="3" spans="2:15" x14ac:dyDescent="0.25">
      <c r="B3" s="1">
        <v>1</v>
      </c>
      <c r="C3" s="1" t="s">
        <v>43</v>
      </c>
      <c r="D3" s="32">
        <v>407</v>
      </c>
      <c r="E3" s="32">
        <v>1252.3599999999999</v>
      </c>
      <c r="F3" s="31">
        <f>D3*E3</f>
        <v>509710.51999999996</v>
      </c>
      <c r="G3" s="32">
        <v>284.54000000000002</v>
      </c>
      <c r="H3" s="32">
        <v>4012.36</v>
      </c>
      <c r="I3" s="31">
        <f>G3-H3</f>
        <v>-3727.82</v>
      </c>
      <c r="J3" s="31">
        <f>F3+G3-H3</f>
        <v>505982.69999999995</v>
      </c>
      <c r="K3" s="31">
        <v>79040.320000000007</v>
      </c>
      <c r="L3">
        <v>28954.460000000003</v>
      </c>
      <c r="M3" s="31">
        <v>35218.9</v>
      </c>
    </row>
    <row r="4" spans="2:15" x14ac:dyDescent="0.25">
      <c r="B4" s="1">
        <v>2</v>
      </c>
      <c r="C4" s="1" t="s">
        <v>36</v>
      </c>
      <c r="D4" s="32">
        <v>8983.5</v>
      </c>
      <c r="E4" s="32">
        <v>5.2</v>
      </c>
      <c r="F4" s="31">
        <f t="shared" ref="F4:F12" si="0">D4*E4</f>
        <v>46714.200000000004</v>
      </c>
      <c r="G4" s="32">
        <v>178.97</v>
      </c>
      <c r="H4" s="32">
        <v>30.31</v>
      </c>
      <c r="I4" s="31">
        <f t="shared" ref="I4:I12" si="1">G4-H4</f>
        <v>148.66</v>
      </c>
      <c r="J4" s="31">
        <f t="shared" ref="J4:J12" si="2">F4+G4-H4</f>
        <v>46862.860000000008</v>
      </c>
      <c r="K4" s="31">
        <v>6032.39</v>
      </c>
      <c r="L4">
        <v>1714.83</v>
      </c>
      <c r="M4" s="31">
        <v>1200.04</v>
      </c>
    </row>
    <row r="5" spans="2:15" x14ac:dyDescent="0.25">
      <c r="B5" s="1">
        <v>3</v>
      </c>
      <c r="C5" s="1" t="s">
        <v>37</v>
      </c>
      <c r="D5" s="32">
        <v>213.7</v>
      </c>
      <c r="E5" s="32">
        <v>159.85</v>
      </c>
      <c r="F5" s="31">
        <f t="shared" si="0"/>
        <v>34159.945</v>
      </c>
      <c r="G5" s="32">
        <v>2.5099999999999998</v>
      </c>
      <c r="H5" s="32">
        <v>2.67</v>
      </c>
      <c r="I5" s="31">
        <f t="shared" si="1"/>
        <v>-0.16000000000000014</v>
      </c>
      <c r="J5" s="31">
        <f t="shared" si="2"/>
        <v>34159.785000000003</v>
      </c>
      <c r="K5" s="31">
        <v>548.76</v>
      </c>
      <c r="L5">
        <v>71.61</v>
      </c>
      <c r="M5" s="31">
        <v>69.650000000000006</v>
      </c>
    </row>
    <row r="6" spans="2:15" x14ac:dyDescent="0.25">
      <c r="B6" s="1">
        <v>4</v>
      </c>
      <c r="C6" s="1" t="s">
        <v>38</v>
      </c>
      <c r="D6" s="32">
        <v>282</v>
      </c>
      <c r="E6" s="32">
        <v>16.989999999999998</v>
      </c>
      <c r="F6" s="31">
        <f t="shared" si="0"/>
        <v>4791.1799999999994</v>
      </c>
      <c r="G6" s="32">
        <v>0</v>
      </c>
      <c r="H6" s="32">
        <v>17.55</v>
      </c>
      <c r="I6" s="31">
        <f t="shared" si="1"/>
        <v>-17.55</v>
      </c>
      <c r="J6" s="31">
        <f t="shared" si="2"/>
        <v>4773.6299999999992</v>
      </c>
      <c r="K6" s="31">
        <v>1374.32</v>
      </c>
      <c r="L6">
        <v>318.99</v>
      </c>
      <c r="M6" s="31">
        <v>292.95</v>
      </c>
      <c r="N6" s="31"/>
      <c r="O6" s="31"/>
    </row>
    <row r="7" spans="2:15" x14ac:dyDescent="0.25">
      <c r="B7" s="1">
        <v>5</v>
      </c>
      <c r="C7" s="1" t="s">
        <v>39</v>
      </c>
      <c r="D7" s="32">
        <v>169.7</v>
      </c>
      <c r="E7" s="32">
        <v>1.45</v>
      </c>
      <c r="F7" s="31">
        <f t="shared" si="0"/>
        <v>246.06499999999997</v>
      </c>
      <c r="G7" s="32">
        <v>77.08</v>
      </c>
      <c r="H7" s="32">
        <v>1.51</v>
      </c>
      <c r="I7" s="31">
        <f t="shared" si="1"/>
        <v>75.569999999999993</v>
      </c>
      <c r="J7" s="31">
        <f t="shared" si="2"/>
        <v>321.63499999999999</v>
      </c>
      <c r="K7" s="31">
        <v>60.09</v>
      </c>
      <c r="L7">
        <v>21.799999999999997</v>
      </c>
      <c r="M7" s="31">
        <v>11.37</v>
      </c>
      <c r="N7" s="31"/>
      <c r="O7" s="31"/>
    </row>
    <row r="8" spans="2:15" x14ac:dyDescent="0.25">
      <c r="B8" s="1">
        <v>6</v>
      </c>
      <c r="C8" s="1" t="s">
        <v>40</v>
      </c>
      <c r="D8" s="32">
        <v>997.15</v>
      </c>
      <c r="E8" s="32">
        <v>0.04</v>
      </c>
      <c r="F8" s="31">
        <f t="shared" si="0"/>
        <v>39.886000000000003</v>
      </c>
      <c r="G8" s="32">
        <v>0</v>
      </c>
      <c r="H8" s="32">
        <v>2.82</v>
      </c>
      <c r="I8" s="31">
        <f t="shared" si="1"/>
        <v>-2.82</v>
      </c>
      <c r="J8" s="31">
        <f t="shared" si="2"/>
        <v>37.066000000000003</v>
      </c>
      <c r="K8" s="31">
        <v>4.7300000000000004</v>
      </c>
      <c r="L8">
        <v>-0.12000000000000001</v>
      </c>
      <c r="M8" s="31">
        <v>-0.12</v>
      </c>
      <c r="N8" s="31"/>
      <c r="O8" s="31"/>
    </row>
    <row r="9" spans="2:15" x14ac:dyDescent="0.25">
      <c r="B9" s="1">
        <v>7</v>
      </c>
      <c r="C9" s="1" t="s">
        <v>41</v>
      </c>
      <c r="D9" s="32">
        <v>35</v>
      </c>
      <c r="E9" s="32">
        <v>0.67</v>
      </c>
      <c r="F9" s="31">
        <f t="shared" si="0"/>
        <v>23.450000000000003</v>
      </c>
      <c r="G9" s="32">
        <v>0.11</v>
      </c>
      <c r="H9" s="32">
        <v>2.17</v>
      </c>
      <c r="I9" s="31">
        <f t="shared" si="1"/>
        <v>-2.06</v>
      </c>
      <c r="J9" s="31">
        <f t="shared" si="2"/>
        <v>21.39</v>
      </c>
      <c r="K9" s="31">
        <v>52.75</v>
      </c>
      <c r="L9">
        <v>1.37</v>
      </c>
      <c r="M9" s="31">
        <v>0.97</v>
      </c>
      <c r="N9" s="31"/>
      <c r="O9" s="31"/>
    </row>
    <row r="10" spans="2:15" x14ac:dyDescent="0.25">
      <c r="B10" s="1">
        <v>8</v>
      </c>
      <c r="C10" s="1" t="s">
        <v>42</v>
      </c>
      <c r="D10" s="32">
        <v>13.3</v>
      </c>
      <c r="E10" s="32">
        <v>0.5</v>
      </c>
      <c r="F10" s="31">
        <f t="shared" si="0"/>
        <v>6.65</v>
      </c>
      <c r="G10" s="32">
        <v>0</v>
      </c>
      <c r="H10" s="32">
        <v>0.22</v>
      </c>
      <c r="I10" s="31">
        <f t="shared" si="1"/>
        <v>-0.22</v>
      </c>
      <c r="J10" s="31">
        <f t="shared" si="2"/>
        <v>6.4300000000000006</v>
      </c>
      <c r="K10" s="31">
        <v>0.28000000000000003</v>
      </c>
      <c r="L10">
        <v>3.04</v>
      </c>
      <c r="M10" s="31">
        <v>2.5299999999999998</v>
      </c>
      <c r="N10" s="31"/>
      <c r="O10" s="31"/>
    </row>
    <row r="11" spans="2:15" x14ac:dyDescent="0.25">
      <c r="B11" s="1">
        <v>9</v>
      </c>
      <c r="C11" s="1" t="s">
        <v>41</v>
      </c>
      <c r="D11" s="32">
        <v>35</v>
      </c>
      <c r="E11" s="32">
        <v>0.67</v>
      </c>
      <c r="F11" s="31">
        <f t="shared" si="0"/>
        <v>23.450000000000003</v>
      </c>
      <c r="G11" s="32">
        <v>0.11</v>
      </c>
      <c r="H11" s="32">
        <v>2.17</v>
      </c>
      <c r="I11" s="31">
        <f t="shared" si="1"/>
        <v>-2.06</v>
      </c>
      <c r="J11" s="31">
        <f t="shared" si="2"/>
        <v>21.39</v>
      </c>
      <c r="K11" s="31">
        <v>52.75</v>
      </c>
      <c r="L11">
        <v>1.37</v>
      </c>
      <c r="M11" s="31">
        <v>0.97</v>
      </c>
      <c r="N11" s="31"/>
      <c r="O11" s="31"/>
    </row>
    <row r="12" spans="2:15" x14ac:dyDescent="0.25">
      <c r="B12" s="1">
        <v>10</v>
      </c>
      <c r="C12" s="1" t="s">
        <v>42</v>
      </c>
      <c r="D12" s="32">
        <v>13.3</v>
      </c>
      <c r="E12" s="32">
        <v>0.5</v>
      </c>
      <c r="F12" s="31">
        <f t="shared" si="0"/>
        <v>6.65</v>
      </c>
      <c r="G12" s="32">
        <v>0</v>
      </c>
      <c r="H12" s="32">
        <v>0.22</v>
      </c>
      <c r="I12" s="31">
        <f t="shared" si="1"/>
        <v>-0.22</v>
      </c>
      <c r="J12" s="31">
        <f t="shared" si="2"/>
        <v>6.4300000000000006</v>
      </c>
      <c r="K12" s="31">
        <v>0.28000000000000003</v>
      </c>
      <c r="L12">
        <v>3.04</v>
      </c>
      <c r="M12" s="31">
        <v>2.5299999999999998</v>
      </c>
      <c r="N12" s="31"/>
      <c r="O12" s="31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Comps_Val_ITC</vt:lpstr>
      <vt:lpstr>ITC_Data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karnsharma</dc:creator>
  <cp:lastModifiedBy>Karn Sharma</cp:lastModifiedBy>
  <cp:lastPrinted>2025-08-04T18:24:12Z</cp:lastPrinted>
  <dcterms:created xsi:type="dcterms:W3CDTF">2025-08-04T14:07:39Z</dcterms:created>
  <dcterms:modified xsi:type="dcterms:W3CDTF">2025-11-12T11:21:17Z</dcterms:modified>
</cp:coreProperties>
</file>
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1d302b6f3a083292/Desktop/ALL PROJECTS/"/>
    </mc:Choice>
  </mc:AlternateContent>
  <xr:revisionPtr revIDLastSave="57" documentId="13_ncr:1_{28382450-3C72-4A98-8431-EB28DC11C724}" xr6:coauthVersionLast="47" xr6:coauthVersionMax="47" xr10:uidLastSave="{41418AE9-A57B-42A2-B1B6-0699BC2F9724}"/>
  <bookViews>
    <workbookView xWindow="-120" yWindow="-120" windowWidth="29040" windowHeight="16440" tabRatio="897" activeTab="6" xr2:uid="{00000000-000D-0000-FFFF-FFFF00000000}"/>
  </bookViews>
  <sheets>
    <sheet name="Financials" sheetId="18" r:id="rId1"/>
    <sheet name="Historical FS" sheetId="1" r:id="rId2"/>
    <sheet name="Common Size Statement" sheetId="4" r:id="rId3"/>
    <sheet name="Ratios" sheetId="5" r:id="rId4"/>
    <sheet name="WACC" sheetId="7" r:id="rId5"/>
    <sheet name="Intrinsic Growth" sheetId="13" r:id="rId6"/>
    <sheet name="DCF" sheetId="15" r:id="rId7"/>
    <sheet name="Football Field" sheetId="17" r:id="rId8"/>
    <sheet name="Data" sheetId="3" r:id="rId9"/>
    <sheet name="Data Sheet" sheetId="2" r:id="rId10"/>
    <sheet name="WACC Data" sheetId="8" r:id="rId11"/>
    <sheet name="RAW FS" sheetId="12" state="hidden" r:id="rId12"/>
    <sheet name="Rm" sheetId="11" state="hidden" r:id="rId13"/>
    <sheet name="Sector Data" sheetId="16" r:id="rId14"/>
    <sheet name="RAW FSn" sheetId="14" r:id="rId15"/>
    <sheet name="RAW FS ITC" sheetId="25" state="hidden" r:id="rId16"/>
    <sheet name="List of Stocks" sheetId="20" r:id="rId17"/>
    <sheet name="Forecasts" sheetId="26" state="hidden" r:id="rId18"/>
    <sheet name="Forecasting" sheetId="6" state="hidden" r:id="rId19"/>
    <sheet name="Beta - Regression" sheetId="9" state="hidden" r:id="rId20"/>
    <sheet name="Historical Data" sheetId="10" state="hidden" r:id="rId21"/>
    <sheet name="Analysis" sheetId="27" state="hidden" r:id="rId22"/>
    <sheet name="Dupont Analysis" sheetId="21" state="hidden" r:id="rId23"/>
    <sheet name="Altman Z Score" sheetId="23" state="hidden" r:id="rId24"/>
    <sheet name="Altman Theory" sheetId="24" state="hidden" r:id="rId25"/>
  </sheets>
  <externalReferences>
    <externalReference r:id="rId26"/>
    <externalReference r:id="rId27"/>
    <externalReference r:id="rId28"/>
  </externalReferences>
  <definedNames>
    <definedName name="_xlnm._FilterDatabase" localSheetId="20" hidden="1">'Historical Data'!$E$2:$F$107</definedName>
    <definedName name="_xlnm._FilterDatabase" localSheetId="16" hidden="1">'List of Stocks'!$A$2:$D$5049</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"04/29/2023 08:53:12"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23">'Altman Z Score'!$A$2:$I$117</definedName>
    <definedName name="_xlnm.Print_Area" localSheetId="22">'Dupont Analysis'!$A$2:$I$113</definedName>
    <definedName name="UPDATE" localSheetId="16">'[1]Data Sheet'!$E$1</definedName>
    <definedName name="UPDATE">'Data Sheet'!$E$1</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15" l="1"/>
  <c r="K7" i="15"/>
  <c r="G7" i="15" s="1"/>
  <c r="F7" i="15"/>
  <c r="D27" i="15"/>
  <c r="G40" i="13"/>
  <c r="H7" i="15" l="1"/>
  <c r="I7" i="15" s="1"/>
  <c r="J7" i="15" s="1"/>
  <c r="G8" i="15"/>
  <c r="H8" i="15" s="1"/>
  <c r="I8" i="15" s="1"/>
  <c r="J8" i="15" s="1"/>
  <c r="K8" i="15" s="1"/>
  <c r="L43" i="5"/>
  <c r="L44" i="5"/>
  <c r="L42" i="5"/>
  <c r="L45" i="5" l="1"/>
  <c r="B19" i="12"/>
  <c r="C19" i="12"/>
  <c r="D19" i="12"/>
  <c r="E19" i="12"/>
  <c r="F19" i="12"/>
  <c r="G19" i="12"/>
  <c r="H19" i="12"/>
  <c r="I19" i="12"/>
  <c r="J19" i="12"/>
  <c r="K19" i="12"/>
  <c r="L19" i="12"/>
  <c r="M19" i="12"/>
  <c r="N19" i="12"/>
  <c r="B6" i="12"/>
  <c r="C6" i="12"/>
  <c r="D6" i="12"/>
  <c r="E6" i="12"/>
  <c r="F6" i="12"/>
  <c r="G6" i="12"/>
  <c r="H6" i="12"/>
  <c r="I6" i="12"/>
  <c r="J6" i="12"/>
  <c r="K6" i="12"/>
  <c r="L6" i="12"/>
  <c r="M6" i="12"/>
  <c r="N6" i="12"/>
  <c r="B7" i="12"/>
  <c r="B8" i="12"/>
  <c r="C8" i="12"/>
  <c r="D8" i="12"/>
  <c r="E8" i="12"/>
  <c r="F8" i="12"/>
  <c r="G8" i="12"/>
  <c r="H8" i="12"/>
  <c r="I8" i="12"/>
  <c r="J8" i="12"/>
  <c r="K8" i="12"/>
  <c r="L8" i="12"/>
  <c r="M8" i="12"/>
  <c r="N8" i="12"/>
  <c r="B9" i="12"/>
  <c r="C9" i="12"/>
  <c r="D9" i="12"/>
  <c r="E9" i="12"/>
  <c r="F9" i="12"/>
  <c r="G9" i="12"/>
  <c r="H9" i="12"/>
  <c r="I9" i="12"/>
  <c r="J9" i="12"/>
  <c r="K9" i="12"/>
  <c r="L9" i="12"/>
  <c r="M9" i="12"/>
  <c r="N9" i="12"/>
  <c r="B10" i="12"/>
  <c r="C10" i="12"/>
  <c r="D10" i="12"/>
  <c r="E10" i="12"/>
  <c r="F10" i="12"/>
  <c r="G10" i="12"/>
  <c r="H10" i="12"/>
  <c r="I10" i="12"/>
  <c r="J10" i="12"/>
  <c r="K10" i="12"/>
  <c r="L10" i="12"/>
  <c r="M10" i="12"/>
  <c r="N10" i="12"/>
  <c r="B11" i="12"/>
  <c r="C11" i="12"/>
  <c r="D11" i="12"/>
  <c r="E11" i="12"/>
  <c r="F11" i="12"/>
  <c r="G11" i="12"/>
  <c r="H11" i="12"/>
  <c r="I11" i="12"/>
  <c r="J11" i="12"/>
  <c r="K11" i="12"/>
  <c r="L11" i="12"/>
  <c r="M11" i="12"/>
  <c r="N11" i="12"/>
  <c r="B12" i="12"/>
  <c r="C12" i="12"/>
  <c r="D12" i="12"/>
  <c r="E12" i="12"/>
  <c r="F12" i="12"/>
  <c r="G12" i="12"/>
  <c r="H12" i="12"/>
  <c r="I12" i="12"/>
  <c r="J12" i="12"/>
  <c r="K12" i="12"/>
  <c r="L12" i="12"/>
  <c r="M12" i="12"/>
  <c r="N12" i="12"/>
  <c r="B13" i="12"/>
  <c r="C13" i="12"/>
  <c r="D13" i="12"/>
  <c r="E13" i="12"/>
  <c r="F13" i="12"/>
  <c r="G13" i="12"/>
  <c r="H13" i="12"/>
  <c r="I13" i="12"/>
  <c r="J13" i="12"/>
  <c r="K13" i="12"/>
  <c r="L13" i="12"/>
  <c r="M13" i="12"/>
  <c r="N13" i="12"/>
  <c r="B14" i="12"/>
  <c r="C14" i="12"/>
  <c r="D14" i="12"/>
  <c r="E14" i="12"/>
  <c r="F14" i="12"/>
  <c r="G14" i="12"/>
  <c r="H14" i="12"/>
  <c r="I14" i="12"/>
  <c r="J14" i="12"/>
  <c r="K14" i="12"/>
  <c r="L14" i="12"/>
  <c r="M14" i="12"/>
  <c r="N14" i="12"/>
  <c r="B15" i="12"/>
  <c r="C15" i="12"/>
  <c r="D15" i="12"/>
  <c r="E15" i="12"/>
  <c r="F15" i="12"/>
  <c r="G15" i="12"/>
  <c r="H15" i="12"/>
  <c r="I15" i="12"/>
  <c r="J15" i="12"/>
  <c r="K15" i="12"/>
  <c r="L15" i="12"/>
  <c r="M15" i="12"/>
  <c r="N15" i="12"/>
  <c r="B16" i="12"/>
  <c r="C16" i="12"/>
  <c r="D16" i="12"/>
  <c r="E16" i="12"/>
  <c r="F16" i="12"/>
  <c r="G16" i="12"/>
  <c r="H16" i="12"/>
  <c r="I16" i="12"/>
  <c r="J16" i="12"/>
  <c r="K16" i="12"/>
  <c r="L16" i="12"/>
  <c r="M16" i="12"/>
  <c r="N16" i="12"/>
  <c r="B17" i="12"/>
  <c r="C17" i="12"/>
  <c r="D17" i="12"/>
  <c r="E17" i="12"/>
  <c r="F17" i="12"/>
  <c r="G17" i="12"/>
  <c r="H17" i="12"/>
  <c r="I17" i="12"/>
  <c r="J17" i="12"/>
  <c r="K17" i="12"/>
  <c r="L17" i="12"/>
  <c r="M17" i="12"/>
  <c r="N17" i="12"/>
  <c r="B20" i="12"/>
  <c r="C20" i="12"/>
  <c r="D20" i="12"/>
  <c r="E20" i="12"/>
  <c r="F20" i="12"/>
  <c r="G20" i="12"/>
  <c r="H20" i="12"/>
  <c r="I20" i="12"/>
  <c r="J20" i="12"/>
  <c r="K20" i="12"/>
  <c r="L20" i="12"/>
  <c r="M20" i="12"/>
  <c r="N20" i="12"/>
  <c r="B21" i="12"/>
  <c r="C21" i="12"/>
  <c r="D21" i="12"/>
  <c r="E21" i="12"/>
  <c r="F21" i="12"/>
  <c r="G21" i="12"/>
  <c r="H21" i="12"/>
  <c r="I21" i="12"/>
  <c r="J21" i="12"/>
  <c r="K21" i="12"/>
  <c r="L21" i="12"/>
  <c r="M21" i="12"/>
  <c r="N21" i="12"/>
  <c r="B22" i="12"/>
  <c r="C22" i="12"/>
  <c r="D22" i="12"/>
  <c r="E22" i="12"/>
  <c r="F22" i="12"/>
  <c r="G22" i="12"/>
  <c r="H22" i="12"/>
  <c r="I22" i="12"/>
  <c r="J22" i="12"/>
  <c r="K22" i="12"/>
  <c r="L22" i="12"/>
  <c r="M22" i="12"/>
  <c r="N22" i="12"/>
  <c r="B23" i="12"/>
  <c r="C23" i="12"/>
  <c r="D23" i="12"/>
  <c r="E23" i="12"/>
  <c r="F23" i="12"/>
  <c r="G23" i="12"/>
  <c r="H23" i="12"/>
  <c r="I23" i="12"/>
  <c r="J23" i="12"/>
  <c r="K23" i="12"/>
  <c r="L23" i="12"/>
  <c r="M23" i="12"/>
  <c r="N23" i="12"/>
  <c r="B24" i="12"/>
  <c r="C24" i="12"/>
  <c r="D24" i="12"/>
  <c r="E24" i="12"/>
  <c r="F24" i="12"/>
  <c r="G24" i="12"/>
  <c r="H24" i="12"/>
  <c r="I24" i="12"/>
  <c r="J24" i="12"/>
  <c r="K24" i="12"/>
  <c r="L24" i="12"/>
  <c r="M24" i="12"/>
  <c r="N24" i="12"/>
  <c r="B25" i="12"/>
  <c r="C25" i="12"/>
  <c r="D25" i="12"/>
  <c r="E25" i="12"/>
  <c r="F25" i="12"/>
  <c r="G25" i="12"/>
  <c r="H25" i="12"/>
  <c r="I25" i="12"/>
  <c r="J25" i="12"/>
  <c r="K25" i="12"/>
  <c r="L25" i="12"/>
  <c r="M25" i="12"/>
  <c r="N25" i="12"/>
  <c r="B26" i="12"/>
  <c r="C26" i="12"/>
  <c r="D26" i="12"/>
  <c r="E26" i="12"/>
  <c r="F26" i="12"/>
  <c r="G26" i="12"/>
  <c r="H26" i="12"/>
  <c r="I26" i="12"/>
  <c r="J26" i="12"/>
  <c r="K26" i="12"/>
  <c r="L26" i="12"/>
  <c r="M26" i="12"/>
  <c r="N26" i="12"/>
  <c r="B27" i="12"/>
  <c r="C27" i="12"/>
  <c r="D27" i="12"/>
  <c r="E27" i="12"/>
  <c r="F27" i="12"/>
  <c r="G27" i="12"/>
  <c r="H27" i="12"/>
  <c r="I27" i="12"/>
  <c r="J27" i="12"/>
  <c r="K27" i="12"/>
  <c r="L27" i="12"/>
  <c r="M27" i="12"/>
  <c r="N27" i="12"/>
  <c r="B28" i="12"/>
  <c r="C28" i="12"/>
  <c r="D28" i="12"/>
  <c r="E28" i="12"/>
  <c r="F28" i="12"/>
  <c r="G28" i="12"/>
  <c r="H28" i="12"/>
  <c r="I28" i="12"/>
  <c r="J28" i="12"/>
  <c r="K28" i="12"/>
  <c r="L28" i="12"/>
  <c r="M28" i="12"/>
  <c r="N28" i="12"/>
  <c r="B29" i="12"/>
  <c r="C29" i="12"/>
  <c r="D29" i="12"/>
  <c r="E29" i="12"/>
  <c r="F29" i="12"/>
  <c r="G29" i="12"/>
  <c r="H29" i="12"/>
  <c r="I29" i="12"/>
  <c r="J29" i="12"/>
  <c r="K29" i="12"/>
  <c r="L29" i="12"/>
  <c r="M29" i="12"/>
  <c r="N29" i="12"/>
  <c r="B30" i="12"/>
  <c r="I30" i="12"/>
  <c r="J30" i="12"/>
  <c r="K30" i="12"/>
  <c r="L30" i="12"/>
  <c r="M30" i="12"/>
  <c r="N30" i="12"/>
  <c r="B32" i="12"/>
  <c r="C32" i="12"/>
  <c r="D32" i="12"/>
  <c r="E32" i="12"/>
  <c r="F32" i="12"/>
  <c r="G32" i="12"/>
  <c r="H32" i="12"/>
  <c r="I32" i="12"/>
  <c r="J32" i="12"/>
  <c r="K32" i="12"/>
  <c r="L32" i="12"/>
  <c r="M32" i="12"/>
  <c r="N32" i="12"/>
  <c r="B33" i="12"/>
  <c r="C33" i="12"/>
  <c r="D33" i="12"/>
  <c r="E33" i="12"/>
  <c r="F33" i="12"/>
  <c r="G33" i="12"/>
  <c r="H33" i="12"/>
  <c r="I33" i="12"/>
  <c r="J33" i="12"/>
  <c r="K33" i="12"/>
  <c r="L33" i="12"/>
  <c r="M33" i="12"/>
  <c r="N33" i="12"/>
  <c r="B35" i="12"/>
  <c r="C35" i="12"/>
  <c r="D35" i="12"/>
  <c r="E35" i="12"/>
  <c r="F35" i="12"/>
  <c r="G35" i="12"/>
  <c r="H35" i="12"/>
  <c r="I35" i="12"/>
  <c r="J35" i="12"/>
  <c r="K35" i="12"/>
  <c r="L35" i="12"/>
  <c r="M35" i="12"/>
  <c r="N35" i="12"/>
  <c r="B36" i="12"/>
  <c r="C36" i="12"/>
  <c r="D36" i="12"/>
  <c r="E36" i="12"/>
  <c r="F36" i="12"/>
  <c r="G36" i="12"/>
  <c r="H36" i="12"/>
  <c r="I36" i="12"/>
  <c r="J36" i="12"/>
  <c r="K36" i="12"/>
  <c r="L36" i="12"/>
  <c r="M36" i="12"/>
  <c r="N36" i="12"/>
  <c r="B37" i="12"/>
  <c r="C37" i="12"/>
  <c r="D37" i="12"/>
  <c r="E37" i="12"/>
  <c r="F37" i="12"/>
  <c r="G37" i="12"/>
  <c r="H37" i="12"/>
  <c r="I37" i="12"/>
  <c r="J37" i="12"/>
  <c r="K37" i="12"/>
  <c r="L37" i="12"/>
  <c r="M37" i="12"/>
  <c r="N37" i="12"/>
  <c r="B38" i="12"/>
  <c r="C38" i="12"/>
  <c r="D38" i="12"/>
  <c r="E38" i="12"/>
  <c r="F38" i="12"/>
  <c r="G38" i="12"/>
  <c r="H38" i="12"/>
  <c r="I38" i="12"/>
  <c r="J38" i="12"/>
  <c r="K38" i="12"/>
  <c r="L38" i="12"/>
  <c r="M38" i="12"/>
  <c r="N38" i="12"/>
  <c r="B39" i="12"/>
  <c r="C39" i="12"/>
  <c r="D39" i="12"/>
  <c r="E39" i="12"/>
  <c r="F39" i="12"/>
  <c r="G39" i="12"/>
  <c r="H39" i="12"/>
  <c r="I39" i="12"/>
  <c r="J39" i="12"/>
  <c r="K39" i="12"/>
  <c r="L39" i="12"/>
  <c r="M39" i="12"/>
  <c r="N39" i="12"/>
  <c r="B40" i="12"/>
  <c r="C40" i="12"/>
  <c r="D40" i="12"/>
  <c r="E40" i="12"/>
  <c r="F40" i="12"/>
  <c r="G40" i="12"/>
  <c r="H40" i="12"/>
  <c r="I40" i="12"/>
  <c r="J40" i="12"/>
  <c r="K40" i="12"/>
  <c r="L40" i="12"/>
  <c r="M40" i="12"/>
  <c r="N40" i="12"/>
  <c r="B41" i="12"/>
  <c r="C41" i="12"/>
  <c r="D41" i="12"/>
  <c r="E41" i="12"/>
  <c r="F41" i="12"/>
  <c r="G41" i="12"/>
  <c r="H41" i="12"/>
  <c r="I41" i="12"/>
  <c r="J41" i="12"/>
  <c r="K41" i="12"/>
  <c r="L41" i="12"/>
  <c r="M41" i="12"/>
  <c r="N41" i="12"/>
  <c r="B45" i="12"/>
  <c r="C45" i="12"/>
  <c r="D45" i="12"/>
  <c r="E45" i="12"/>
  <c r="F45" i="12"/>
  <c r="G45" i="12"/>
  <c r="H45" i="12"/>
  <c r="I45" i="12"/>
  <c r="J45" i="12"/>
  <c r="K45" i="12"/>
  <c r="L45" i="12"/>
  <c r="M45" i="12"/>
  <c r="N45" i="12"/>
  <c r="B46" i="12"/>
  <c r="C46" i="12"/>
  <c r="D46" i="12"/>
  <c r="E46" i="12"/>
  <c r="F46" i="12"/>
  <c r="G46" i="12"/>
  <c r="H46" i="12"/>
  <c r="I46" i="12"/>
  <c r="J46" i="12"/>
  <c r="K46" i="12"/>
  <c r="L46" i="12"/>
  <c r="M46" i="12"/>
  <c r="N46" i="12"/>
  <c r="B47" i="12"/>
  <c r="C47" i="12"/>
  <c r="D47" i="12"/>
  <c r="E47" i="12"/>
  <c r="F47" i="12"/>
  <c r="G47" i="12"/>
  <c r="H47" i="12"/>
  <c r="I47" i="12"/>
  <c r="J47" i="12"/>
  <c r="K47" i="12"/>
  <c r="L47" i="12"/>
  <c r="M47" i="12"/>
  <c r="N47" i="12"/>
  <c r="B48" i="12"/>
  <c r="C48" i="12"/>
  <c r="D48" i="12"/>
  <c r="E48" i="12"/>
  <c r="F48" i="12"/>
  <c r="G48" i="12"/>
  <c r="H48" i="12"/>
  <c r="I48" i="12"/>
  <c r="J48" i="12"/>
  <c r="K48" i="12"/>
  <c r="L48" i="12"/>
  <c r="M48" i="12"/>
  <c r="N48" i="12"/>
  <c r="B49" i="12"/>
  <c r="C49" i="12"/>
  <c r="D49" i="12"/>
  <c r="E49" i="12"/>
  <c r="F49" i="12"/>
  <c r="G49" i="12"/>
  <c r="H49" i="12"/>
  <c r="I49" i="12"/>
  <c r="J49" i="12"/>
  <c r="K49" i="12"/>
  <c r="L49" i="12"/>
  <c r="M49" i="12"/>
  <c r="N49" i="12"/>
  <c r="B50" i="12"/>
  <c r="C50" i="12"/>
  <c r="D50" i="12"/>
  <c r="E50" i="12"/>
  <c r="F50" i="12"/>
  <c r="G50" i="12"/>
  <c r="H50" i="12"/>
  <c r="I50" i="12"/>
  <c r="J50" i="12"/>
  <c r="K50" i="12"/>
  <c r="L50" i="12"/>
  <c r="M50" i="12"/>
  <c r="N50" i="12"/>
  <c r="B51" i="12"/>
  <c r="C51" i="12"/>
  <c r="D51" i="12"/>
  <c r="E51" i="12"/>
  <c r="F51" i="12"/>
  <c r="G51" i="12"/>
  <c r="H51" i="12"/>
  <c r="I51" i="12"/>
  <c r="J51" i="12"/>
  <c r="K51" i="12"/>
  <c r="L51" i="12"/>
  <c r="M51" i="12"/>
  <c r="N51" i="12"/>
  <c r="B52" i="12"/>
  <c r="C52" i="12"/>
  <c r="D52" i="12"/>
  <c r="E52" i="12"/>
  <c r="F52" i="12"/>
  <c r="G52" i="12"/>
  <c r="H52" i="12"/>
  <c r="I52" i="12"/>
  <c r="J52" i="12"/>
  <c r="K52" i="12"/>
  <c r="L52" i="12"/>
  <c r="M52" i="12"/>
  <c r="N52" i="12"/>
  <c r="B53" i="12"/>
  <c r="C53" i="12"/>
  <c r="D53" i="12"/>
  <c r="E53" i="12"/>
  <c r="F53" i="12"/>
  <c r="G53" i="12"/>
  <c r="H53" i="12"/>
  <c r="I53" i="12"/>
  <c r="J53" i="12"/>
  <c r="K53" i="12"/>
  <c r="L53" i="12"/>
  <c r="M53" i="12"/>
  <c r="N53" i="12"/>
  <c r="B54" i="12"/>
  <c r="C54" i="12"/>
  <c r="D54" i="12"/>
  <c r="E54" i="12"/>
  <c r="F54" i="12"/>
  <c r="G54" i="12"/>
  <c r="H54" i="12"/>
  <c r="I54" i="12"/>
  <c r="J54" i="12"/>
  <c r="K54" i="12"/>
  <c r="L54" i="12"/>
  <c r="M54" i="12"/>
  <c r="N54" i="12"/>
  <c r="B56" i="12"/>
  <c r="C56" i="12"/>
  <c r="D56" i="12"/>
  <c r="E56" i="12"/>
  <c r="F56" i="12"/>
  <c r="G56" i="12"/>
  <c r="H56" i="12"/>
  <c r="I56" i="12"/>
  <c r="J56" i="12"/>
  <c r="K56" i="12"/>
  <c r="L56" i="12"/>
  <c r="M56" i="12"/>
  <c r="N56" i="12"/>
  <c r="B57" i="12"/>
  <c r="C57" i="12"/>
  <c r="D57" i="12"/>
  <c r="E57" i="12"/>
  <c r="F57" i="12"/>
  <c r="G57" i="12"/>
  <c r="H57" i="12"/>
  <c r="I57" i="12"/>
  <c r="J57" i="12"/>
  <c r="K57" i="12"/>
  <c r="L57" i="12"/>
  <c r="M57" i="12"/>
  <c r="N57" i="12"/>
  <c r="B58" i="12"/>
  <c r="C58" i="12"/>
  <c r="D58" i="12"/>
  <c r="E58" i="12"/>
  <c r="F58" i="12"/>
  <c r="G58" i="12"/>
  <c r="H58" i="12"/>
  <c r="I58" i="12"/>
  <c r="J58" i="12"/>
  <c r="K58" i="12"/>
  <c r="L58" i="12"/>
  <c r="M58" i="12"/>
  <c r="N58" i="12"/>
  <c r="B59" i="12"/>
  <c r="C59" i="12"/>
  <c r="D59" i="12"/>
  <c r="E59" i="12"/>
  <c r="F59" i="12"/>
  <c r="G59" i="12"/>
  <c r="H59" i="12"/>
  <c r="I59" i="12"/>
  <c r="J59" i="12"/>
  <c r="K59" i="12"/>
  <c r="L59" i="12"/>
  <c r="M59" i="12"/>
  <c r="N59" i="12"/>
  <c r="B60" i="12"/>
  <c r="C60" i="12"/>
  <c r="D60" i="12"/>
  <c r="E60" i="12"/>
  <c r="F60" i="12"/>
  <c r="G60" i="12"/>
  <c r="H60" i="12"/>
  <c r="I60" i="12"/>
  <c r="J60" i="12"/>
  <c r="K60" i="12"/>
  <c r="L60" i="12"/>
  <c r="M60" i="12"/>
  <c r="N60" i="12"/>
  <c r="B61" i="12"/>
  <c r="C61" i="12"/>
  <c r="D61" i="12"/>
  <c r="E61" i="12"/>
  <c r="F61" i="12"/>
  <c r="G61" i="12"/>
  <c r="H61" i="12"/>
  <c r="I61" i="12"/>
  <c r="J61" i="12"/>
  <c r="K61" i="12"/>
  <c r="L61" i="12"/>
  <c r="M61" i="12"/>
  <c r="N61" i="12"/>
  <c r="B62" i="12"/>
  <c r="C62" i="12"/>
  <c r="D62" i="12"/>
  <c r="E62" i="12"/>
  <c r="F62" i="12"/>
  <c r="G62" i="12"/>
  <c r="H62" i="12"/>
  <c r="I62" i="12"/>
  <c r="J62" i="12"/>
  <c r="K62" i="12"/>
  <c r="L62" i="12"/>
  <c r="M62" i="12"/>
  <c r="N62" i="12"/>
  <c r="B63" i="12"/>
  <c r="C63" i="12"/>
  <c r="D63" i="12"/>
  <c r="E63" i="12"/>
  <c r="F63" i="12"/>
  <c r="G63" i="12"/>
  <c r="H63" i="12"/>
  <c r="I63" i="12"/>
  <c r="J63" i="12"/>
  <c r="K63" i="12"/>
  <c r="L63" i="12"/>
  <c r="M63" i="12"/>
  <c r="N63" i="12"/>
  <c r="B64" i="12"/>
  <c r="C64" i="12"/>
  <c r="D64" i="12"/>
  <c r="E64" i="12"/>
  <c r="F64" i="12"/>
  <c r="G64" i="12"/>
  <c r="H64" i="12"/>
  <c r="I64" i="12"/>
  <c r="J64" i="12"/>
  <c r="K64" i="12"/>
  <c r="L64" i="12"/>
  <c r="M64" i="12"/>
  <c r="N64" i="12"/>
  <c r="B65" i="12"/>
  <c r="C65" i="12"/>
  <c r="D65" i="12"/>
  <c r="E65" i="12"/>
  <c r="F65" i="12"/>
  <c r="G65" i="12"/>
  <c r="H65" i="12"/>
  <c r="I65" i="12"/>
  <c r="J65" i="12"/>
  <c r="K65" i="12"/>
  <c r="L65" i="12"/>
  <c r="M65" i="12"/>
  <c r="N65" i="12"/>
  <c r="B66" i="12"/>
  <c r="C66" i="12"/>
  <c r="D66" i="12"/>
  <c r="E66" i="12"/>
  <c r="F66" i="12"/>
  <c r="G66" i="12"/>
  <c r="H66" i="12"/>
  <c r="I66" i="12"/>
  <c r="J66" i="12"/>
  <c r="K66" i="12"/>
  <c r="L66" i="12"/>
  <c r="M66" i="12"/>
  <c r="N66" i="12"/>
  <c r="B67" i="12"/>
  <c r="C67" i="12"/>
  <c r="D67" i="12"/>
  <c r="E67" i="12"/>
  <c r="F67" i="12"/>
  <c r="G67" i="12"/>
  <c r="H67" i="12"/>
  <c r="I67" i="12"/>
  <c r="J67" i="12"/>
  <c r="K67" i="12"/>
  <c r="L67" i="12"/>
  <c r="M67" i="12"/>
  <c r="N67" i="12"/>
  <c r="B69" i="12"/>
  <c r="C69" i="12"/>
  <c r="D69" i="12"/>
  <c r="E69" i="12"/>
  <c r="F69" i="12"/>
  <c r="G69" i="12"/>
  <c r="H69" i="12"/>
  <c r="I69" i="12"/>
  <c r="J69" i="12"/>
  <c r="K69" i="12"/>
  <c r="L69" i="12"/>
  <c r="M69" i="12"/>
  <c r="N69" i="12"/>
  <c r="B70" i="12"/>
  <c r="C70" i="12"/>
  <c r="D70" i="12"/>
  <c r="E70" i="12"/>
  <c r="F70" i="12"/>
  <c r="G70" i="12"/>
  <c r="H70" i="12"/>
  <c r="I70" i="12"/>
  <c r="J70" i="12"/>
  <c r="K70" i="12"/>
  <c r="L70" i="12"/>
  <c r="M70" i="12"/>
  <c r="N70" i="12"/>
  <c r="B71" i="12"/>
  <c r="C71" i="12"/>
  <c r="D71" i="12"/>
  <c r="E71" i="12"/>
  <c r="F71" i="12"/>
  <c r="G71" i="12"/>
  <c r="H71" i="12"/>
  <c r="I71" i="12"/>
  <c r="J71" i="12"/>
  <c r="K71" i="12"/>
  <c r="L71" i="12"/>
  <c r="M71" i="12"/>
  <c r="N71" i="12"/>
  <c r="B72" i="12"/>
  <c r="C72" i="12"/>
  <c r="D72" i="12"/>
  <c r="E72" i="12"/>
  <c r="F72" i="12"/>
  <c r="G72" i="12"/>
  <c r="H72" i="12"/>
  <c r="I72" i="12"/>
  <c r="J72" i="12"/>
  <c r="K72" i="12"/>
  <c r="L72" i="12"/>
  <c r="M72" i="12"/>
  <c r="N72" i="12"/>
  <c r="B73" i="12"/>
  <c r="C73" i="12"/>
  <c r="D73" i="12"/>
  <c r="E73" i="12"/>
  <c r="F73" i="12"/>
  <c r="G73" i="12"/>
  <c r="H73" i="12"/>
  <c r="I73" i="12"/>
  <c r="J73" i="12"/>
  <c r="K73" i="12"/>
  <c r="L73" i="12"/>
  <c r="M73" i="12"/>
  <c r="N73" i="12"/>
  <c r="B74" i="12"/>
  <c r="C74" i="12"/>
  <c r="D74" i="12"/>
  <c r="E74" i="12"/>
  <c r="F74" i="12"/>
  <c r="G74" i="12"/>
  <c r="H74" i="12"/>
  <c r="I74" i="12"/>
  <c r="J74" i="12"/>
  <c r="K74" i="12"/>
  <c r="L74" i="12"/>
  <c r="M74" i="12"/>
  <c r="N74" i="12"/>
  <c r="B75" i="12"/>
  <c r="C75" i="12"/>
  <c r="D75" i="12"/>
  <c r="E75" i="12"/>
  <c r="F75" i="12"/>
  <c r="G75" i="12"/>
  <c r="H75" i="12"/>
  <c r="I75" i="12"/>
  <c r="J75" i="12"/>
  <c r="K75" i="12"/>
  <c r="L75" i="12"/>
  <c r="M75" i="12"/>
  <c r="N75" i="12"/>
  <c r="B76" i="12"/>
  <c r="C76" i="12"/>
  <c r="D76" i="12"/>
  <c r="E76" i="12"/>
  <c r="F76" i="12"/>
  <c r="G76" i="12"/>
  <c r="H76" i="12"/>
  <c r="I76" i="12"/>
  <c r="J76" i="12"/>
  <c r="K76" i="12"/>
  <c r="L76" i="12"/>
  <c r="M76" i="12"/>
  <c r="N76" i="12"/>
  <c r="B77" i="12"/>
  <c r="C77" i="12"/>
  <c r="D77" i="12"/>
  <c r="E77" i="12"/>
  <c r="F77" i="12"/>
  <c r="G77" i="12"/>
  <c r="H77" i="12"/>
  <c r="I77" i="12"/>
  <c r="J77" i="12"/>
  <c r="K77" i="12"/>
  <c r="L77" i="12"/>
  <c r="M77" i="12"/>
  <c r="N77" i="12"/>
  <c r="B79" i="12"/>
  <c r="C79" i="12"/>
  <c r="D79" i="12"/>
  <c r="E79" i="12"/>
  <c r="F79" i="12"/>
  <c r="G79" i="12"/>
  <c r="H79" i="12"/>
  <c r="I79" i="12"/>
  <c r="J79" i="12"/>
  <c r="K79" i="12"/>
  <c r="L79" i="12"/>
  <c r="M79" i="12"/>
  <c r="N79" i="12"/>
  <c r="C5" i="12"/>
  <c r="D5" i="12"/>
  <c r="E5" i="12"/>
  <c r="F5" i="12"/>
  <c r="G5" i="12"/>
  <c r="H5" i="12"/>
  <c r="I5" i="12"/>
  <c r="J5" i="12"/>
  <c r="K5" i="12"/>
  <c r="L5" i="12"/>
  <c r="M5" i="12"/>
  <c r="N5" i="12"/>
  <c r="B5" i="12"/>
  <c r="B4" i="12"/>
  <c r="C4" i="12"/>
  <c r="D4" i="12"/>
  <c r="E4" i="12"/>
  <c r="F4" i="12"/>
  <c r="G4" i="12"/>
  <c r="H4" i="12"/>
  <c r="I4" i="12"/>
  <c r="J4" i="12"/>
  <c r="K4" i="12"/>
  <c r="L4" i="12"/>
  <c r="M4" i="12"/>
  <c r="N4" i="12"/>
  <c r="S30" i="25"/>
  <c r="D30" i="12" s="1"/>
  <c r="T30" i="25"/>
  <c r="E30" i="12" s="1"/>
  <c r="U30" i="25"/>
  <c r="F30" i="12" s="1"/>
  <c r="V30" i="25"/>
  <c r="G30" i="12" s="1"/>
  <c r="W30" i="25"/>
  <c r="H30" i="12" s="1"/>
  <c r="X30" i="25"/>
  <c r="Y30" i="25"/>
  <c r="Z30" i="25"/>
  <c r="AA30" i="25"/>
  <c r="AB30" i="25"/>
  <c r="AC30" i="25"/>
  <c r="R30" i="25"/>
  <c r="C30" i="12" s="1"/>
  <c r="N30" i="25"/>
  <c r="M30" i="25"/>
  <c r="L30" i="25"/>
  <c r="K30" i="25"/>
  <c r="J30" i="25"/>
  <c r="I30" i="25"/>
  <c r="H30" i="25"/>
  <c r="G30" i="25"/>
  <c r="F30" i="25"/>
  <c r="E30" i="25"/>
  <c r="D30" i="25"/>
  <c r="C30" i="25"/>
  <c r="D87" i="23" l="1"/>
  <c r="E87" i="23"/>
  <c r="F87" i="23"/>
  <c r="G87" i="23"/>
  <c r="H87" i="23"/>
  <c r="I87" i="23"/>
  <c r="C87" i="23"/>
  <c r="D82" i="23"/>
  <c r="E82" i="23"/>
  <c r="F82" i="23"/>
  <c r="G82" i="23"/>
  <c r="H82" i="23"/>
  <c r="I82" i="23"/>
  <c r="C82" i="23"/>
  <c r="D81" i="23"/>
  <c r="E81" i="23"/>
  <c r="F81" i="23"/>
  <c r="G81" i="23"/>
  <c r="H81" i="23"/>
  <c r="I81" i="23"/>
  <c r="C81" i="23"/>
  <c r="I70" i="23"/>
  <c r="I76" i="23" s="1"/>
  <c r="I88" i="23" s="1"/>
  <c r="H64" i="23"/>
  <c r="H65" i="23" s="1"/>
  <c r="G64" i="23"/>
  <c r="G70" i="23" s="1"/>
  <c r="G76" i="23" s="1"/>
  <c r="G88" i="23" s="1"/>
  <c r="F64" i="23"/>
  <c r="F70" i="23" s="1"/>
  <c r="F76" i="23" s="1"/>
  <c r="F88" i="23" s="1"/>
  <c r="E64" i="23"/>
  <c r="E70" i="23" s="1"/>
  <c r="E76" i="23" s="1"/>
  <c r="E88" i="23" s="1"/>
  <c r="D64" i="23"/>
  <c r="D65" i="23" s="1"/>
  <c r="C64" i="23"/>
  <c r="C70" i="23" s="1"/>
  <c r="C76" i="23" s="1"/>
  <c r="C88" i="23" s="1"/>
  <c r="I64" i="23"/>
  <c r="H63" i="23"/>
  <c r="G63" i="23"/>
  <c r="F63" i="23"/>
  <c r="E63" i="23"/>
  <c r="D63" i="23"/>
  <c r="C63" i="23"/>
  <c r="I63" i="23"/>
  <c r="I65" i="23" s="1"/>
  <c r="D70" i="23" l="1"/>
  <c r="D76" i="23" s="1"/>
  <c r="D88" i="23" s="1"/>
  <c r="E65" i="23"/>
  <c r="F65" i="23"/>
  <c r="G65" i="23"/>
  <c r="H70" i="23"/>
  <c r="H76" i="23" s="1"/>
  <c r="H88" i="23" s="1"/>
  <c r="C65" i="23" l="1"/>
  <c r="I62" i="23"/>
  <c r="I68" i="23" s="1"/>
  <c r="I74" i="23" s="1"/>
  <c r="I80" i="23" s="1"/>
  <c r="H62" i="23"/>
  <c r="H68" i="23" s="1"/>
  <c r="H74" i="23" s="1"/>
  <c r="H80" i="23" s="1"/>
  <c r="G62" i="23"/>
  <c r="G68" i="23" s="1"/>
  <c r="G74" i="23" s="1"/>
  <c r="G80" i="23" s="1"/>
  <c r="F62" i="23"/>
  <c r="F68" i="23" s="1"/>
  <c r="F74" i="23" s="1"/>
  <c r="F80" i="23" s="1"/>
  <c r="E62" i="23"/>
  <c r="E68" i="23" s="1"/>
  <c r="E74" i="23" s="1"/>
  <c r="E80" i="23" s="1"/>
  <c r="D62" i="23"/>
  <c r="D68" i="23" s="1"/>
  <c r="D74" i="23" s="1"/>
  <c r="D80" i="23" s="1"/>
  <c r="C62" i="23"/>
  <c r="C68" i="23" s="1"/>
  <c r="C74" i="23" s="1"/>
  <c r="C80" i="23" s="1"/>
  <c r="B5" i="23"/>
  <c r="G86" i="23" l="1"/>
  <c r="G92" i="23" s="1"/>
  <c r="E86" i="23"/>
  <c r="E92" i="23" s="1"/>
  <c r="F86" i="23"/>
  <c r="F92" i="23" s="1"/>
  <c r="H86" i="23"/>
  <c r="H92" i="23" s="1"/>
  <c r="I86" i="23"/>
  <c r="I92" i="23" s="1"/>
  <c r="C86" i="23"/>
  <c r="C92" i="23" s="1"/>
  <c r="D86" i="23"/>
  <c r="D92" i="23" s="1"/>
  <c r="I83" i="23"/>
  <c r="H83" i="23"/>
  <c r="E83" i="23"/>
  <c r="D83" i="23"/>
  <c r="G83" i="23"/>
  <c r="F89" i="23"/>
  <c r="C83" i="23"/>
  <c r="F83" i="23"/>
  <c r="H74" i="21"/>
  <c r="G74" i="21"/>
  <c r="F74" i="21"/>
  <c r="E74" i="21"/>
  <c r="D74" i="21"/>
  <c r="C74" i="21"/>
  <c r="I74" i="21"/>
  <c r="H70" i="21"/>
  <c r="G70" i="21"/>
  <c r="F70" i="21"/>
  <c r="E70" i="21"/>
  <c r="D70" i="21"/>
  <c r="C70" i="21"/>
  <c r="I70" i="21"/>
  <c r="C89" i="23" l="1"/>
  <c r="I89" i="23"/>
  <c r="H64" i="21"/>
  <c r="H78" i="21" s="1"/>
  <c r="G64" i="21"/>
  <c r="G78" i="21" s="1"/>
  <c r="F64" i="21"/>
  <c r="E64" i="21"/>
  <c r="E78" i="21" s="1"/>
  <c r="D64" i="21"/>
  <c r="D78" i="21" s="1"/>
  <c r="C64" i="21"/>
  <c r="C78" i="21" s="1"/>
  <c r="I64" i="21"/>
  <c r="I78" i="21" s="1"/>
  <c r="H63" i="21"/>
  <c r="G63" i="21"/>
  <c r="F63" i="21"/>
  <c r="F69" i="21" s="1"/>
  <c r="F85" i="21" s="1"/>
  <c r="E63" i="21"/>
  <c r="E69" i="21" s="1"/>
  <c r="D63" i="21"/>
  <c r="C63" i="21"/>
  <c r="I63" i="21"/>
  <c r="I69" i="21" s="1"/>
  <c r="H62" i="21"/>
  <c r="H68" i="21" s="1"/>
  <c r="H84" i="21" s="1"/>
  <c r="H90" i="21" s="1"/>
  <c r="G62" i="21"/>
  <c r="G68" i="21" s="1"/>
  <c r="G84" i="21" s="1"/>
  <c r="G90" i="21" s="1"/>
  <c r="F62" i="21"/>
  <c r="F68" i="21" s="1"/>
  <c r="F84" i="21" s="1"/>
  <c r="F90" i="21" s="1"/>
  <c r="E62" i="21"/>
  <c r="E68" i="21" s="1"/>
  <c r="E84" i="21" s="1"/>
  <c r="E90" i="21" s="1"/>
  <c r="D62" i="21"/>
  <c r="D68" i="21" s="1"/>
  <c r="D84" i="21" s="1"/>
  <c r="D90" i="21" s="1"/>
  <c r="C62" i="21"/>
  <c r="C68" i="21" s="1"/>
  <c r="C84" i="21" s="1"/>
  <c r="C90" i="21" s="1"/>
  <c r="I62" i="21"/>
  <c r="I68" i="21" s="1"/>
  <c r="I84" i="21" s="1"/>
  <c r="I90" i="21" s="1"/>
  <c r="C77" i="21"/>
  <c r="B5" i="21"/>
  <c r="B91" i="21"/>
  <c r="H86" i="21"/>
  <c r="H96" i="21" s="1"/>
  <c r="G86" i="21"/>
  <c r="G96" i="21" s="1"/>
  <c r="E86" i="21"/>
  <c r="E96" i="21" s="1"/>
  <c r="B78" i="21"/>
  <c r="H77" i="21"/>
  <c r="E77" i="21"/>
  <c r="D77" i="21"/>
  <c r="B77" i="21"/>
  <c r="B86" i="21" s="1"/>
  <c r="I77" i="21"/>
  <c r="G77" i="21"/>
  <c r="F86" i="21"/>
  <c r="F96" i="21" s="1"/>
  <c r="D86" i="21"/>
  <c r="D96" i="21" s="1"/>
  <c r="I73" i="21"/>
  <c r="I92" i="21" s="1"/>
  <c r="I95" i="21" s="1"/>
  <c r="F73" i="21"/>
  <c r="F92" i="21" s="1"/>
  <c r="F95" i="21" s="1"/>
  <c r="E73" i="21"/>
  <c r="E92" i="21" s="1"/>
  <c r="E95" i="21" s="1"/>
  <c r="H73" i="21"/>
  <c r="G73" i="21"/>
  <c r="D73" i="21"/>
  <c r="C73" i="21"/>
  <c r="B69" i="21"/>
  <c r="F65" i="21" l="1"/>
  <c r="G89" i="23"/>
  <c r="D89" i="23"/>
  <c r="H89" i="23"/>
  <c r="E89" i="23"/>
  <c r="F78" i="21"/>
  <c r="E65" i="21"/>
  <c r="D65" i="21"/>
  <c r="E79" i="21"/>
  <c r="E97" i="21"/>
  <c r="I79" i="21"/>
  <c r="D79" i="21"/>
  <c r="I86" i="21"/>
  <c r="I96" i="21" s="1"/>
  <c r="I97" i="21" s="1"/>
  <c r="G65" i="21"/>
  <c r="H65" i="21"/>
  <c r="C79" i="21"/>
  <c r="C65" i="21"/>
  <c r="G79" i="21"/>
  <c r="C86" i="21"/>
  <c r="C96" i="21" s="1"/>
  <c r="H92" i="21"/>
  <c r="H95" i="21" s="1"/>
  <c r="H97" i="21" s="1"/>
  <c r="H75" i="21"/>
  <c r="H79" i="21"/>
  <c r="G92" i="21"/>
  <c r="G95" i="21" s="1"/>
  <c r="G97" i="21" s="1"/>
  <c r="G75" i="21"/>
  <c r="E85" i="21"/>
  <c r="E71" i="21"/>
  <c r="F87" i="21"/>
  <c r="F91" i="21"/>
  <c r="F93" i="21" s="1"/>
  <c r="C75" i="21"/>
  <c r="C92" i="21"/>
  <c r="C95" i="21" s="1"/>
  <c r="F97" i="21"/>
  <c r="D92" i="21"/>
  <c r="D95" i="21" s="1"/>
  <c r="D97" i="21" s="1"/>
  <c r="D75" i="21"/>
  <c r="I85" i="21"/>
  <c r="I71" i="21"/>
  <c r="G69" i="21"/>
  <c r="H69" i="21"/>
  <c r="E75" i="21"/>
  <c r="F75" i="21"/>
  <c r="F77" i="21"/>
  <c r="C69" i="21"/>
  <c r="I65" i="21"/>
  <c r="D69" i="21"/>
  <c r="F71" i="21"/>
  <c r="I75" i="21"/>
  <c r="B3" i="1"/>
  <c r="B3" i="5"/>
  <c r="B3" i="17"/>
  <c r="F79" i="21" l="1"/>
  <c r="F81" i="21" s="1"/>
  <c r="F99" i="21"/>
  <c r="E81" i="21"/>
  <c r="I81" i="21"/>
  <c r="C97" i="21"/>
  <c r="I87" i="21"/>
  <c r="I91" i="21"/>
  <c r="I93" i="21" s="1"/>
  <c r="I99" i="21" s="1"/>
  <c r="G85" i="21"/>
  <c r="G71" i="21"/>
  <c r="G81" i="21" s="1"/>
  <c r="D85" i="21"/>
  <c r="D71" i="21"/>
  <c r="D81" i="21" s="1"/>
  <c r="E87" i="21"/>
  <c r="E91" i="21"/>
  <c r="E93" i="21" s="1"/>
  <c r="E99" i="21" s="1"/>
  <c r="C85" i="21"/>
  <c r="C71" i="21"/>
  <c r="C81" i="21" s="1"/>
  <c r="H85" i="21"/>
  <c r="H71" i="21"/>
  <c r="H81" i="21" s="1"/>
  <c r="D38" i="15"/>
  <c r="L11" i="17"/>
  <c r="N11" i="17"/>
  <c r="L10" i="17"/>
  <c r="N10" i="17"/>
  <c r="L9" i="17"/>
  <c r="N9" i="17"/>
  <c r="B3" i="7"/>
  <c r="I46" i="13"/>
  <c r="J46" i="13"/>
  <c r="K46" i="13"/>
  <c r="H46" i="13"/>
  <c r="H87" i="21" l="1"/>
  <c r="H91" i="21"/>
  <c r="H93" i="21" s="1"/>
  <c r="H99" i="21" s="1"/>
  <c r="D87" i="21"/>
  <c r="D91" i="21"/>
  <c r="D93" i="21" s="1"/>
  <c r="D99" i="21" s="1"/>
  <c r="G87" i="21"/>
  <c r="G91" i="21"/>
  <c r="G93" i="21" s="1"/>
  <c r="G99" i="21" s="1"/>
  <c r="C87" i="21"/>
  <c r="C91" i="21"/>
  <c r="C93" i="21" s="1"/>
  <c r="C99" i="21" s="1"/>
  <c r="M9" i="17"/>
  <c r="O9" i="17"/>
  <c r="O10" i="17"/>
  <c r="O11" i="17"/>
  <c r="O12" i="17"/>
  <c r="M10" i="17"/>
  <c r="M11" i="17"/>
  <c r="M12" i="17"/>
  <c r="O8" i="17"/>
  <c r="M8" i="17"/>
  <c r="M101" i="16" l="1"/>
  <c r="L101" i="16"/>
  <c r="M100" i="16"/>
  <c r="L100" i="16"/>
  <c r="M99" i="16"/>
  <c r="L99" i="16"/>
  <c r="M98" i="16"/>
  <c r="L98" i="16"/>
  <c r="M97" i="16"/>
  <c r="L97" i="16"/>
  <c r="M96" i="16"/>
  <c r="L96" i="16"/>
  <c r="M95" i="16"/>
  <c r="L95" i="16"/>
  <c r="M94" i="16"/>
  <c r="L94" i="16"/>
  <c r="M93" i="16"/>
  <c r="L93" i="16"/>
  <c r="M92" i="16"/>
  <c r="L92" i="16"/>
  <c r="M91" i="16"/>
  <c r="L91" i="16"/>
  <c r="M90" i="16"/>
  <c r="L90" i="16"/>
  <c r="M89" i="16"/>
  <c r="L89" i="16"/>
  <c r="M88" i="16"/>
  <c r="L88" i="16"/>
  <c r="M87" i="16"/>
  <c r="L87" i="16"/>
  <c r="M86" i="16"/>
  <c r="L86" i="16"/>
  <c r="M85" i="16"/>
  <c r="L85" i="16"/>
  <c r="M84" i="16"/>
  <c r="L84" i="16"/>
  <c r="M83" i="16"/>
  <c r="L83" i="16"/>
  <c r="M82" i="16"/>
  <c r="L82" i="16"/>
  <c r="M81" i="16"/>
  <c r="L81" i="16"/>
  <c r="M80" i="16"/>
  <c r="L80" i="16"/>
  <c r="M79" i="16"/>
  <c r="L79" i="16"/>
  <c r="M78" i="16"/>
  <c r="L78" i="16"/>
  <c r="M77" i="16"/>
  <c r="L77" i="16"/>
  <c r="M76" i="16"/>
  <c r="L76" i="16"/>
  <c r="M75" i="16"/>
  <c r="L75" i="16"/>
  <c r="M74" i="16"/>
  <c r="L74" i="16"/>
  <c r="M73" i="16"/>
  <c r="L73" i="16"/>
  <c r="M72" i="16"/>
  <c r="L72" i="16"/>
  <c r="M71" i="16"/>
  <c r="L71" i="16"/>
  <c r="M70" i="16"/>
  <c r="L70" i="16"/>
  <c r="M69" i="16"/>
  <c r="L69" i="16"/>
  <c r="M68" i="16"/>
  <c r="L68" i="16"/>
  <c r="M67" i="16"/>
  <c r="L67" i="16"/>
  <c r="M66" i="16"/>
  <c r="L66" i="16"/>
  <c r="M65" i="16"/>
  <c r="L65" i="16"/>
  <c r="M64" i="16"/>
  <c r="L64" i="16"/>
  <c r="M63" i="16"/>
  <c r="L63" i="16"/>
  <c r="M62" i="16"/>
  <c r="L62" i="16"/>
  <c r="M61" i="16"/>
  <c r="L61" i="16"/>
  <c r="M60" i="16"/>
  <c r="L60" i="16"/>
  <c r="M59" i="16"/>
  <c r="L59" i="16"/>
  <c r="M58" i="16"/>
  <c r="L58" i="16"/>
  <c r="M57" i="16"/>
  <c r="L57" i="16"/>
  <c r="M56" i="16"/>
  <c r="L56" i="16"/>
  <c r="M55" i="16"/>
  <c r="L55" i="16"/>
  <c r="M54" i="16"/>
  <c r="L54" i="16"/>
  <c r="M53" i="16"/>
  <c r="L53" i="16"/>
  <c r="M52" i="16"/>
  <c r="L52" i="16"/>
  <c r="M51" i="16"/>
  <c r="L51" i="16"/>
  <c r="M50" i="16"/>
  <c r="L50" i="16"/>
  <c r="M49" i="16"/>
  <c r="L49" i="16"/>
  <c r="M48" i="16"/>
  <c r="L48" i="16"/>
  <c r="M47" i="16"/>
  <c r="L47" i="16"/>
  <c r="M46" i="16"/>
  <c r="L46" i="16"/>
  <c r="M45" i="16"/>
  <c r="L45" i="16"/>
  <c r="M44" i="16"/>
  <c r="L44" i="16"/>
  <c r="M43" i="16"/>
  <c r="L43" i="16"/>
  <c r="M42" i="16"/>
  <c r="L42" i="16"/>
  <c r="M41" i="16"/>
  <c r="L41" i="16"/>
  <c r="M40" i="16"/>
  <c r="L40" i="16"/>
  <c r="M39" i="16"/>
  <c r="L39" i="16"/>
  <c r="M38" i="16"/>
  <c r="L38" i="16"/>
  <c r="M37" i="16"/>
  <c r="L37" i="16"/>
  <c r="M36" i="16"/>
  <c r="L36" i="16"/>
  <c r="M35" i="16"/>
  <c r="L35" i="16"/>
  <c r="M34" i="16"/>
  <c r="L34" i="16"/>
  <c r="M33" i="16"/>
  <c r="L33" i="16"/>
  <c r="M32" i="16"/>
  <c r="L32" i="16"/>
  <c r="M31" i="16"/>
  <c r="L31" i="16"/>
  <c r="M30" i="16"/>
  <c r="L30" i="16"/>
  <c r="M29" i="16"/>
  <c r="L29" i="16"/>
  <c r="M28" i="16"/>
  <c r="L28" i="16"/>
  <c r="M27" i="16"/>
  <c r="L27" i="16"/>
  <c r="M26" i="16"/>
  <c r="L26" i="16"/>
  <c r="M25" i="16"/>
  <c r="L25" i="16"/>
  <c r="M24" i="16"/>
  <c r="L24" i="16"/>
  <c r="M23" i="16"/>
  <c r="L23" i="16"/>
  <c r="M22" i="16"/>
  <c r="L22" i="16"/>
  <c r="M21" i="16"/>
  <c r="L21" i="16"/>
  <c r="M20" i="16"/>
  <c r="L20" i="16"/>
  <c r="M19" i="16"/>
  <c r="L19" i="16"/>
  <c r="M18" i="16"/>
  <c r="L18" i="16"/>
  <c r="M17" i="16"/>
  <c r="L17" i="16"/>
  <c r="M16" i="16"/>
  <c r="L16" i="16"/>
  <c r="M15" i="16"/>
  <c r="L15" i="16"/>
  <c r="M14" i="16"/>
  <c r="L14" i="16"/>
  <c r="M13" i="16"/>
  <c r="L13" i="16"/>
  <c r="M12" i="16"/>
  <c r="L12" i="16"/>
  <c r="M11" i="16"/>
  <c r="L11" i="16"/>
  <c r="M10" i="16"/>
  <c r="L10" i="16"/>
  <c r="M9" i="16"/>
  <c r="L9" i="16"/>
  <c r="M8" i="16"/>
  <c r="L8" i="16"/>
  <c r="M7" i="16"/>
  <c r="L7" i="16"/>
  <c r="M6" i="16"/>
  <c r="L6" i="16"/>
  <c r="B3" i="15" l="1"/>
  <c r="H13" i="15"/>
  <c r="I13" i="15" s="1"/>
  <c r="J13" i="15" s="1"/>
  <c r="K13" i="15" s="1"/>
  <c r="G9" i="15"/>
  <c r="H9" i="15" s="1"/>
  <c r="I9" i="15" s="1"/>
  <c r="J9" i="15" s="1"/>
  <c r="K9" i="15" s="1"/>
  <c r="H44" i="13"/>
  <c r="I44" i="13"/>
  <c r="J44" i="13"/>
  <c r="K44" i="13"/>
  <c r="G44" i="13"/>
  <c r="H33" i="13"/>
  <c r="I33" i="13"/>
  <c r="J33" i="13"/>
  <c r="K33" i="13"/>
  <c r="G33" i="13"/>
  <c r="H22" i="13"/>
  <c r="I22" i="13"/>
  <c r="J22" i="13"/>
  <c r="K22" i="13"/>
  <c r="H23" i="13"/>
  <c r="I23" i="13"/>
  <c r="J23" i="13"/>
  <c r="K23" i="13"/>
  <c r="H24" i="13"/>
  <c r="I24" i="13"/>
  <c r="J24" i="13"/>
  <c r="K24" i="13"/>
  <c r="H25" i="13"/>
  <c r="I25" i="13"/>
  <c r="J25" i="13"/>
  <c r="K25" i="13"/>
  <c r="H26" i="13"/>
  <c r="I26" i="13"/>
  <c r="J26" i="13"/>
  <c r="K26" i="13"/>
  <c r="H27" i="13"/>
  <c r="I27" i="13"/>
  <c r="J27" i="13"/>
  <c r="K27" i="13"/>
  <c r="H28" i="13"/>
  <c r="I28" i="13"/>
  <c r="J28" i="13"/>
  <c r="K28" i="13"/>
  <c r="H29" i="13"/>
  <c r="I29" i="13"/>
  <c r="J29" i="13"/>
  <c r="K29" i="13"/>
  <c r="H30" i="13"/>
  <c r="I30" i="13"/>
  <c r="J30" i="13"/>
  <c r="K30" i="13"/>
  <c r="G23" i="13"/>
  <c r="G24" i="13"/>
  <c r="G25" i="13"/>
  <c r="G26" i="13"/>
  <c r="G27" i="13"/>
  <c r="G28" i="13"/>
  <c r="G29" i="13"/>
  <c r="G30" i="13"/>
  <c r="G22" i="13"/>
  <c r="B28" i="13"/>
  <c r="B29" i="13"/>
  <c r="B30" i="13"/>
  <c r="G5" i="13"/>
  <c r="G42" i="13" s="1"/>
  <c r="G59" i="13" s="1"/>
  <c r="B27" i="13"/>
  <c r="B26" i="13"/>
  <c r="B25" i="13"/>
  <c r="B24" i="13"/>
  <c r="B23" i="13"/>
  <c r="B22" i="13"/>
  <c r="B16" i="13"/>
  <c r="B15" i="13"/>
  <c r="B14" i="13"/>
  <c r="B10" i="13"/>
  <c r="B9" i="13"/>
  <c r="B8" i="13"/>
  <c r="H14" i="13"/>
  <c r="I14" i="13"/>
  <c r="J14" i="13"/>
  <c r="K14" i="13"/>
  <c r="H15" i="13"/>
  <c r="I15" i="13"/>
  <c r="J15" i="13"/>
  <c r="K15" i="13"/>
  <c r="H16" i="13"/>
  <c r="I16" i="13"/>
  <c r="J16" i="13"/>
  <c r="K16" i="13"/>
  <c r="G15" i="13"/>
  <c r="G16" i="13"/>
  <c r="G14" i="13"/>
  <c r="H10" i="13"/>
  <c r="I10" i="13"/>
  <c r="J10" i="13"/>
  <c r="K10" i="13"/>
  <c r="G10" i="13"/>
  <c r="H9" i="13"/>
  <c r="I9" i="13"/>
  <c r="J9" i="13"/>
  <c r="K9" i="13"/>
  <c r="G9" i="13"/>
  <c r="H8" i="13"/>
  <c r="I8" i="13"/>
  <c r="J8" i="13"/>
  <c r="K8" i="13"/>
  <c r="G8" i="13"/>
  <c r="H5" i="13"/>
  <c r="H42" i="13" s="1"/>
  <c r="H59" i="13" s="1"/>
  <c r="I5" i="13"/>
  <c r="I42" i="13" s="1"/>
  <c r="I59" i="13" s="1"/>
  <c r="J5" i="13"/>
  <c r="J42" i="13" s="1"/>
  <c r="J59" i="13" s="1"/>
  <c r="K5" i="13"/>
  <c r="F5" i="15" s="1"/>
  <c r="G5" i="15" s="1"/>
  <c r="H5" i="15" s="1"/>
  <c r="I5" i="15" s="1"/>
  <c r="J5" i="15" s="1"/>
  <c r="K5" i="15" s="1"/>
  <c r="D31" i="14"/>
  <c r="E31" i="14"/>
  <c r="F31" i="14"/>
  <c r="G31" i="14"/>
  <c r="H31" i="14"/>
  <c r="I31" i="14"/>
  <c r="J31" i="14"/>
  <c r="K31" i="14"/>
  <c r="L31" i="14"/>
  <c r="M31" i="14"/>
  <c r="N31" i="14"/>
  <c r="C31" i="14"/>
  <c r="J25" i="7"/>
  <c r="E23" i="7"/>
  <c r="E25" i="7" s="1"/>
  <c r="I38" i="7" s="1"/>
  <c r="F19" i="7"/>
  <c r="F18" i="7"/>
  <c r="E12" i="7"/>
  <c r="E13" i="7"/>
  <c r="E14" i="7"/>
  <c r="E15" i="7"/>
  <c r="E16" i="7"/>
  <c r="E11" i="7"/>
  <c r="C32" i="7" s="1"/>
  <c r="D12" i="7"/>
  <c r="D13" i="7"/>
  <c r="D14" i="7"/>
  <c r="D15" i="7"/>
  <c r="D16" i="7"/>
  <c r="D11" i="7"/>
  <c r="B12" i="7"/>
  <c r="B13" i="7"/>
  <c r="B14" i="7"/>
  <c r="B15" i="7"/>
  <c r="B16" i="7"/>
  <c r="B11" i="7"/>
  <c r="M8" i="9"/>
  <c r="J17" i="13" l="1"/>
  <c r="G15" i="7"/>
  <c r="J15" i="7" s="1"/>
  <c r="H16" i="7"/>
  <c r="H14" i="7"/>
  <c r="G11" i="7"/>
  <c r="G13" i="7"/>
  <c r="J13" i="7" s="1"/>
  <c r="G16" i="7"/>
  <c r="J16" i="7" s="1"/>
  <c r="G12" i="7"/>
  <c r="J12" i="7" s="1"/>
  <c r="H13" i="7"/>
  <c r="G14" i="7"/>
  <c r="J14" i="7" s="1"/>
  <c r="H15" i="7"/>
  <c r="H12" i="7"/>
  <c r="H11" i="7"/>
  <c r="C31" i="7"/>
  <c r="I17" i="13"/>
  <c r="I32" i="13"/>
  <c r="I34" i="13" s="1"/>
  <c r="J32" i="13"/>
  <c r="J34" i="13" s="1"/>
  <c r="K42" i="13"/>
  <c r="K59" i="13" s="1"/>
  <c r="H32" i="13"/>
  <c r="H34" i="13" s="1"/>
  <c r="J11" i="13"/>
  <c r="J19" i="13" s="1"/>
  <c r="G11" i="13"/>
  <c r="G32" i="13"/>
  <c r="G34" i="13" s="1"/>
  <c r="K32" i="13"/>
  <c r="K34" i="13" s="1"/>
  <c r="K17" i="13"/>
  <c r="I11" i="13"/>
  <c r="H11" i="13"/>
  <c r="G17" i="13"/>
  <c r="K11" i="13"/>
  <c r="H17" i="13"/>
  <c r="I19" i="13" l="1"/>
  <c r="G19" i="13"/>
  <c r="G18" i="7"/>
  <c r="G19" i="7"/>
  <c r="H18" i="7"/>
  <c r="E31" i="7" s="1"/>
  <c r="H19" i="7"/>
  <c r="C33" i="7"/>
  <c r="D32" i="7" s="1"/>
  <c r="G36" i="13"/>
  <c r="J45" i="13"/>
  <c r="K19" i="13"/>
  <c r="K45" i="13" s="1"/>
  <c r="H19" i="13"/>
  <c r="H36" i="13" s="1"/>
  <c r="J36" i="13"/>
  <c r="I36" i="13"/>
  <c r="D31" i="7" l="1"/>
  <c r="D35" i="7" s="1"/>
  <c r="D33" i="7"/>
  <c r="E32" i="7"/>
  <c r="J39" i="7" s="1"/>
  <c r="J38" i="7"/>
  <c r="H45" i="13"/>
  <c r="H52" i="13" s="1"/>
  <c r="I45" i="13"/>
  <c r="I52" i="13" s="1"/>
  <c r="K52" i="13"/>
  <c r="J52" i="13"/>
  <c r="K36" i="13"/>
  <c r="E33" i="7" l="1"/>
  <c r="E35" i="7"/>
  <c r="J24" i="7" s="1"/>
  <c r="B1" i="10"/>
  <c r="B3" i="13" l="1"/>
  <c r="F3" i="11" l="1"/>
  <c r="F5" i="11" s="1"/>
  <c r="J31" i="7" s="1"/>
  <c r="J11" i="9"/>
  <c r="J7" i="9"/>
  <c r="J13" i="9" l="1"/>
  <c r="I11" i="7"/>
  <c r="F10" i="9"/>
  <c r="F11" i="9"/>
  <c r="F12" i="9"/>
  <c r="F13" i="9"/>
  <c r="F14" i="9"/>
  <c r="F15" i="9"/>
  <c r="F16" i="9"/>
  <c r="F17" i="9"/>
  <c r="F18" i="9"/>
  <c r="F19" i="9"/>
  <c r="F20" i="9"/>
  <c r="F21" i="9"/>
  <c r="F22" i="9"/>
  <c r="F23" i="9"/>
  <c r="F24" i="9"/>
  <c r="F25" i="9"/>
  <c r="F26" i="9"/>
  <c r="F27" i="9"/>
  <c r="G27" i="9" s="1"/>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G65" i="9" s="1"/>
  <c r="F66" i="9"/>
  <c r="F67" i="9"/>
  <c r="F68" i="9"/>
  <c r="F69" i="9"/>
  <c r="F70" i="9"/>
  <c r="F71" i="9"/>
  <c r="F72" i="9"/>
  <c r="F73" i="9"/>
  <c r="G73" i="9" s="1"/>
  <c r="F74" i="9"/>
  <c r="F75" i="9"/>
  <c r="F76" i="9"/>
  <c r="G76" i="9" s="1"/>
  <c r="F77" i="9"/>
  <c r="F78" i="9"/>
  <c r="F79" i="9"/>
  <c r="F80" i="9"/>
  <c r="F81" i="9"/>
  <c r="F82" i="9"/>
  <c r="F83" i="9"/>
  <c r="F84" i="9"/>
  <c r="G84" i="9" s="1"/>
  <c r="F85" i="9"/>
  <c r="F86" i="9"/>
  <c r="F87" i="9"/>
  <c r="F88" i="9"/>
  <c r="F89" i="9"/>
  <c r="F90" i="9"/>
  <c r="F91" i="9"/>
  <c r="F92" i="9"/>
  <c r="F93" i="9"/>
  <c r="F94" i="9"/>
  <c r="F95" i="9"/>
  <c r="F96" i="9"/>
  <c r="G96" i="9" s="1"/>
  <c r="F97" i="9"/>
  <c r="F98" i="9"/>
  <c r="F99" i="9"/>
  <c r="F100" i="9"/>
  <c r="F101" i="9"/>
  <c r="F102" i="9"/>
  <c r="F103" i="9"/>
  <c r="F104" i="9"/>
  <c r="F105" i="9"/>
  <c r="F106" i="9"/>
  <c r="F107" i="9"/>
  <c r="F108" i="9"/>
  <c r="F109" i="9"/>
  <c r="F110" i="9"/>
  <c r="F111" i="9"/>
  <c r="F112" i="9"/>
  <c r="G112" i="9" s="1"/>
  <c r="F9" i="9"/>
  <c r="F8" i="9"/>
  <c r="C10" i="9"/>
  <c r="C11" i="9"/>
  <c r="C12" i="9"/>
  <c r="C13" i="9"/>
  <c r="C14" i="9"/>
  <c r="C15" i="9"/>
  <c r="C16" i="9"/>
  <c r="C17" i="9"/>
  <c r="C18" i="9"/>
  <c r="C19" i="9"/>
  <c r="C20" i="9"/>
  <c r="C21" i="9"/>
  <c r="C22" i="9"/>
  <c r="C23" i="9"/>
  <c r="C24" i="9"/>
  <c r="C25" i="9"/>
  <c r="C26" i="9"/>
  <c r="C27" i="9"/>
  <c r="C28" i="9"/>
  <c r="C29" i="9"/>
  <c r="C30" i="9"/>
  <c r="C31" i="9"/>
  <c r="D31" i="9" s="1"/>
  <c r="C32" i="9"/>
  <c r="C33" i="9"/>
  <c r="C34" i="9"/>
  <c r="C35" i="9"/>
  <c r="C36" i="9"/>
  <c r="C37" i="9"/>
  <c r="D37" i="9" s="1"/>
  <c r="C38" i="9"/>
  <c r="C39" i="9"/>
  <c r="D39" i="9" s="1"/>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D109" i="9" s="1"/>
  <c r="C110" i="9"/>
  <c r="C111" i="9"/>
  <c r="C112" i="9"/>
  <c r="C9" i="9"/>
  <c r="C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8" i="9"/>
  <c r="B5" i="9"/>
  <c r="B3" i="9"/>
  <c r="F5" i="9"/>
  <c r="C5" i="1"/>
  <c r="N7" i="6"/>
  <c r="J7" i="6"/>
  <c r="I7" i="6"/>
  <c r="G6" i="6"/>
  <c r="C8" i="6"/>
  <c r="C9" i="6" s="1"/>
  <c r="D7" i="6"/>
  <c r="E7" i="6" s="1"/>
  <c r="L6" i="6"/>
  <c r="B6" i="6"/>
  <c r="B3" i="6"/>
  <c r="G22" i="6"/>
  <c r="L22" i="6" s="1"/>
  <c r="G21" i="6"/>
  <c r="L21" i="6" s="1"/>
  <c r="G20" i="6"/>
  <c r="L20" i="6" s="1"/>
  <c r="G19" i="6"/>
  <c r="L19" i="6" s="1"/>
  <c r="G18" i="6"/>
  <c r="L18" i="6" s="1"/>
  <c r="G17" i="6"/>
  <c r="L17" i="6" s="1"/>
  <c r="G16" i="6"/>
  <c r="L16" i="6" s="1"/>
  <c r="G15" i="6"/>
  <c r="L15" i="6" s="1"/>
  <c r="G14" i="6"/>
  <c r="L14" i="6" s="1"/>
  <c r="G13" i="6"/>
  <c r="L13" i="6" s="1"/>
  <c r="G12" i="6"/>
  <c r="L12" i="6" s="1"/>
  <c r="G11" i="6"/>
  <c r="L11" i="6" s="1"/>
  <c r="G10" i="6"/>
  <c r="L10" i="6" s="1"/>
  <c r="G9" i="6"/>
  <c r="L9" i="6" s="1"/>
  <c r="G8" i="6"/>
  <c r="G60" i="9" l="1"/>
  <c r="G24" i="9"/>
  <c r="D47" i="9"/>
  <c r="G104" i="9"/>
  <c r="G92" i="9"/>
  <c r="G68" i="9"/>
  <c r="G101" i="9"/>
  <c r="G99" i="9"/>
  <c r="G91" i="9"/>
  <c r="G67" i="9"/>
  <c r="G71" i="9"/>
  <c r="G63" i="9"/>
  <c r="G56" i="9"/>
  <c r="G48" i="9"/>
  <c r="G9" i="9"/>
  <c r="G106" i="9"/>
  <c r="G98" i="9"/>
  <c r="G20" i="9"/>
  <c r="G108" i="9"/>
  <c r="G100" i="9"/>
  <c r="G31" i="9"/>
  <c r="D60" i="9"/>
  <c r="D28" i="9"/>
  <c r="D92" i="9"/>
  <c r="D96" i="9"/>
  <c r="D64" i="9"/>
  <c r="D32" i="9"/>
  <c r="D24" i="9"/>
  <c r="G52" i="9"/>
  <c r="G44" i="9"/>
  <c r="G36" i="9"/>
  <c r="G88" i="9"/>
  <c r="G80" i="9"/>
  <c r="G72" i="9"/>
  <c r="G64" i="9"/>
  <c r="G12" i="9"/>
  <c r="G28" i="9"/>
  <c r="G58" i="9"/>
  <c r="G43" i="9"/>
  <c r="G35" i="9"/>
  <c r="G42" i="9"/>
  <c r="G34" i="9"/>
  <c r="D42" i="9"/>
  <c r="G70" i="9"/>
  <c r="G40" i="9"/>
  <c r="G32" i="9"/>
  <c r="G26" i="9"/>
  <c r="G10" i="9"/>
  <c r="G89" i="9"/>
  <c r="G53" i="9"/>
  <c r="G95" i="9"/>
  <c r="G59" i="9"/>
  <c r="G37" i="9"/>
  <c r="G16" i="9"/>
  <c r="I18" i="7"/>
  <c r="I19" i="7"/>
  <c r="J11" i="7"/>
  <c r="D67" i="9"/>
  <c r="D57" i="9"/>
  <c r="D63" i="9"/>
  <c r="D101" i="9"/>
  <c r="D111" i="9"/>
  <c r="D103" i="9"/>
  <c r="D88" i="9"/>
  <c r="D80" i="9"/>
  <c r="D20" i="9"/>
  <c r="D56" i="9"/>
  <c r="D99" i="9"/>
  <c r="D84" i="9"/>
  <c r="D76" i="9"/>
  <c r="D68" i="9"/>
  <c r="D16" i="9"/>
  <c r="D9" i="9"/>
  <c r="D106" i="9"/>
  <c r="D112" i="9"/>
  <c r="D35" i="9"/>
  <c r="D77" i="9"/>
  <c r="D69" i="9"/>
  <c r="D48" i="9"/>
  <c r="D40" i="9"/>
  <c r="D11" i="9"/>
  <c r="D46" i="9"/>
  <c r="D95" i="9"/>
  <c r="D74" i="9"/>
  <c r="D52" i="9"/>
  <c r="D44" i="9"/>
  <c r="D36" i="9"/>
  <c r="D29" i="9"/>
  <c r="D108" i="9"/>
  <c r="D100" i="9"/>
  <c r="D79" i="9"/>
  <c r="D71" i="9"/>
  <c r="D13" i="9"/>
  <c r="D90" i="9"/>
  <c r="D83" i="9"/>
  <c r="D51" i="9"/>
  <c r="D26" i="9"/>
  <c r="D19" i="9"/>
  <c r="D12" i="9"/>
  <c r="G111" i="9"/>
  <c r="G86" i="9"/>
  <c r="G79" i="9"/>
  <c r="G47" i="9"/>
  <c r="G22" i="9"/>
  <c r="G15" i="9"/>
  <c r="D107" i="9"/>
  <c r="D82" i="9"/>
  <c r="D75" i="9"/>
  <c r="D49" i="9"/>
  <c r="D43" i="9"/>
  <c r="D18" i="9"/>
  <c r="D10" i="9"/>
  <c r="G109" i="9"/>
  <c r="G103" i="9"/>
  <c r="G78" i="9"/>
  <c r="G46" i="9"/>
  <c r="G39" i="9"/>
  <c r="G13" i="9"/>
  <c r="D93" i="9"/>
  <c r="D87" i="9"/>
  <c r="D61" i="9"/>
  <c r="D55" i="9"/>
  <c r="D23" i="9"/>
  <c r="G83" i="9"/>
  <c r="G51" i="9"/>
  <c r="G19" i="9"/>
  <c r="D104" i="9"/>
  <c r="D85" i="9"/>
  <c r="D72" i="9"/>
  <c r="D54" i="9"/>
  <c r="D21" i="9"/>
  <c r="D15" i="9"/>
  <c r="G107" i="9"/>
  <c r="G81" i="9"/>
  <c r="G75" i="9"/>
  <c r="G50" i="9"/>
  <c r="G18" i="9"/>
  <c r="G11" i="9"/>
  <c r="D98" i="9"/>
  <c r="D91" i="9"/>
  <c r="D66" i="9"/>
  <c r="D59" i="9"/>
  <c r="D34" i="9"/>
  <c r="D27" i="9"/>
  <c r="G93" i="9"/>
  <c r="G87" i="9"/>
  <c r="G61" i="9"/>
  <c r="G55" i="9"/>
  <c r="G30" i="9"/>
  <c r="G23" i="9"/>
  <c r="G110" i="9"/>
  <c r="G102" i="9"/>
  <c r="G94" i="9"/>
  <c r="G90" i="9"/>
  <c r="G82" i="9"/>
  <c r="G74" i="9"/>
  <c r="G66" i="9"/>
  <c r="G62" i="9"/>
  <c r="G54" i="9"/>
  <c r="G38" i="9"/>
  <c r="G14" i="9"/>
  <c r="G105" i="9"/>
  <c r="G97" i="9"/>
  <c r="G85" i="9"/>
  <c r="G77" i="9"/>
  <c r="G69" i="9"/>
  <c r="G57" i="9"/>
  <c r="G49" i="9"/>
  <c r="G45" i="9"/>
  <c r="G41" i="9"/>
  <c r="G33" i="9"/>
  <c r="G29" i="9"/>
  <c r="G25" i="9"/>
  <c r="G21" i="9"/>
  <c r="G17" i="9"/>
  <c r="D110" i="9"/>
  <c r="D102" i="9"/>
  <c r="D94" i="9"/>
  <c r="D86" i="9"/>
  <c r="D78" i="9"/>
  <c r="D70" i="9"/>
  <c r="D62" i="9"/>
  <c r="D58" i="9"/>
  <c r="D50" i="9"/>
  <c r="D38" i="9"/>
  <c r="D30" i="9"/>
  <c r="D22" i="9"/>
  <c r="D14" i="9"/>
  <c r="D105" i="9"/>
  <c r="D97" i="9"/>
  <c r="D89" i="9"/>
  <c r="D81" i="9"/>
  <c r="D73" i="9"/>
  <c r="D65" i="9"/>
  <c r="D53" i="9"/>
  <c r="D45" i="9"/>
  <c r="D41" i="9"/>
  <c r="D33" i="9"/>
  <c r="D25" i="9"/>
  <c r="D17" i="9"/>
  <c r="H9" i="6"/>
  <c r="M9" i="6" s="1"/>
  <c r="C10" i="6"/>
  <c r="H8" i="6"/>
  <c r="M8" i="6" s="1"/>
  <c r="L8" i="6"/>
  <c r="M6" i="9" l="1"/>
  <c r="J18" i="7"/>
  <c r="J19" i="7"/>
  <c r="J23" i="7" s="1"/>
  <c r="J26" i="7" s="1"/>
  <c r="J32" i="7" s="1"/>
  <c r="J33" i="7" s="1"/>
  <c r="I39" i="7" s="1"/>
  <c r="J40" i="7" s="1"/>
  <c r="D21" i="15" s="1"/>
  <c r="D26" i="15" s="1"/>
  <c r="M7" i="9"/>
  <c r="H10" i="6"/>
  <c r="M10" i="6" s="1"/>
  <c r="C11" i="6"/>
  <c r="I24" i="15" l="1"/>
  <c r="G14" i="15"/>
  <c r="H14" i="15"/>
  <c r="I14" i="15"/>
  <c r="J14" i="15"/>
  <c r="K14" i="15"/>
  <c r="H11" i="6"/>
  <c r="M11" i="6" s="1"/>
  <c r="C12" i="6"/>
  <c r="H12" i="6" l="1"/>
  <c r="M12" i="6" s="1"/>
  <c r="C13" i="6"/>
  <c r="H13" i="6" l="1"/>
  <c r="M13" i="6" s="1"/>
  <c r="C14" i="6"/>
  <c r="H14" i="6" l="1"/>
  <c r="M14" i="6" s="1"/>
  <c r="C15" i="6"/>
  <c r="H15" i="6" l="1"/>
  <c r="M15" i="6" s="1"/>
  <c r="C16" i="6"/>
  <c r="H16" i="6" l="1"/>
  <c r="M16" i="6" s="1"/>
  <c r="C17" i="6"/>
  <c r="H17" i="6" l="1"/>
  <c r="M17" i="6" s="1"/>
  <c r="C18" i="6"/>
  <c r="H18" i="6" l="1"/>
  <c r="M18" i="6" s="1"/>
  <c r="C19" i="6"/>
  <c r="H19" i="6" l="1"/>
  <c r="M19" i="6" s="1"/>
  <c r="C20" i="6"/>
  <c r="C21" i="6" l="1"/>
  <c r="H20" i="6"/>
  <c r="M20" i="6" s="1"/>
  <c r="H21" i="6" l="1"/>
  <c r="M21" i="6" s="1"/>
  <c r="C22" i="6"/>
  <c r="H22" i="6" s="1"/>
  <c r="M22" i="6" s="1"/>
  <c r="G6" i="5" l="1"/>
  <c r="F6" i="5"/>
  <c r="E6" i="5"/>
  <c r="D6" i="5"/>
  <c r="C6" i="5"/>
  <c r="C51" i="2"/>
  <c r="D51" i="2"/>
  <c r="E51" i="2"/>
  <c r="F51" i="2"/>
  <c r="G51" i="2"/>
  <c r="H51" i="2"/>
  <c r="I51" i="2"/>
  <c r="J51" i="2"/>
  <c r="K51" i="2"/>
  <c r="B51" i="2"/>
  <c r="D20" i="1"/>
  <c r="E20" i="1"/>
  <c r="F20" i="1"/>
  <c r="G20" i="1"/>
  <c r="H20" i="1"/>
  <c r="I20" i="1"/>
  <c r="J20" i="1"/>
  <c r="K20" i="1"/>
  <c r="L20" i="1"/>
  <c r="C20" i="1"/>
  <c r="C33" i="2"/>
  <c r="D33" i="2"/>
  <c r="E33" i="2"/>
  <c r="E34" i="2" s="1"/>
  <c r="F33" i="2"/>
  <c r="G33" i="2"/>
  <c r="H33" i="2"/>
  <c r="I33" i="2"/>
  <c r="J33" i="2"/>
  <c r="K33" i="2"/>
  <c r="G34" i="2"/>
  <c r="H34" i="2"/>
  <c r="D15" i="5" s="1"/>
  <c r="J34" i="2"/>
  <c r="K34" i="2"/>
  <c r="G15" i="5" s="1"/>
  <c r="D34" i="2" l="1"/>
  <c r="C34" i="2"/>
  <c r="G20" i="5"/>
  <c r="G25" i="5" s="1"/>
  <c r="F8" i="15"/>
  <c r="K37" i="13"/>
  <c r="F20" i="5"/>
  <c r="F25" i="5" s="1"/>
  <c r="J37" i="13"/>
  <c r="I34" i="2"/>
  <c r="E15" i="5" s="1"/>
  <c r="I37" i="13"/>
  <c r="D20" i="5"/>
  <c r="D25" i="5" s="1"/>
  <c r="H37" i="13"/>
  <c r="C20" i="5"/>
  <c r="C25" i="5" s="1"/>
  <c r="G37" i="13"/>
  <c r="E20" i="5"/>
  <c r="E25" i="5" s="1"/>
  <c r="F34" i="2"/>
  <c r="B33" i="2"/>
  <c r="C76" i="2"/>
  <c r="D43" i="4" s="1"/>
  <c r="D76" i="2"/>
  <c r="E43" i="4" s="1"/>
  <c r="E76" i="2"/>
  <c r="F40" i="4" s="1"/>
  <c r="F76" i="2"/>
  <c r="G44" i="4" s="1"/>
  <c r="G76" i="2"/>
  <c r="H40" i="4" s="1"/>
  <c r="H76" i="2"/>
  <c r="I76" i="2"/>
  <c r="J40" i="4" s="1"/>
  <c r="J76" i="2"/>
  <c r="K43" i="4" s="1"/>
  <c r="K76" i="2"/>
  <c r="L42" i="4" s="1"/>
  <c r="B76" i="2"/>
  <c r="C43" i="4" s="1"/>
  <c r="C74" i="2"/>
  <c r="D74" i="2"/>
  <c r="E74" i="2"/>
  <c r="F74" i="2"/>
  <c r="G74" i="2"/>
  <c r="H74" i="2"/>
  <c r="I74" i="2"/>
  <c r="J74" i="2"/>
  <c r="K74" i="2"/>
  <c r="B74" i="2"/>
  <c r="I44" i="4"/>
  <c r="C44" i="4"/>
  <c r="B44" i="4"/>
  <c r="J43" i="4"/>
  <c r="I43" i="4"/>
  <c r="B43" i="4"/>
  <c r="J42" i="4"/>
  <c r="I42" i="4"/>
  <c r="G42" i="4"/>
  <c r="C42" i="4"/>
  <c r="B42" i="4"/>
  <c r="K41" i="4"/>
  <c r="E41" i="4"/>
  <c r="C41" i="4"/>
  <c r="B41" i="4"/>
  <c r="I40" i="4"/>
  <c r="G40" i="4"/>
  <c r="B40" i="4"/>
  <c r="J39" i="4"/>
  <c r="I39" i="4"/>
  <c r="H39" i="4"/>
  <c r="G39" i="4"/>
  <c r="E39" i="4"/>
  <c r="B39" i="4"/>
  <c r="J38" i="4"/>
  <c r="I38" i="4"/>
  <c r="G38" i="4"/>
  <c r="C38" i="4"/>
  <c r="B38" i="4"/>
  <c r="J37" i="4"/>
  <c r="I37" i="4"/>
  <c r="G37" i="4"/>
  <c r="L35" i="4"/>
  <c r="K35" i="4"/>
  <c r="J35" i="4"/>
  <c r="I35" i="4"/>
  <c r="H35" i="4"/>
  <c r="G35" i="4"/>
  <c r="F35" i="4"/>
  <c r="E35" i="4"/>
  <c r="D35" i="4"/>
  <c r="C35" i="4"/>
  <c r="B35" i="4"/>
  <c r="L34" i="4"/>
  <c r="K34" i="4"/>
  <c r="J34" i="4"/>
  <c r="I34" i="4"/>
  <c r="H34" i="4"/>
  <c r="G34" i="4"/>
  <c r="F34" i="4"/>
  <c r="E34" i="4"/>
  <c r="D34" i="4"/>
  <c r="C34" i="4"/>
  <c r="B34" i="4"/>
  <c r="L33" i="4"/>
  <c r="K33" i="4"/>
  <c r="J33" i="4"/>
  <c r="I33" i="4"/>
  <c r="H33" i="4"/>
  <c r="G33" i="4"/>
  <c r="F33" i="4"/>
  <c r="E33" i="4"/>
  <c r="D33" i="4"/>
  <c r="C33" i="4"/>
  <c r="B33" i="4"/>
  <c r="L32" i="4"/>
  <c r="K32" i="4"/>
  <c r="J32" i="4"/>
  <c r="I32" i="4"/>
  <c r="H32" i="4"/>
  <c r="G32" i="4"/>
  <c r="F32" i="4"/>
  <c r="E32" i="4"/>
  <c r="D32" i="4"/>
  <c r="C32" i="4"/>
  <c r="B32" i="4"/>
  <c r="L31" i="4"/>
  <c r="K31" i="4"/>
  <c r="J31" i="4"/>
  <c r="I31" i="4"/>
  <c r="H31" i="4"/>
  <c r="G31" i="4"/>
  <c r="F31" i="4"/>
  <c r="E31" i="4"/>
  <c r="D31" i="4"/>
  <c r="C31" i="4"/>
  <c r="L29" i="4"/>
  <c r="K29" i="4"/>
  <c r="J29" i="4"/>
  <c r="I29" i="4"/>
  <c r="H29" i="4"/>
  <c r="G29" i="4"/>
  <c r="F29" i="4"/>
  <c r="E29" i="4"/>
  <c r="D29" i="4"/>
  <c r="C29" i="4"/>
  <c r="B27" i="4"/>
  <c r="L25" i="4"/>
  <c r="K25" i="4"/>
  <c r="J25" i="4"/>
  <c r="I25" i="4"/>
  <c r="H25" i="4"/>
  <c r="F25" i="4"/>
  <c r="E25" i="4"/>
  <c r="D25" i="4"/>
  <c r="B25" i="4"/>
  <c r="L23" i="4"/>
  <c r="K23" i="4"/>
  <c r="J23" i="4"/>
  <c r="I23" i="4"/>
  <c r="H23" i="4"/>
  <c r="G23" i="4"/>
  <c r="F23" i="4"/>
  <c r="E23" i="4"/>
  <c r="D23" i="4"/>
  <c r="C23" i="4"/>
  <c r="B23" i="4"/>
  <c r="L22" i="4"/>
  <c r="K22" i="4"/>
  <c r="J22" i="4"/>
  <c r="I22" i="4"/>
  <c r="H22" i="4"/>
  <c r="G22" i="4"/>
  <c r="F22" i="4"/>
  <c r="E22" i="4"/>
  <c r="D22" i="4"/>
  <c r="C22" i="4"/>
  <c r="B22" i="4"/>
  <c r="L21" i="4"/>
  <c r="K21" i="4"/>
  <c r="J21" i="4"/>
  <c r="I21" i="4"/>
  <c r="H21" i="4"/>
  <c r="G21" i="4"/>
  <c r="F21" i="4"/>
  <c r="E21" i="4"/>
  <c r="D21" i="4"/>
  <c r="C21" i="4"/>
  <c r="B21" i="4"/>
  <c r="L20" i="4"/>
  <c r="K20" i="4"/>
  <c r="J20" i="4"/>
  <c r="I20" i="4"/>
  <c r="H20" i="4"/>
  <c r="G20" i="4"/>
  <c r="F20" i="4"/>
  <c r="E20" i="4"/>
  <c r="D20" i="4"/>
  <c r="C20" i="4"/>
  <c r="B20" i="4"/>
  <c r="L19" i="4"/>
  <c r="K19" i="4"/>
  <c r="J19" i="4"/>
  <c r="I19" i="4"/>
  <c r="H19" i="4"/>
  <c r="G19" i="4"/>
  <c r="F19" i="4"/>
  <c r="E19" i="4"/>
  <c r="D19" i="4"/>
  <c r="C19" i="4"/>
  <c r="B19" i="4"/>
  <c r="L18" i="4"/>
  <c r="K18" i="4"/>
  <c r="J18" i="4"/>
  <c r="I18" i="4"/>
  <c r="H18" i="4"/>
  <c r="G18" i="4"/>
  <c r="F18" i="4"/>
  <c r="E18" i="4"/>
  <c r="D18" i="4"/>
  <c r="C18" i="4"/>
  <c r="B18" i="4"/>
  <c r="L17" i="4"/>
  <c r="K17" i="4"/>
  <c r="J17" i="4"/>
  <c r="I17" i="4"/>
  <c r="H17" i="4"/>
  <c r="G17" i="4"/>
  <c r="F17" i="4"/>
  <c r="E17" i="4"/>
  <c r="D17" i="4"/>
  <c r="C17" i="4"/>
  <c r="B17" i="4"/>
  <c r="L16" i="4"/>
  <c r="K16" i="4"/>
  <c r="J16" i="4"/>
  <c r="I16" i="4"/>
  <c r="H16" i="4"/>
  <c r="G16" i="4"/>
  <c r="F16" i="4"/>
  <c r="E16" i="4"/>
  <c r="D16" i="4"/>
  <c r="C16" i="4"/>
  <c r="B16" i="4"/>
  <c r="L15" i="4"/>
  <c r="K15" i="4"/>
  <c r="J15" i="4"/>
  <c r="I15" i="4"/>
  <c r="H15" i="4"/>
  <c r="G15" i="4"/>
  <c r="F15" i="4"/>
  <c r="E15" i="4"/>
  <c r="D15" i="4"/>
  <c r="C15" i="4"/>
  <c r="B15" i="4"/>
  <c r="L14" i="4"/>
  <c r="K14" i="4"/>
  <c r="J14" i="4"/>
  <c r="I14" i="4"/>
  <c r="H14" i="4"/>
  <c r="G14" i="4"/>
  <c r="F14" i="4"/>
  <c r="E14" i="4"/>
  <c r="D14" i="4"/>
  <c r="C14" i="4"/>
  <c r="B14" i="4"/>
  <c r="L13" i="4"/>
  <c r="K13" i="4"/>
  <c r="J13" i="4"/>
  <c r="I13" i="4"/>
  <c r="H13" i="4"/>
  <c r="G13" i="4"/>
  <c r="F13" i="4"/>
  <c r="E13" i="4"/>
  <c r="D13" i="4"/>
  <c r="C13" i="4"/>
  <c r="B13" i="4"/>
  <c r="L12" i="4"/>
  <c r="K12" i="4"/>
  <c r="J12" i="4"/>
  <c r="I12" i="4"/>
  <c r="H12" i="4"/>
  <c r="G12" i="4"/>
  <c r="F12" i="4"/>
  <c r="E12" i="4"/>
  <c r="D12" i="4"/>
  <c r="C12" i="4"/>
  <c r="B12" i="4"/>
  <c r="L11" i="4"/>
  <c r="K11" i="4"/>
  <c r="J11" i="4"/>
  <c r="I11" i="4"/>
  <c r="H11" i="4"/>
  <c r="G11" i="4"/>
  <c r="F11" i="4"/>
  <c r="E11" i="4"/>
  <c r="D11" i="4"/>
  <c r="C11" i="4"/>
  <c r="B11" i="4"/>
  <c r="L10" i="4"/>
  <c r="K10" i="4"/>
  <c r="J10" i="4"/>
  <c r="I10" i="4"/>
  <c r="H10" i="4"/>
  <c r="G10" i="4"/>
  <c r="F10" i="4"/>
  <c r="E10" i="4"/>
  <c r="D10" i="4"/>
  <c r="C10" i="4"/>
  <c r="B10" i="4"/>
  <c r="L9" i="4"/>
  <c r="K9" i="4"/>
  <c r="J9" i="4"/>
  <c r="I9" i="4"/>
  <c r="H9" i="4"/>
  <c r="G9" i="4"/>
  <c r="F9" i="4"/>
  <c r="E9" i="4"/>
  <c r="D9" i="4"/>
  <c r="C9" i="4"/>
  <c r="B9" i="4"/>
  <c r="L7" i="4"/>
  <c r="K7" i="4"/>
  <c r="J7" i="4"/>
  <c r="I7" i="4"/>
  <c r="H7" i="4"/>
  <c r="G7" i="4"/>
  <c r="F7" i="4"/>
  <c r="E7" i="4"/>
  <c r="D7" i="4"/>
  <c r="C7" i="4"/>
  <c r="B5" i="4"/>
  <c r="B3" i="4"/>
  <c r="L79" i="1"/>
  <c r="K79" i="1"/>
  <c r="J79" i="1"/>
  <c r="I79" i="1"/>
  <c r="H79" i="1"/>
  <c r="G79" i="1"/>
  <c r="F79" i="1"/>
  <c r="E79" i="1"/>
  <c r="D79" i="1"/>
  <c r="C79" i="1"/>
  <c r="L77" i="1"/>
  <c r="K77" i="1"/>
  <c r="J77" i="1"/>
  <c r="I77" i="1"/>
  <c r="H77" i="1"/>
  <c r="G77" i="1"/>
  <c r="F77" i="1"/>
  <c r="E77" i="1"/>
  <c r="D77" i="1"/>
  <c r="C77" i="1"/>
  <c r="L75" i="1"/>
  <c r="K75" i="1"/>
  <c r="J75" i="1"/>
  <c r="I75" i="1"/>
  <c r="H75" i="1"/>
  <c r="G75" i="1"/>
  <c r="F75" i="1"/>
  <c r="E75" i="1"/>
  <c r="D75" i="1"/>
  <c r="C75" i="1"/>
  <c r="L66" i="1"/>
  <c r="K66" i="1"/>
  <c r="J66" i="1"/>
  <c r="I66" i="1"/>
  <c r="H66" i="1"/>
  <c r="G66" i="1"/>
  <c r="F66" i="1"/>
  <c r="E66" i="1"/>
  <c r="D66" i="1"/>
  <c r="C66" i="1"/>
  <c r="L65" i="1"/>
  <c r="K65" i="1"/>
  <c r="J65" i="1"/>
  <c r="I65" i="1"/>
  <c r="H65" i="1"/>
  <c r="G65" i="1"/>
  <c r="F65" i="1"/>
  <c r="E65" i="1"/>
  <c r="D65" i="1"/>
  <c r="C65" i="1"/>
  <c r="L64" i="1"/>
  <c r="K64" i="1"/>
  <c r="J64" i="1"/>
  <c r="I64" i="1"/>
  <c r="H64" i="1"/>
  <c r="G64" i="1"/>
  <c r="F64" i="1"/>
  <c r="E64" i="1"/>
  <c r="D64" i="1"/>
  <c r="C64" i="1"/>
  <c r="L61" i="1"/>
  <c r="K61" i="1"/>
  <c r="J61" i="1"/>
  <c r="I61" i="1"/>
  <c r="H61" i="1"/>
  <c r="G61" i="1"/>
  <c r="F61" i="1"/>
  <c r="E61" i="1"/>
  <c r="D61" i="1"/>
  <c r="C61" i="1"/>
  <c r="L60" i="1"/>
  <c r="K60" i="1"/>
  <c r="J60" i="1"/>
  <c r="I60" i="1"/>
  <c r="H60" i="1"/>
  <c r="G60" i="1"/>
  <c r="F60" i="1"/>
  <c r="E60" i="1"/>
  <c r="D60" i="1"/>
  <c r="C60" i="1"/>
  <c r="L59" i="1"/>
  <c r="K59" i="1"/>
  <c r="J59" i="1"/>
  <c r="I59" i="1"/>
  <c r="H59" i="1"/>
  <c r="G59" i="1"/>
  <c r="F59" i="1"/>
  <c r="E59" i="1"/>
  <c r="D59" i="1"/>
  <c r="C59" i="1"/>
  <c r="L58" i="1"/>
  <c r="K58" i="1"/>
  <c r="J58" i="1"/>
  <c r="I58" i="1"/>
  <c r="H58" i="1"/>
  <c r="G58" i="1"/>
  <c r="F58" i="1"/>
  <c r="E58" i="1"/>
  <c r="D58" i="1"/>
  <c r="C58" i="1"/>
  <c r="L56" i="1"/>
  <c r="K56" i="1"/>
  <c r="J56" i="1"/>
  <c r="I56" i="1"/>
  <c r="H56" i="1"/>
  <c r="G56" i="1"/>
  <c r="F56" i="1"/>
  <c r="E56" i="1"/>
  <c r="D56" i="1"/>
  <c r="C56" i="1"/>
  <c r="L55" i="1"/>
  <c r="K55" i="1"/>
  <c r="J55" i="1"/>
  <c r="I55" i="1"/>
  <c r="H55" i="1"/>
  <c r="G55" i="1"/>
  <c r="F55" i="1"/>
  <c r="E55" i="1"/>
  <c r="D55" i="1"/>
  <c r="C55" i="1"/>
  <c r="L54" i="1"/>
  <c r="K54" i="1"/>
  <c r="J54" i="1"/>
  <c r="I54" i="1"/>
  <c r="H54" i="1"/>
  <c r="G54" i="1"/>
  <c r="F54" i="1"/>
  <c r="E54" i="1"/>
  <c r="D54" i="1"/>
  <c r="C54" i="1"/>
  <c r="L53" i="1"/>
  <c r="K53" i="1"/>
  <c r="J53" i="1"/>
  <c r="I53" i="1"/>
  <c r="H53" i="1"/>
  <c r="G53" i="1"/>
  <c r="F53" i="1"/>
  <c r="E53" i="1"/>
  <c r="D53" i="1"/>
  <c r="C53" i="1"/>
  <c r="L52" i="1"/>
  <c r="K52" i="1"/>
  <c r="J52" i="1"/>
  <c r="I52" i="1"/>
  <c r="H52" i="1"/>
  <c r="G52" i="1"/>
  <c r="F52" i="1"/>
  <c r="E52" i="1"/>
  <c r="D52" i="1"/>
  <c r="C52" i="1"/>
  <c r="L41" i="1"/>
  <c r="K41" i="1"/>
  <c r="J41" i="1"/>
  <c r="I41" i="1"/>
  <c r="H41" i="1"/>
  <c r="G41" i="1"/>
  <c r="F41" i="1"/>
  <c r="E41" i="1"/>
  <c r="E46" i="1" s="1"/>
  <c r="D41" i="1"/>
  <c r="D46" i="1" s="1"/>
  <c r="C41" i="1"/>
  <c r="C46" i="1" s="1"/>
  <c r="M38" i="1"/>
  <c r="M35" i="1"/>
  <c r="L35" i="1"/>
  <c r="K35" i="1"/>
  <c r="J35" i="1"/>
  <c r="I35" i="1"/>
  <c r="H35" i="1"/>
  <c r="G35" i="1"/>
  <c r="F35" i="1"/>
  <c r="E35" i="1"/>
  <c r="D35" i="1"/>
  <c r="C35" i="1"/>
  <c r="M29" i="1"/>
  <c r="L29" i="1"/>
  <c r="K29" i="1"/>
  <c r="J29" i="1"/>
  <c r="I29" i="1"/>
  <c r="H29" i="1"/>
  <c r="G29" i="1"/>
  <c r="F29" i="1"/>
  <c r="E29" i="1"/>
  <c r="D29" i="1"/>
  <c r="C29" i="1"/>
  <c r="M26" i="1"/>
  <c r="L26" i="1"/>
  <c r="K26" i="1"/>
  <c r="J26" i="1"/>
  <c r="I26" i="1"/>
  <c r="H26" i="1"/>
  <c r="G26" i="1"/>
  <c r="F26" i="1"/>
  <c r="E26" i="1"/>
  <c r="D26" i="1"/>
  <c r="C26" i="1"/>
  <c r="L17" i="1"/>
  <c r="K17" i="1"/>
  <c r="J17" i="1"/>
  <c r="I17" i="1"/>
  <c r="H17" i="1"/>
  <c r="G17" i="1"/>
  <c r="F17" i="1"/>
  <c r="E17" i="1"/>
  <c r="D17" i="1"/>
  <c r="C17" i="1"/>
  <c r="M11" i="1"/>
  <c r="L11" i="1"/>
  <c r="K11" i="1"/>
  <c r="J11" i="1"/>
  <c r="I11" i="1"/>
  <c r="H11" i="1"/>
  <c r="G11" i="1"/>
  <c r="F11" i="1"/>
  <c r="E11" i="1"/>
  <c r="D11" i="1"/>
  <c r="C11" i="1"/>
  <c r="M8" i="1"/>
  <c r="M21" i="1" s="1"/>
  <c r="L8" i="1"/>
  <c r="K8" i="1"/>
  <c r="J8" i="1"/>
  <c r="I8" i="1"/>
  <c r="H8" i="1"/>
  <c r="G8" i="1"/>
  <c r="F8" i="1"/>
  <c r="E8" i="1"/>
  <c r="D8" i="1"/>
  <c r="C8" i="1"/>
  <c r="L5" i="1"/>
  <c r="K5" i="1"/>
  <c r="J5" i="1"/>
  <c r="I5" i="1"/>
  <c r="H5" i="1"/>
  <c r="G5" i="1"/>
  <c r="F5" i="1"/>
  <c r="E5" i="1"/>
  <c r="D5" i="1"/>
  <c r="E81" i="1"/>
  <c r="K67" i="1"/>
  <c r="F27" i="1"/>
  <c r="B6" i="2"/>
  <c r="D41" i="15" s="1"/>
  <c r="E1" i="2"/>
  <c r="C40" i="4" l="1"/>
  <c r="J44" i="4"/>
  <c r="K48" i="13"/>
  <c r="K50" i="13" s="1"/>
  <c r="K54" i="13" s="1"/>
  <c r="K61" i="13" s="1"/>
  <c r="K40" i="13"/>
  <c r="K62" i="13" s="1"/>
  <c r="E40" i="4"/>
  <c r="F10" i="15"/>
  <c r="I46" i="1"/>
  <c r="J46" i="1"/>
  <c r="K46" i="1"/>
  <c r="I48" i="13"/>
  <c r="I50" i="13" s="1"/>
  <c r="I54" i="13" s="1"/>
  <c r="I61" i="13" s="1"/>
  <c r="I40" i="13"/>
  <c r="I62" i="13" s="1"/>
  <c r="L46" i="1"/>
  <c r="J48" i="13"/>
  <c r="J50" i="13" s="1"/>
  <c r="J54" i="13" s="1"/>
  <c r="J61" i="13" s="1"/>
  <c r="J40" i="13"/>
  <c r="J62" i="13" s="1"/>
  <c r="F36" i="5"/>
  <c r="F44" i="5" s="1"/>
  <c r="G36" i="5"/>
  <c r="G44" i="5" s="1"/>
  <c r="G34" i="5"/>
  <c r="G42" i="5" s="1"/>
  <c r="F46" i="1"/>
  <c r="G48" i="13"/>
  <c r="G50" i="13" s="1"/>
  <c r="E44" i="4"/>
  <c r="E42" i="4"/>
  <c r="G46" i="1"/>
  <c r="C37" i="4"/>
  <c r="C39" i="4"/>
  <c r="J41" i="4"/>
  <c r="E38" i="4"/>
  <c r="H46" i="1"/>
  <c r="G25" i="4"/>
  <c r="E37" i="4"/>
  <c r="D39" i="4"/>
  <c r="I41" i="4"/>
  <c r="H48" i="13"/>
  <c r="H50" i="13" s="1"/>
  <c r="H54" i="13" s="1"/>
  <c r="H40" i="13"/>
  <c r="H62" i="13" s="1"/>
  <c r="F15" i="5"/>
  <c r="M12" i="1"/>
  <c r="J18" i="1"/>
  <c r="E23" i="5" s="1"/>
  <c r="G49" i="5"/>
  <c r="E34" i="5"/>
  <c r="E42" i="5" s="1"/>
  <c r="L18" i="1"/>
  <c r="G23" i="5" s="1"/>
  <c r="I21" i="1"/>
  <c r="D34" i="5"/>
  <c r="D42" i="5" s="1"/>
  <c r="C49" i="5"/>
  <c r="D8" i="6" a="1"/>
  <c r="D49" i="5"/>
  <c r="H21" i="1"/>
  <c r="C34" i="5"/>
  <c r="C42" i="5" s="1"/>
  <c r="E49" i="5"/>
  <c r="F34" i="5"/>
  <c r="F42" i="5" s="1"/>
  <c r="G21" i="1"/>
  <c r="I67" i="1"/>
  <c r="F49" i="5"/>
  <c r="F21" i="1"/>
  <c r="C14" i="1"/>
  <c r="C23" i="1" s="1"/>
  <c r="K14" i="1"/>
  <c r="F39" i="5"/>
  <c r="F37" i="5"/>
  <c r="K21" i="1"/>
  <c r="F35" i="5"/>
  <c r="F43" i="5" s="1"/>
  <c r="C36" i="5"/>
  <c r="C44" i="5" s="1"/>
  <c r="L39" i="4"/>
  <c r="G35" i="5"/>
  <c r="G43" i="5" s="1"/>
  <c r="G39" i="5"/>
  <c r="G37" i="5"/>
  <c r="I18" i="1"/>
  <c r="D23" i="5" s="1"/>
  <c r="D36" i="5"/>
  <c r="D44" i="5" s="1"/>
  <c r="C38" i="5"/>
  <c r="F37" i="4"/>
  <c r="F42" i="4"/>
  <c r="D41" i="4"/>
  <c r="E39" i="5"/>
  <c r="E37" i="5"/>
  <c r="E35" i="5"/>
  <c r="E43" i="5" s="1"/>
  <c r="E36" i="5"/>
  <c r="E44" i="5" s="1"/>
  <c r="D38" i="5"/>
  <c r="F38" i="4"/>
  <c r="F43" i="4"/>
  <c r="F44" i="4"/>
  <c r="B34" i="2"/>
  <c r="D21" i="1"/>
  <c r="M39" i="1"/>
  <c r="E38" i="5"/>
  <c r="H37" i="4"/>
  <c r="F39" i="4"/>
  <c r="H42" i="4"/>
  <c r="H43" i="4"/>
  <c r="H44" i="4"/>
  <c r="H41" i="4"/>
  <c r="E21" i="1"/>
  <c r="G14" i="1"/>
  <c r="G15" i="1" s="1"/>
  <c r="D18" i="1"/>
  <c r="I62" i="1"/>
  <c r="E62" i="1"/>
  <c r="C62" i="1"/>
  <c r="G67" i="1"/>
  <c r="E67" i="1"/>
  <c r="C81" i="1"/>
  <c r="K81" i="1"/>
  <c r="F38" i="5"/>
  <c r="I81" i="1"/>
  <c r="G81" i="1"/>
  <c r="H38" i="4"/>
  <c r="C21" i="1"/>
  <c r="J67" i="1"/>
  <c r="G38" i="5"/>
  <c r="F41" i="4"/>
  <c r="J21" i="1"/>
  <c r="C37" i="5"/>
  <c r="C35" i="5"/>
  <c r="C43" i="5" s="1"/>
  <c r="C39" i="5"/>
  <c r="E12" i="1"/>
  <c r="I9" i="1"/>
  <c r="D9" i="5" s="1"/>
  <c r="D37" i="5"/>
  <c r="D35" i="5"/>
  <c r="D43" i="5" s="1"/>
  <c r="D39" i="5"/>
  <c r="I27" i="1"/>
  <c r="C67" i="1"/>
  <c r="C69" i="1" s="1"/>
  <c r="C71" i="1" s="1"/>
  <c r="K37" i="4"/>
  <c r="L43" i="4"/>
  <c r="C15" i="5"/>
  <c r="L21" i="1"/>
  <c r="H14" i="1"/>
  <c r="H15" i="1" s="1"/>
  <c r="C18" i="5" s="1"/>
  <c r="D14" i="1"/>
  <c r="L14" i="1"/>
  <c r="C27" i="1"/>
  <c r="H30" i="1"/>
  <c r="C24" i="5" s="1"/>
  <c r="K62" i="1"/>
  <c r="K69" i="1" s="1"/>
  <c r="K71" i="1" s="1"/>
  <c r="G30" i="1"/>
  <c r="J14" i="1"/>
  <c r="F30" i="1"/>
  <c r="H18" i="1"/>
  <c r="C23" i="5" s="1"/>
  <c r="H9" i="1"/>
  <c r="C9" i="5" s="1"/>
  <c r="G62" i="1"/>
  <c r="J62" i="1"/>
  <c r="D81" i="1"/>
  <c r="L81" i="1"/>
  <c r="G27" i="1"/>
  <c r="F9" i="1"/>
  <c r="M9" i="1"/>
  <c r="G18" i="1"/>
  <c r="D27" i="1"/>
  <c r="L27" i="1"/>
  <c r="H12" i="1"/>
  <c r="F14" i="1"/>
  <c r="C18" i="1"/>
  <c r="K18" i="1"/>
  <c r="F23" i="5" s="1"/>
  <c r="K27" i="1"/>
  <c r="L9" i="1"/>
  <c r="G9" i="5" s="1"/>
  <c r="D67" i="1"/>
  <c r="L67" i="1"/>
  <c r="D9" i="1"/>
  <c r="M14" i="1"/>
  <c r="E14" i="1"/>
  <c r="E9" i="1"/>
  <c r="E27" i="1"/>
  <c r="I30" i="1"/>
  <c r="D24" i="5" s="1"/>
  <c r="H27" i="1"/>
  <c r="E30" i="1"/>
  <c r="M30" i="1"/>
  <c r="M27" i="1"/>
  <c r="H62" i="1"/>
  <c r="F62" i="1"/>
  <c r="D62" i="1"/>
  <c r="L62" i="1"/>
  <c r="H67" i="1"/>
  <c r="F67" i="1"/>
  <c r="J81" i="1"/>
  <c r="H81" i="1"/>
  <c r="F81" i="1"/>
  <c r="D37" i="4"/>
  <c r="L37" i="4"/>
  <c r="K40" i="4"/>
  <c r="L41" i="4"/>
  <c r="K44" i="4"/>
  <c r="G41" i="4"/>
  <c r="D40" i="4"/>
  <c r="L40" i="4"/>
  <c r="G43" i="4"/>
  <c r="D44" i="4"/>
  <c r="L44" i="4"/>
  <c r="K38" i="4"/>
  <c r="K42" i="4"/>
  <c r="D38" i="4"/>
  <c r="L38" i="4"/>
  <c r="D42" i="4"/>
  <c r="K39" i="4"/>
  <c r="F18" i="1"/>
  <c r="I14" i="1"/>
  <c r="F12" i="1"/>
  <c r="I12" i="1"/>
  <c r="C15" i="1"/>
  <c r="J30" i="1"/>
  <c r="E24" i="5" s="1"/>
  <c r="E18" i="1"/>
  <c r="M18" i="1"/>
  <c r="C30" i="1"/>
  <c r="K30" i="1"/>
  <c r="F24" i="5" s="1"/>
  <c r="G12" i="1"/>
  <c r="G9" i="1"/>
  <c r="J27" i="1"/>
  <c r="D30" i="1"/>
  <c r="L30" i="1"/>
  <c r="G24" i="5" s="1"/>
  <c r="C12" i="1"/>
  <c r="J12" i="1"/>
  <c r="J9" i="1"/>
  <c r="E9" i="5" s="1"/>
  <c r="D12" i="1"/>
  <c r="L12" i="1"/>
  <c r="K9" i="1"/>
  <c r="F9" i="5" s="1"/>
  <c r="K12" i="1"/>
  <c r="J64" i="13" l="1"/>
  <c r="G10" i="15"/>
  <c r="H61" i="13"/>
  <c r="H64" i="13" s="1"/>
  <c r="C57" i="13"/>
  <c r="F11" i="15" s="1"/>
  <c r="G11" i="15" s="1"/>
  <c r="C56" i="13"/>
  <c r="K64" i="13"/>
  <c r="I64" i="13"/>
  <c r="D69" i="1"/>
  <c r="D71" i="1" s="1"/>
  <c r="L69" i="1"/>
  <c r="G48" i="5" s="1"/>
  <c r="G69" i="1"/>
  <c r="G71" i="1" s="1"/>
  <c r="E69" i="1"/>
  <c r="E71" i="1" s="1"/>
  <c r="I69" i="1"/>
  <c r="D48" i="5" s="1"/>
  <c r="D9" i="6"/>
  <c r="D16" i="6"/>
  <c r="D15" i="6"/>
  <c r="D11" i="6"/>
  <c r="D14" i="6"/>
  <c r="D13" i="6"/>
  <c r="D8" i="6"/>
  <c r="E9" i="6" s="1"/>
  <c r="D12" i="6"/>
  <c r="E12" i="6" s="1"/>
  <c r="D10" i="6"/>
  <c r="E10" i="6" s="1"/>
  <c r="D17" i="6"/>
  <c r="E17" i="6" s="1"/>
  <c r="J69" i="1"/>
  <c r="J71" i="1" s="1"/>
  <c r="G45" i="5"/>
  <c r="E45" i="5"/>
  <c r="K49" i="5"/>
  <c r="C45" i="5"/>
  <c r="I71" i="1"/>
  <c r="L71" i="1"/>
  <c r="K23" i="1"/>
  <c r="H75" i="23" s="1"/>
  <c r="H77" i="23" s="1"/>
  <c r="F10" i="5"/>
  <c r="K23" i="5"/>
  <c r="K9" i="5"/>
  <c r="G10" i="5"/>
  <c r="L23" i="1"/>
  <c r="K38" i="5"/>
  <c r="K36" i="5"/>
  <c r="K37" i="5"/>
  <c r="D15" i="1"/>
  <c r="D23" i="1"/>
  <c r="D32" i="1" s="1"/>
  <c r="K35" i="5"/>
  <c r="K34" i="5"/>
  <c r="I15" i="1"/>
  <c r="D18" i="5" s="1"/>
  <c r="I23" i="1"/>
  <c r="F75" i="23" s="1"/>
  <c r="F77" i="23" s="1"/>
  <c r="D10" i="5"/>
  <c r="E23" i="1"/>
  <c r="E24" i="1" s="1"/>
  <c r="C10" i="5"/>
  <c r="H23" i="1"/>
  <c r="E75" i="23" s="1"/>
  <c r="E77" i="23" s="1"/>
  <c r="K39" i="5"/>
  <c r="K24" i="5"/>
  <c r="K15" i="1"/>
  <c r="F18" i="5" s="1"/>
  <c r="F69" i="1"/>
  <c r="M15" i="1"/>
  <c r="M23" i="1"/>
  <c r="E10" i="5"/>
  <c r="J23" i="1"/>
  <c r="D45" i="5"/>
  <c r="C25" i="4"/>
  <c r="F23" i="1"/>
  <c r="C75" i="23" s="1"/>
  <c r="C77" i="23" s="1"/>
  <c r="F48" i="5"/>
  <c r="K20" i="5"/>
  <c r="F45" i="5"/>
  <c r="G23" i="1"/>
  <c r="D75" i="23" s="1"/>
  <c r="D77" i="23" s="1"/>
  <c r="F15" i="1"/>
  <c r="L15" i="1"/>
  <c r="G18" i="5" s="1"/>
  <c r="J15" i="1"/>
  <c r="E18" i="5" s="1"/>
  <c r="E15" i="1"/>
  <c r="H69" i="1"/>
  <c r="K24" i="1"/>
  <c r="F19" i="5" s="1"/>
  <c r="K32" i="1"/>
  <c r="C32" i="1"/>
  <c r="C24" i="1"/>
  <c r="J24" i="1" l="1"/>
  <c r="E19" i="5" s="1"/>
  <c r="G75" i="23"/>
  <c r="G77" i="23" s="1"/>
  <c r="E15" i="6"/>
  <c r="C66" i="13"/>
  <c r="D19" i="15" s="1"/>
  <c r="G20" i="15" s="1"/>
  <c r="C67" i="13"/>
  <c r="H10" i="15"/>
  <c r="F12" i="15"/>
  <c r="L24" i="1"/>
  <c r="G19" i="5" s="1"/>
  <c r="I75" i="23"/>
  <c r="I77" i="23" s="1"/>
  <c r="I8" i="6" a="1"/>
  <c r="I8" i="6" s="1"/>
  <c r="I16" i="6"/>
  <c r="I15" i="6"/>
  <c r="I10" i="6"/>
  <c r="I13" i="6"/>
  <c r="I12" i="6"/>
  <c r="I11" i="6"/>
  <c r="I9" i="6"/>
  <c r="E11" i="6"/>
  <c r="E16" i="6"/>
  <c r="D18" i="6"/>
  <c r="D19" i="6" s="1"/>
  <c r="D20" i="6" s="1"/>
  <c r="E48" i="5"/>
  <c r="E13" i="6"/>
  <c r="E32" i="1"/>
  <c r="E14" i="6"/>
  <c r="K18" i="5"/>
  <c r="F71" i="1"/>
  <c r="D24" i="1"/>
  <c r="H71" i="1"/>
  <c r="C48" i="5"/>
  <c r="K10" i="5"/>
  <c r="K44" i="5"/>
  <c r="E11" i="5"/>
  <c r="E26" i="5"/>
  <c r="E31" i="5"/>
  <c r="F11" i="5"/>
  <c r="F26" i="5"/>
  <c r="F31" i="5"/>
  <c r="C26" i="5"/>
  <c r="C31" i="5"/>
  <c r="C11" i="5"/>
  <c r="H32" i="1"/>
  <c r="H24" i="1"/>
  <c r="C19" i="5" s="1"/>
  <c r="F24" i="1"/>
  <c r="F32" i="1"/>
  <c r="K42" i="5"/>
  <c r="G11" i="5"/>
  <c r="G31" i="5"/>
  <c r="G26" i="5"/>
  <c r="D36" i="1"/>
  <c r="D26" i="5"/>
  <c r="D31" i="5"/>
  <c r="D11" i="5"/>
  <c r="G24" i="1"/>
  <c r="G32" i="1"/>
  <c r="I32" i="1"/>
  <c r="I33" i="1" s="1"/>
  <c r="D21" i="5" s="1"/>
  <c r="K43" i="5"/>
  <c r="M32" i="1"/>
  <c r="M24" i="1"/>
  <c r="I24" i="1"/>
  <c r="D19" i="5" s="1"/>
  <c r="J32" i="1"/>
  <c r="J38" i="1" s="1"/>
  <c r="K25" i="5"/>
  <c r="K15" i="5"/>
  <c r="L32" i="1"/>
  <c r="D38" i="1"/>
  <c r="D33" i="1"/>
  <c r="K33" i="1"/>
  <c r="F21" i="5" s="1"/>
  <c r="K36" i="1"/>
  <c r="K38" i="1"/>
  <c r="C33" i="1"/>
  <c r="C36" i="1"/>
  <c r="C38" i="1"/>
  <c r="E33" i="1"/>
  <c r="E36" i="1"/>
  <c r="I10" i="15" l="1"/>
  <c r="J13" i="6"/>
  <c r="J10" i="6"/>
  <c r="E38" i="1"/>
  <c r="E39" i="1" s="1"/>
  <c r="I14" i="6"/>
  <c r="J15" i="6" s="1"/>
  <c r="J9" i="6"/>
  <c r="E18" i="6"/>
  <c r="J16" i="6"/>
  <c r="I36" i="1"/>
  <c r="I17" i="6"/>
  <c r="J11" i="6"/>
  <c r="J12" i="6"/>
  <c r="J36" i="1"/>
  <c r="I38" i="1"/>
  <c r="I39" i="1" s="1"/>
  <c r="D22" i="5" s="1"/>
  <c r="J33" i="1"/>
  <c r="E21" i="5" s="1"/>
  <c r="D21" i="6"/>
  <c r="D22" i="6" s="1"/>
  <c r="J14" i="6"/>
  <c r="E19" i="6"/>
  <c r="K48" i="5"/>
  <c r="K31" i="5"/>
  <c r="K19" i="5"/>
  <c r="K26" i="5"/>
  <c r="E20" i="6"/>
  <c r="K45" i="5"/>
  <c r="E12" i="5"/>
  <c r="K11" i="5"/>
  <c r="L36" i="1"/>
  <c r="G12" i="5"/>
  <c r="L38" i="1"/>
  <c r="L33" i="1"/>
  <c r="G21" i="5" s="1"/>
  <c r="M33" i="1"/>
  <c r="M36" i="1"/>
  <c r="D43" i="1"/>
  <c r="D47" i="1" s="1"/>
  <c r="D49" i="1" s="1"/>
  <c r="F33" i="1"/>
  <c r="E28" i="5"/>
  <c r="F38" i="1"/>
  <c r="F43" i="1" s="1"/>
  <c r="D12" i="5"/>
  <c r="C12" i="5"/>
  <c r="H38" i="1"/>
  <c r="H36" i="1"/>
  <c r="H33" i="1"/>
  <c r="C21" i="5" s="1"/>
  <c r="F28" i="5"/>
  <c r="F13" i="5"/>
  <c r="F36" i="1"/>
  <c r="D28" i="5"/>
  <c r="G33" i="1"/>
  <c r="G36" i="1"/>
  <c r="G38" i="1"/>
  <c r="F12" i="5"/>
  <c r="D39" i="1"/>
  <c r="C39" i="1"/>
  <c r="C43" i="1"/>
  <c r="J43" i="1"/>
  <c r="J39" i="1"/>
  <c r="E22" i="5" s="1"/>
  <c r="K39" i="1"/>
  <c r="F22" i="5" s="1"/>
  <c r="K43" i="1"/>
  <c r="F39" i="1"/>
  <c r="J17" i="6" l="1"/>
  <c r="I18" i="6"/>
  <c r="J18" i="6" s="1"/>
  <c r="E43" i="1"/>
  <c r="K10" i="15"/>
  <c r="J10" i="15"/>
  <c r="E13" i="5"/>
  <c r="I43" i="1"/>
  <c r="K12" i="5"/>
  <c r="E21" i="6"/>
  <c r="K21" i="5"/>
  <c r="G43" i="1"/>
  <c r="G39" i="1"/>
  <c r="L39" i="1"/>
  <c r="G22" i="5" s="1"/>
  <c r="G28" i="5"/>
  <c r="G13" i="5"/>
  <c r="L43" i="1"/>
  <c r="L47" i="1" s="1"/>
  <c r="L49" i="1" s="1"/>
  <c r="G27" i="5" s="1"/>
  <c r="C28" i="5"/>
  <c r="C13" i="5"/>
  <c r="H43" i="1"/>
  <c r="H39" i="1"/>
  <c r="C22" i="5" s="1"/>
  <c r="D13" i="5"/>
  <c r="G44" i="1"/>
  <c r="C47" i="1"/>
  <c r="C49" i="1" s="1"/>
  <c r="D44" i="1"/>
  <c r="E44" i="1"/>
  <c r="K44" i="1"/>
  <c r="K47" i="1"/>
  <c r="K49" i="1" s="1"/>
  <c r="F27" i="5" s="1"/>
  <c r="F14" i="5" s="1"/>
  <c r="L44" i="1"/>
  <c r="F44" i="1"/>
  <c r="F47" i="1"/>
  <c r="F49" i="1" s="1"/>
  <c r="J44" i="1"/>
  <c r="J47" i="1"/>
  <c r="J49" i="1" s="1"/>
  <c r="E27" i="5" s="1"/>
  <c r="E14" i="5" s="1"/>
  <c r="D69" i="23" l="1"/>
  <c r="D71" i="23" s="1"/>
  <c r="D93" i="23" s="1"/>
  <c r="D94" i="23" s="1"/>
  <c r="G47" i="1"/>
  <c r="G49" i="1" s="1"/>
  <c r="I44" i="1"/>
  <c r="I69" i="23"/>
  <c r="I71" i="23" s="1"/>
  <c r="I93" i="23" s="1"/>
  <c r="I94" i="23" s="1"/>
  <c r="I47" i="1"/>
  <c r="I49" i="1" s="1"/>
  <c r="D27" i="5" s="1"/>
  <c r="D14" i="5" s="1"/>
  <c r="E47" i="1"/>
  <c r="E49" i="1" s="1"/>
  <c r="H69" i="23"/>
  <c r="H71" i="23" s="1"/>
  <c r="I19" i="6"/>
  <c r="N8" i="6" a="1"/>
  <c r="E22" i="6"/>
  <c r="K13" i="5"/>
  <c r="G14" i="5"/>
  <c r="H47" i="1"/>
  <c r="H49" i="1" s="1"/>
  <c r="C27" i="5" s="1"/>
  <c r="C14" i="5" s="1"/>
  <c r="H44" i="1"/>
  <c r="K28" i="5"/>
  <c r="K22" i="5"/>
  <c r="I20" i="6" l="1"/>
  <c r="J20" i="6" s="1"/>
  <c r="J19" i="6"/>
  <c r="I21" i="6"/>
  <c r="J21" i="6" s="1"/>
  <c r="H93" i="23"/>
  <c r="H94" i="23" s="1"/>
  <c r="F69" i="23"/>
  <c r="F71" i="23" s="1"/>
  <c r="F93" i="23" s="1"/>
  <c r="F94" i="23" s="1"/>
  <c r="C69" i="23"/>
  <c r="C71" i="23" s="1"/>
  <c r="C93" i="23" s="1"/>
  <c r="C94" i="23" s="1"/>
  <c r="E69" i="23"/>
  <c r="E71" i="23" s="1"/>
  <c r="E93" i="23" s="1"/>
  <c r="E94" i="23" s="1"/>
  <c r="G69" i="23"/>
  <c r="G71" i="23" s="1"/>
  <c r="G93" i="23" s="1"/>
  <c r="G94" i="23" s="1"/>
  <c r="N9" i="6"/>
  <c r="N8" i="6"/>
  <c r="N12" i="6"/>
  <c r="N11" i="6"/>
  <c r="O11" i="6" s="1"/>
  <c r="N17" i="6"/>
  <c r="N15" i="6"/>
  <c r="N14" i="6"/>
  <c r="N13" i="6"/>
  <c r="N10" i="6"/>
  <c r="N16" i="6"/>
  <c r="K14" i="5"/>
  <c r="K27" i="5"/>
  <c r="O13" i="6" l="1"/>
  <c r="O10" i="6"/>
  <c r="O17" i="6"/>
  <c r="I22" i="6"/>
  <c r="J22" i="6" s="1"/>
  <c r="O15" i="6"/>
  <c r="N18" i="6"/>
  <c r="O18" i="6" s="1"/>
  <c r="O14" i="6"/>
  <c r="O12" i="6"/>
  <c r="O16" i="6"/>
  <c r="O9" i="6"/>
  <c r="N19" i="6" l="1"/>
  <c r="O19" i="6" s="1"/>
  <c r="N20" i="6"/>
  <c r="O20" i="6" s="1"/>
  <c r="N21" i="6" l="1"/>
  <c r="O21" i="6" s="1"/>
  <c r="N22" i="6" l="1"/>
  <c r="O22" i="6" s="1"/>
  <c r="G12" i="15" l="1"/>
  <c r="G16" i="15" s="1"/>
  <c r="K12" i="15"/>
  <c r="D25" i="15" s="1"/>
  <c r="D29" i="15" s="1"/>
  <c r="D35" i="15" s="1"/>
  <c r="H11" i="15"/>
  <c r="I11" i="15" s="1"/>
  <c r="J11" i="15" s="1"/>
  <c r="J12" i="15" s="1"/>
  <c r="J16" i="15" s="1"/>
  <c r="H12" i="15" l="1"/>
  <c r="H16" i="15" s="1"/>
  <c r="K16" i="15"/>
  <c r="I12" i="15"/>
  <c r="I16" i="15" s="1"/>
  <c r="D34" i="15" l="1"/>
  <c r="D36" i="15" s="1"/>
  <c r="D40" i="15" s="1"/>
  <c r="D43" i="15" s="1"/>
  <c r="D46" i="15" s="1"/>
  <c r="D47" i="15" s="1"/>
  <c r="G24" i="15" l="1"/>
</calcChain>
</file>

<file path=xl/sharedStrings.xml><?xml version="1.0" encoding="utf-8"?>
<sst xmlns="http://schemas.openxmlformats.org/spreadsheetml/2006/main" count="17452" uniqueCount="8761">
  <si>
    <t>COMPANY NAME</t>
  </si>
  <si>
    <t>ITC LTD</t>
  </si>
  <si>
    <t>LATEST VERSION</t>
  </si>
  <si>
    <t>PLEASE DO NOT MAKE ANY CHANGES TO THIS SHEET</t>
  </si>
  <si>
    <t>CURRENT VERSION</t>
  </si>
  <si>
    <t>META</t>
  </si>
  <si>
    <t>Number of shares</t>
  </si>
  <si>
    <t>Face Value</t>
  </si>
  <si>
    <t>Current Price</t>
  </si>
  <si>
    <t>Market Capitalization</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</si>
  <si>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</si>
  <si>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</si>
  <si>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</si>
  <si>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</si>
  <si>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</si>
  <si>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</si>
  <si>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</si>
  <si>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</si>
  <si>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</si>
  <si>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</si>
  <si>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</si>
  <si>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</si>
  <si>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</si>
  <si>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</si>
  <si>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</si>
  <si>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</si>
  <si>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</si>
  <si>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Quarters</t>
  </si>
  <si>
    <t>Expenses</t>
  </si>
  <si>
    <t>Operating Profit</t>
  </si>
  <si>
    <t>BALANCE SHEET</t>
  </si>
  <si>
    <t>Equity Share Capital</t>
  </si>
  <si>
    <t>Reserves</t>
  </si>
  <si>
    <t>Borrowings</t>
  </si>
  <si>
    <t>Other Liabilities</t>
  </si>
  <si>
    <t>Total</t>
  </si>
  <si>
    <t>Net Block</t>
  </si>
  <si>
    <t>Capital Work in Progress</t>
  </si>
  <si>
    <t>Investments</t>
  </si>
  <si>
    <t>Other Assets</t>
  </si>
  <si>
    <t>Receivables</t>
  </si>
  <si>
    <t>Inventory</t>
  </si>
  <si>
    <t>Cash &amp; Bank</t>
  </si>
  <si>
    <t>No. of Equity Shares</t>
  </si>
  <si>
    <t>New Bonus Shares</t>
  </si>
  <si>
    <t>Face value</t>
  </si>
  <si>
    <t>CASH FLOW:</t>
  </si>
  <si>
    <t>Cash from Operating Activity</t>
  </si>
  <si>
    <t>Cash from Investing Activity</t>
  </si>
  <si>
    <t>Cash from Financing Activity</t>
  </si>
  <si>
    <t>Net Cash Flow</t>
  </si>
  <si>
    <t>PRICE:</t>
  </si>
  <si>
    <t>DERIVED:</t>
  </si>
  <si>
    <t>Adjusted Equity Shares in Cr</t>
  </si>
  <si>
    <t>LTM</t>
  </si>
  <si>
    <t>Income Statement</t>
  </si>
  <si>
    <t>Sales Growth</t>
  </si>
  <si>
    <t>COGS</t>
  </si>
  <si>
    <t>COGS % Sales</t>
  </si>
  <si>
    <t>Gross Profit</t>
  </si>
  <si>
    <t>Gross Margins</t>
  </si>
  <si>
    <t>Selling &amp; General Expenses</t>
  </si>
  <si>
    <t>S&amp;G Exp % Sales</t>
  </si>
  <si>
    <t>EBITDA</t>
  </si>
  <si>
    <t>EBITDA Margins</t>
  </si>
  <si>
    <t>Interest % Sales</t>
  </si>
  <si>
    <t>Depreciation%Sales</t>
  </si>
  <si>
    <t>Earnings Before Tax</t>
  </si>
  <si>
    <t>EBT % Sales</t>
  </si>
  <si>
    <t>Effective Tax Rate</t>
  </si>
  <si>
    <t>Net Profit</t>
  </si>
  <si>
    <t>Net Margins</t>
  </si>
  <si>
    <t>No of Equity Shares</t>
  </si>
  <si>
    <t>Earnings per Share</t>
  </si>
  <si>
    <t>EPS Growth %</t>
  </si>
  <si>
    <t>Dividend per Share</t>
  </si>
  <si>
    <t>Dividend payout ratio</t>
  </si>
  <si>
    <t>Retained Earnings</t>
  </si>
  <si>
    <t>#</t>
  </si>
  <si>
    <t>-</t>
  </si>
  <si>
    <t>Balance Sheet</t>
  </si>
  <si>
    <t>Total Liabilities</t>
  </si>
  <si>
    <t>Fixed Assets Net Block</t>
  </si>
  <si>
    <t>Total Non Current Assets</t>
  </si>
  <si>
    <t>Total Current Assets</t>
  </si>
  <si>
    <t>Total Assets</t>
  </si>
  <si>
    <t>Check</t>
  </si>
  <si>
    <t>Cash Flow Statements</t>
  </si>
  <si>
    <t>Cash from Operating Activities</t>
  </si>
  <si>
    <t>Cash from Investing Activities</t>
  </si>
  <si>
    <t>Cash from Financing Activities</t>
  </si>
  <si>
    <t>Common Size Statement</t>
  </si>
  <si>
    <t>Particulars</t>
  </si>
  <si>
    <t>EBIT</t>
  </si>
  <si>
    <t>Other Income % Sales</t>
  </si>
  <si>
    <t>Mean</t>
  </si>
  <si>
    <t>Median</t>
  </si>
  <si>
    <t>SalesGrowth</t>
  </si>
  <si>
    <t>GrossMarginGrowth</t>
  </si>
  <si>
    <t>EBITDA Growth</t>
  </si>
  <si>
    <t>EBT Growth</t>
  </si>
  <si>
    <t>Net Profit Growth</t>
  </si>
  <si>
    <t>Dividend Growth</t>
  </si>
  <si>
    <t>Gross Margin</t>
  </si>
  <si>
    <t>EBITDA Margin</t>
  </si>
  <si>
    <t>EBIT Margin</t>
  </si>
  <si>
    <t>EBT Margin</t>
  </si>
  <si>
    <t>Net Profit Margin</t>
  </si>
  <si>
    <t>SalesExpenses%Sales</t>
  </si>
  <si>
    <t>OperatingIncome%Sales</t>
  </si>
  <si>
    <t>Return on Capital Employed</t>
  </si>
  <si>
    <t>Retained Earnings%</t>
  </si>
  <si>
    <t>Return on Equity%</t>
  </si>
  <si>
    <t>Self Sustained Growth Rate</t>
  </si>
  <si>
    <t>Interest Coverage Ratio</t>
  </si>
  <si>
    <t>Debtor Turnover Ratio</t>
  </si>
  <si>
    <t>Creditor Turnover Ratio</t>
  </si>
  <si>
    <t>Inventory Turnover</t>
  </si>
  <si>
    <t>Fixed Asset Turnover</t>
  </si>
  <si>
    <t>Capital Turnover Ratio</t>
  </si>
  <si>
    <t>Debtor Days</t>
  </si>
  <si>
    <t>Payable Days</t>
  </si>
  <si>
    <t>Inventory Days</t>
  </si>
  <si>
    <t>Cash Conversion Cycle</t>
  </si>
  <si>
    <t>CFO/Sales</t>
  </si>
  <si>
    <t>CFO/Total Assets</t>
  </si>
  <si>
    <t>CFO/Total Debt</t>
  </si>
  <si>
    <t>Year Weight</t>
  </si>
  <si>
    <t>Year</t>
  </si>
  <si>
    <t>EPS Growth</t>
  </si>
  <si>
    <t>S.No.</t>
  </si>
  <si>
    <t>Name</t>
  </si>
  <si>
    <t>Debt Rs.Cr.</t>
  </si>
  <si>
    <t>Calculation of WACC</t>
  </si>
  <si>
    <t>All figures are in INR unless stated otherwise.</t>
  </si>
  <si>
    <t>Debt/</t>
  </si>
  <si>
    <t>Levered</t>
  </si>
  <si>
    <t>Unlevered</t>
  </si>
  <si>
    <t>Country</t>
  </si>
  <si>
    <t>Total Debt</t>
  </si>
  <si>
    <t>Total Equity</t>
  </si>
  <si>
    <t>Equity</t>
  </si>
  <si>
    <t>Capital</t>
  </si>
  <si>
    <t>India</t>
  </si>
  <si>
    <t>Average</t>
  </si>
  <si>
    <t>Cost of Equity</t>
  </si>
  <si>
    <t>Pre-tax Cost of Debt</t>
  </si>
  <si>
    <t>Risk Free Rate</t>
  </si>
  <si>
    <t>Tax Rate</t>
  </si>
  <si>
    <t>Equity Risk Premium</t>
  </si>
  <si>
    <t>After Tax Cost of Debt</t>
  </si>
  <si>
    <t>Current</t>
  </si>
  <si>
    <t>Comps Median Unlevered Beta</t>
  </si>
  <si>
    <t xml:space="preserve">Target Debt/ Equity  </t>
  </si>
  <si>
    <t>Total Capitalization</t>
  </si>
  <si>
    <t>Levered Beta</t>
  </si>
  <si>
    <t>Debt / Equity</t>
  </si>
  <si>
    <t>Weighted Average Cost of Capital</t>
  </si>
  <si>
    <t>1. Tax Rate considered as Marginal Tax Rate for the country</t>
  </si>
  <si>
    <t>Total Cost</t>
  </si>
  <si>
    <t>Total Weight</t>
  </si>
  <si>
    <t>2. Levered Beta is based on 5 year monthly data</t>
  </si>
  <si>
    <t>Debt Capital</t>
  </si>
  <si>
    <t>3. Unlevered Beta = Levered Beta/(1+(1-Tax Rate) x Debt/Equity)</t>
  </si>
  <si>
    <t>Equity Capital</t>
  </si>
  <si>
    <t>4. Levered Beta = Unlevered Beta*(1+(1-Tax Rate) x Debt/Equity)</t>
  </si>
  <si>
    <t>Calculation of Beta using Regression</t>
  </si>
  <si>
    <t>Beta Drifting</t>
  </si>
  <si>
    <t>Beta 1</t>
  </si>
  <si>
    <t>Beta 2</t>
  </si>
  <si>
    <t>Date</t>
  </si>
  <si>
    <t>Closing Price</t>
  </si>
  <si>
    <t>Return</t>
  </si>
  <si>
    <t>Levered Raw Beta</t>
  </si>
  <si>
    <t>Raw Beta Weight</t>
  </si>
  <si>
    <t>Beta 3</t>
  </si>
  <si>
    <t xml:space="preserve">Market Beta </t>
  </si>
  <si>
    <t>Market Beta Weight</t>
  </si>
  <si>
    <t>Regression Statistics</t>
  </si>
  <si>
    <t>Adjusted Beta</t>
  </si>
  <si>
    <t>Multiple R</t>
  </si>
  <si>
    <t>R Square</t>
  </si>
  <si>
    <t>Adjusted R Square</t>
  </si>
  <si>
    <t>Standard Error</t>
  </si>
  <si>
    <t>Observations</t>
  </si>
  <si>
    <t>ANOVA</t>
  </si>
  <si>
    <t>df</t>
  </si>
  <si>
    <t>SS</t>
  </si>
  <si>
    <t>MS</t>
  </si>
  <si>
    <t>F</t>
  </si>
  <si>
    <t>Significance F</t>
  </si>
  <si>
    <t>Regression</t>
  </si>
  <si>
    <t>Residual</t>
  </si>
  <si>
    <t>Coefficients</t>
  </si>
  <si>
    <t>t Stat</t>
  </si>
  <si>
    <t>P-value</t>
  </si>
  <si>
    <t>Lower 95%</t>
  </si>
  <si>
    <t>Upper 95%</t>
  </si>
  <si>
    <t>Lower 95.0%</t>
  </si>
  <si>
    <t>Upper 95.0%</t>
  </si>
  <si>
    <t>Intercept</t>
  </si>
  <si>
    <t>X Variable 1</t>
  </si>
  <si>
    <t>Price</t>
  </si>
  <si>
    <t>Annual</t>
  </si>
  <si>
    <t>Average Return</t>
  </si>
  <si>
    <t>Dividend Yield</t>
  </si>
  <si>
    <t>Total Market Returns</t>
  </si>
  <si>
    <t>Long term Borrowings</t>
  </si>
  <si>
    <t>Short term Borrowings</t>
  </si>
  <si>
    <t>Lease Liabilities</t>
  </si>
  <si>
    <t>Other Borrowings</t>
  </si>
  <si>
    <t>Non controlling int</t>
  </si>
  <si>
    <t>Trade Payables</t>
  </si>
  <si>
    <t>Advance from Customers</t>
  </si>
  <si>
    <t>Other liability items</t>
  </si>
  <si>
    <t>Land</t>
  </si>
  <si>
    <t>Building</t>
  </si>
  <si>
    <t>Plant Machinery</t>
  </si>
  <si>
    <t>Equipments</t>
  </si>
  <si>
    <t>Furniture n fittings</t>
  </si>
  <si>
    <t>Vehicles</t>
  </si>
  <si>
    <t>Intangible Assets</t>
  </si>
  <si>
    <t>Other fixed assets</t>
  </si>
  <si>
    <t>Gross Block</t>
  </si>
  <si>
    <t>Accumulated Depreciation</t>
  </si>
  <si>
    <t>CWIP</t>
  </si>
  <si>
    <t>Inventories</t>
  </si>
  <si>
    <t>Cash Equivalents</t>
  </si>
  <si>
    <t>Loans n Advances</t>
  </si>
  <si>
    <t>Other asset items</t>
  </si>
  <si>
    <t>Fixed Assets -</t>
  </si>
  <si>
    <t>Trade receivables</t>
  </si>
  <si>
    <t>Profit from operations</t>
  </si>
  <si>
    <t>Payables</t>
  </si>
  <si>
    <t>Loans Advances</t>
  </si>
  <si>
    <t>Other WC items</t>
  </si>
  <si>
    <t>Working capital changes</t>
  </si>
  <si>
    <t>Direct taxes</t>
  </si>
  <si>
    <t>Exceptional CF items</t>
  </si>
  <si>
    <t>Fixed assets purchased</t>
  </si>
  <si>
    <t>Fixed assets sold</t>
  </si>
  <si>
    <t>Investments purchased</t>
  </si>
  <si>
    <t>Investments sold</t>
  </si>
  <si>
    <t>Interest received</t>
  </si>
  <si>
    <t>Dividends received</t>
  </si>
  <si>
    <t>Investment in group cos</t>
  </si>
  <si>
    <t>Redemp n Canc of Shares</t>
  </si>
  <si>
    <t>Acquisition of companies</t>
  </si>
  <si>
    <t>Inter corporate deposits</t>
  </si>
  <si>
    <t>Other investing items</t>
  </si>
  <si>
    <t>Proceeds from shares</t>
  </si>
  <si>
    <t>Redemption of debentures</t>
  </si>
  <si>
    <t>Proceeds from borrowings</t>
  </si>
  <si>
    <t>Repayment of borrowings</t>
  </si>
  <si>
    <t>Interest paid fin</t>
  </si>
  <si>
    <t>Dividends paid</t>
  </si>
  <si>
    <t>Financial liabilities</t>
  </si>
  <si>
    <t>Other financing items</t>
  </si>
  <si>
    <t>Cash Flow Statement</t>
  </si>
  <si>
    <t>Calculation of Intrinsic Growth</t>
  </si>
  <si>
    <t>Calculation of ROIC</t>
  </si>
  <si>
    <t>Current Assets</t>
  </si>
  <si>
    <t>Current Liabilities</t>
  </si>
  <si>
    <t>Total Current Liabilities</t>
  </si>
  <si>
    <t>Net Working Capital</t>
  </si>
  <si>
    <t>Non Current Assets</t>
  </si>
  <si>
    <t>Net Non Current Assets</t>
  </si>
  <si>
    <t>Invested Capital</t>
  </si>
  <si>
    <t>ROIC</t>
  </si>
  <si>
    <t>Calculation of Reinvestment Rate</t>
  </si>
  <si>
    <t>Change in Working Capital</t>
  </si>
  <si>
    <t>EBIT(1-T)</t>
  </si>
  <si>
    <t>Reinvestment Rate</t>
  </si>
  <si>
    <t>4 Year Average</t>
  </si>
  <si>
    <t>4 Year Median</t>
  </si>
  <si>
    <t>Calculation of Growth Rate</t>
  </si>
  <si>
    <t>Intrinsic Growth</t>
  </si>
  <si>
    <t>NIFTY</t>
  </si>
  <si>
    <t xml:space="preserve">Mar Cap Rs.Cr. </t>
  </si>
  <si>
    <t>ITC</t>
  </si>
  <si>
    <t>Godfrey Phillips</t>
  </si>
  <si>
    <t>VST Industries</t>
  </si>
  <si>
    <t>NTC Industries</t>
  </si>
  <si>
    <t>Indian Wood Prod</t>
  </si>
  <si>
    <t>Elitecon Inter.</t>
  </si>
  <si>
    <t>Sinnar Bidi Udy.</t>
  </si>
  <si>
    <t>Railway sidings</t>
  </si>
  <si>
    <t>Fixed Assets</t>
  </si>
  <si>
    <t>Invest in subsidiaries</t>
  </si>
  <si>
    <t>Discounted Cash Flow Model</t>
  </si>
  <si>
    <t>Calculation of PV of FCFF</t>
  </si>
  <si>
    <t>Less: Reinvestment Rate</t>
  </si>
  <si>
    <t>Free Cash Flow to Firm (FCFF)</t>
  </si>
  <si>
    <t>Mid Year Convention</t>
  </si>
  <si>
    <t>Discounting Factor</t>
  </si>
  <si>
    <t>PV of FCFF</t>
  </si>
  <si>
    <t>WACC</t>
  </si>
  <si>
    <t>FCFF (n+1)</t>
  </si>
  <si>
    <t>Terminal Growth Rate</t>
  </si>
  <si>
    <t>Terminal Value</t>
  </si>
  <si>
    <t>Calculation of Equity Value per Share</t>
  </si>
  <si>
    <t>PV of Terminal Value</t>
  </si>
  <si>
    <t>Value of Operating Assets</t>
  </si>
  <si>
    <t>Add: Cash</t>
  </si>
  <si>
    <t>Less: Debt</t>
  </si>
  <si>
    <t>Value of Equity</t>
  </si>
  <si>
    <t>No of Shares</t>
  </si>
  <si>
    <t>Equity Value per Share</t>
  </si>
  <si>
    <t>Share price</t>
  </si>
  <si>
    <t>Discount/Premium</t>
  </si>
  <si>
    <t>India - Sector Data</t>
  </si>
  <si>
    <t>Figures in $mn</t>
  </si>
  <si>
    <t>Industry Name</t>
  </si>
  <si>
    <t>Number of Firms</t>
  </si>
  <si>
    <t>Capital Expenditures</t>
  </si>
  <si>
    <t xml:space="preserve">Depreciation &amp; Amort </t>
  </si>
  <si>
    <t>CapEx/Deprecn</t>
  </si>
  <si>
    <t>Acquisitions</t>
  </si>
  <si>
    <t xml:space="preserve">Net R&amp;D </t>
  </si>
  <si>
    <t>Net Cap Ex/Sales</t>
  </si>
  <si>
    <t>Net Cap Ex/ EBIT (1-t)</t>
  </si>
  <si>
    <t>Sales/ Invested Capital</t>
  </si>
  <si>
    <t>Expected EBIT Growth</t>
  </si>
  <si>
    <t>Advertising</t>
  </si>
  <si>
    <t>Aerospace/Defense</t>
  </si>
  <si>
    <t>Air Transport</t>
  </si>
  <si>
    <t>Apparel</t>
  </si>
  <si>
    <t>Auto &amp; Truck</t>
  </si>
  <si>
    <t>Auto Parts</t>
  </si>
  <si>
    <t>Bank (Money Center)</t>
  </si>
  <si>
    <t>NA</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</si>
  <si>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</si>
  <si>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</si>
  <si>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</si>
  <si>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</si>
  <si>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</si>
  <si>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</si>
  <si>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</si>
  <si>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</si>
  <si>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</si>
  <si>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</si>
  <si>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</si>
  <si>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</si>
  <si>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</si>
  <si>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Computers/Peripherals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</si>
  <si>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</si>
  <si>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</si>
  <si>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</si>
  <si>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</si>
  <si>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</si>
  <si>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</si>
  <si>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</si>
  <si>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</si>
  <si>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</si>
  <si>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</si>
  <si>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</si>
  <si>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</si>
  <si>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</si>
  <si>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</si>
  <si>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</si>
  <si>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</si>
  <si>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</si>
  <si>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</si>
  <si>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</si>
  <si>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</si>
  <si>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</si>
  <si>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</si>
  <si>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</si>
  <si>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</si>
  <si>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</si>
  <si>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</si>
  <si>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</si>
  <si>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</si>
  <si>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</si>
  <si>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</si>
  <si>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</si>
  <si>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</si>
  <si>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</si>
  <si>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</si>
  <si>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</si>
  <si>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</si>
  <si>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</si>
  <si>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</si>
  <si>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</si>
  <si>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</si>
  <si>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</si>
  <si>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</si>
  <si>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</si>
  <si>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</si>
  <si>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</si>
  <si>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</si>
  <si>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</si>
  <si>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</si>
  <si>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</si>
  <si>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</si>
  <si>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</si>
  <si>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</si>
  <si>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</si>
  <si>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(Online)</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</si>
  <si>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</si>
  <si>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</si>
  <si>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</si>
  <si>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</si>
  <si>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</si>
  <si>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</si>
  <si>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</si>
  <si>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</si>
  <si>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</si>
  <si>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</si>
  <si>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</si>
  <si>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</si>
  <si>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</si>
  <si>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</si>
  <si>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</si>
  <si>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</si>
  <si>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</si>
  <si>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</si>
  <si>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</si>
  <si>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Total Market</t>
  </si>
  <si>
    <t>Total Market (without financials)</t>
  </si>
  <si>
    <t>(Also the Enterprise Value)</t>
  </si>
  <si>
    <t>Sensitivity Analysis - Share Price</t>
  </si>
  <si>
    <t>Football Field Analysis</t>
  </si>
  <si>
    <t>Football Field Analysis - Data</t>
  </si>
  <si>
    <t>OpenLow</t>
  </si>
  <si>
    <t>Low</t>
  </si>
  <si>
    <t>OpenHigh</t>
  </si>
  <si>
    <t>High</t>
  </si>
  <si>
    <t>Comps</t>
  </si>
  <si>
    <t>DCF Bear</t>
  </si>
  <si>
    <t>DCF Base</t>
  </si>
  <si>
    <t>DCF Bull</t>
  </si>
  <si>
    <t>52W H/L</t>
  </si>
  <si>
    <t>Current Market Price</t>
  </si>
  <si>
    <t>Trend</t>
  </si>
  <si>
    <t>Depriciation</t>
  </si>
  <si>
    <t>1. Peer Comps</t>
  </si>
  <si>
    <t>2. Cost of Debt</t>
  </si>
  <si>
    <t>3. Capital Structure</t>
  </si>
  <si>
    <t>Current %</t>
  </si>
  <si>
    <t>Target %</t>
  </si>
  <si>
    <t>5. Cost of Equity</t>
  </si>
  <si>
    <t xml:space="preserve">4. Levered Beta </t>
  </si>
  <si>
    <t>6. Weighted Average Cost of Capital</t>
  </si>
  <si>
    <r>
      <t xml:space="preserve">Levered Beta </t>
    </r>
    <r>
      <rPr>
        <vertAlign val="superscript"/>
        <sz val="11"/>
        <color theme="1"/>
        <rFont val="Calibri"/>
        <family val="2"/>
      </rPr>
      <t>4</t>
    </r>
  </si>
  <si>
    <t>Growth Rate</t>
  </si>
  <si>
    <t>Valuation</t>
  </si>
  <si>
    <t>Calculation of Terminal Value of FCFF</t>
  </si>
  <si>
    <r>
      <t xml:space="preserve">Tax Rate </t>
    </r>
    <r>
      <rPr>
        <b/>
        <vertAlign val="superscript"/>
        <sz val="11"/>
        <color theme="1"/>
        <rFont val="Calibri"/>
        <family val="2"/>
      </rPr>
      <t>1</t>
    </r>
  </si>
  <si>
    <r>
      <t xml:space="preserve">Beta </t>
    </r>
    <r>
      <rPr>
        <b/>
        <vertAlign val="superscript"/>
        <sz val="11"/>
        <color theme="1"/>
        <rFont val="Calibri"/>
        <family val="2"/>
      </rPr>
      <t>2</t>
    </r>
  </si>
  <si>
    <r>
      <t xml:space="preserve">Beta </t>
    </r>
    <r>
      <rPr>
        <b/>
        <vertAlign val="superscript"/>
        <sz val="11"/>
        <color theme="1"/>
        <rFont val="Calibri"/>
        <family val="2"/>
      </rPr>
      <t>3</t>
    </r>
  </si>
  <si>
    <t>Beta</t>
  </si>
  <si>
    <t>Based on Statistical Forecasts using Linear Regression</t>
  </si>
  <si>
    <t>Data is from Comparables Valuation of ITC and BBB Scenario Analysis Tab</t>
  </si>
  <si>
    <t>Growth Ratios</t>
  </si>
  <si>
    <t>Profitability Ratios</t>
  </si>
  <si>
    <t>Solvency Ratios</t>
  </si>
  <si>
    <t>Efficiency Ratios</t>
  </si>
  <si>
    <t>Working Capital Efficiency Ratios</t>
  </si>
  <si>
    <t>Liquidity Ratios</t>
  </si>
  <si>
    <t>Historical Financial Statements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</si>
  <si>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</si>
  <si>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</si>
  <si>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</si>
  <si>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</si>
  <si>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</si>
  <si>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</si>
  <si>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</si>
  <si>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</si>
  <si>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</si>
  <si>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</si>
  <si>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</si>
  <si>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</si>
  <si>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</si>
  <si>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</si>
  <si>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</si>
  <si>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</si>
  <si>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</si>
  <si>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</si>
  <si>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</si>
  <si>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</si>
  <si>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</si>
  <si>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</si>
  <si>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</si>
  <si>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</si>
  <si>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</si>
  <si>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</si>
  <si>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</si>
  <si>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</si>
  <si>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</si>
  <si>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</si>
  <si>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</si>
  <si>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</si>
  <si>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</si>
  <si>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</si>
  <si>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</si>
  <si>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</si>
  <si>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</si>
  <si>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</si>
  <si>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</si>
  <si>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</si>
  <si>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</si>
  <si>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</si>
  <si>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</si>
  <si>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</si>
  <si>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</si>
  <si>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</si>
  <si>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</si>
  <si>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</si>
  <si>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</si>
  <si>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</si>
  <si>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</si>
  <si>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</si>
  <si>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</si>
  <si>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</si>
  <si>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</si>
  <si>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</si>
  <si>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</si>
  <si>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</si>
  <si>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</si>
  <si>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</si>
  <si>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</si>
  <si>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</si>
  <si>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</si>
  <si>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</si>
  <si>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</si>
  <si>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</si>
  <si>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</si>
  <si>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</si>
  <si>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</si>
  <si>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</si>
  <si>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</si>
  <si>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</si>
  <si>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</si>
  <si>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</si>
  <si>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</si>
  <si>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</si>
  <si>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</si>
  <si>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</si>
  <si>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</si>
  <si>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</si>
  <si>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</si>
  <si>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</si>
  <si>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</si>
  <si>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 xml:space="preserve">Housing Finance </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</si>
  <si>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</si>
  <si>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</si>
  <si>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</si>
  <si>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</si>
  <si>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</si>
  <si>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</si>
  <si>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</si>
  <si>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</si>
  <si>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</si>
  <si>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</si>
  <si>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</si>
  <si>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</si>
  <si>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</si>
  <si>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</si>
  <si>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</si>
  <si>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</si>
  <si>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</si>
  <si>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</si>
  <si>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</si>
  <si>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</si>
  <si>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</si>
  <si>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</si>
  <si>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</si>
  <si>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</si>
  <si>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</si>
  <si>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</si>
  <si>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</si>
  <si>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</si>
  <si>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</si>
  <si>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</si>
  <si>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</si>
  <si>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</si>
  <si>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</si>
  <si>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</si>
  <si>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</si>
  <si>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</si>
  <si>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</si>
  <si>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</si>
  <si>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</si>
  <si>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</si>
  <si>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</si>
  <si>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</si>
  <si>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</si>
  <si>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</si>
  <si>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</si>
  <si>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</si>
  <si>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</si>
  <si>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</si>
  <si>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</si>
  <si>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</si>
  <si>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</si>
  <si>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</si>
  <si>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</si>
  <si>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</si>
  <si>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</si>
  <si>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</si>
  <si>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</si>
  <si>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</si>
  <si>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</si>
  <si>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</si>
  <si>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</si>
  <si>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</si>
  <si>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</si>
  <si>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</si>
  <si>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</si>
  <si>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</si>
  <si>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</si>
  <si>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</si>
  <si>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</si>
  <si>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</si>
  <si>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</si>
  <si>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</si>
  <si>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</si>
  <si>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</si>
  <si>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</si>
  <si>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</si>
  <si>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</si>
  <si>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</si>
  <si>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</si>
  <si>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</si>
  <si>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</si>
  <si>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</si>
  <si>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</si>
  <si>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</si>
  <si>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</si>
  <si>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</si>
  <si>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</si>
  <si>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</si>
  <si>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</si>
  <si>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</si>
  <si>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</si>
  <si>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</si>
  <si>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</si>
  <si>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</si>
  <si>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</si>
  <si>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</si>
  <si>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</si>
  <si>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</si>
  <si>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</si>
  <si>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</si>
  <si>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</si>
  <si>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</si>
  <si>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</si>
  <si>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</si>
  <si>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</si>
  <si>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</si>
  <si>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</si>
  <si>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</si>
  <si>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</si>
  <si>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</si>
  <si>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</si>
  <si>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</si>
  <si>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</si>
  <si>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</si>
  <si>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</si>
  <si>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</si>
  <si>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</si>
  <si>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</si>
  <si>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</si>
  <si>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</si>
  <si>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</si>
  <si>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</si>
  <si>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</si>
  <si>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</si>
  <si>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</si>
  <si>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</si>
  <si>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</si>
  <si>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</si>
  <si>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</si>
  <si>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</si>
  <si>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</si>
  <si>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</si>
  <si>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</si>
  <si>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</si>
  <si>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</si>
  <si>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</si>
  <si>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</si>
  <si>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</si>
  <si>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</si>
  <si>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</si>
  <si>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</si>
  <si>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</si>
  <si>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</si>
  <si>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</si>
  <si>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</si>
  <si>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</si>
  <si>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</si>
  <si>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</si>
  <si>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</si>
  <si>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</si>
  <si>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</si>
  <si>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</si>
  <si>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</si>
  <si>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</si>
  <si>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</si>
  <si>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</si>
  <si>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</si>
  <si>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</si>
  <si>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</si>
  <si>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</si>
  <si>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</si>
  <si>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</si>
  <si>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</si>
  <si>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</si>
  <si>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</si>
  <si>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</si>
  <si>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</si>
  <si>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</si>
  <si>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</si>
  <si>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</si>
  <si>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</si>
  <si>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</si>
  <si>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</si>
  <si>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</si>
  <si>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</si>
  <si>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</si>
  <si>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</si>
  <si>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</si>
  <si>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</si>
  <si>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</si>
  <si>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</si>
  <si>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</si>
  <si>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</si>
  <si>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</si>
  <si>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</si>
  <si>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</si>
  <si>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</si>
  <si>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</si>
  <si>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</si>
  <si>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</si>
  <si>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</si>
  <si>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</si>
  <si>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</si>
  <si>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</si>
  <si>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</si>
  <si>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</si>
  <si>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</si>
  <si>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</si>
  <si>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</si>
  <si>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</si>
  <si>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</si>
  <si>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</si>
  <si>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</si>
  <si>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</si>
  <si>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</si>
  <si>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</si>
  <si>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</si>
  <si>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</si>
  <si>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</si>
  <si>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</si>
  <si>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</si>
  <si>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</si>
  <si>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</si>
  <si>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</si>
  <si>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</si>
  <si>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</si>
  <si>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</si>
  <si>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</si>
  <si>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</si>
  <si>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</si>
  <si>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</si>
  <si>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</si>
  <si>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</si>
  <si>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</si>
  <si>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</si>
  <si>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</si>
  <si>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</si>
  <si>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</si>
  <si>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</si>
  <si>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</si>
  <si>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</si>
  <si>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</si>
  <si>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</si>
  <si>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</si>
  <si>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</si>
  <si>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</si>
  <si>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</si>
  <si>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</si>
  <si>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</si>
  <si>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</si>
  <si>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</si>
  <si>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</si>
  <si>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</si>
  <si>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</si>
  <si>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</si>
  <si>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</si>
  <si>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</si>
  <si>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</si>
  <si>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</si>
  <si>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</si>
  <si>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</si>
  <si>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</si>
  <si>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</si>
  <si>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</si>
  <si>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</si>
  <si>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</si>
  <si>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</si>
  <si>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</si>
  <si>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</si>
  <si>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</si>
  <si>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</si>
  <si>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</si>
  <si>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</si>
  <si>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</si>
  <si>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</si>
  <si>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</si>
  <si>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</si>
  <si>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</si>
  <si>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</si>
  <si>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</si>
  <si>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</si>
  <si>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</si>
  <si>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</si>
  <si>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</si>
  <si>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</si>
  <si>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</si>
  <si>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</si>
  <si>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</si>
  <si>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</si>
  <si>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</si>
  <si>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</si>
  <si>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</si>
  <si>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</si>
  <si>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</si>
  <si>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</si>
  <si>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</si>
  <si>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</si>
  <si>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</si>
  <si>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</si>
  <si>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</si>
  <si>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</si>
  <si>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</si>
  <si>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</si>
  <si>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</si>
  <si>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</si>
  <si>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</si>
  <si>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</si>
  <si>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</si>
  <si>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</si>
  <si>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</si>
  <si>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</si>
  <si>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</si>
  <si>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</si>
  <si>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</si>
  <si>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</si>
  <si>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</si>
  <si>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</si>
  <si>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</si>
  <si>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</si>
  <si>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</si>
  <si>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</si>
  <si>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</si>
  <si>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</si>
  <si>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</si>
  <si>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</si>
  <si>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</si>
  <si>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</si>
  <si>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</si>
  <si>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</si>
  <si>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</si>
  <si>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</si>
  <si>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</si>
  <si>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</si>
  <si>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</si>
  <si>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</si>
  <si>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</si>
  <si>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</si>
  <si>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</si>
  <si>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</si>
  <si>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</si>
  <si>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</si>
  <si>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</si>
  <si>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</si>
  <si>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</si>
  <si>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</si>
  <si>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</si>
  <si>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</si>
  <si>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</si>
  <si>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</si>
  <si>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</si>
  <si>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</si>
  <si>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</si>
  <si>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</si>
  <si>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</si>
  <si>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</si>
  <si>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</si>
  <si>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</si>
  <si>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</si>
  <si>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</si>
  <si>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</si>
  <si>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</si>
  <si>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</si>
  <si>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</si>
  <si>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</si>
  <si>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</si>
  <si>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</si>
  <si>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</si>
  <si>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</si>
  <si>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</si>
  <si>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</si>
  <si>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</si>
  <si>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</si>
  <si>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</si>
  <si>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</si>
  <si>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</si>
  <si>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</si>
  <si>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</si>
  <si>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</si>
  <si>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</si>
  <si>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</si>
  <si>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</si>
  <si>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</si>
  <si>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</si>
  <si>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</si>
  <si>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</si>
  <si>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</si>
  <si>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</si>
  <si>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</si>
  <si>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</si>
  <si>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</si>
  <si>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</si>
  <si>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</si>
  <si>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</si>
  <si>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</si>
  <si>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</si>
  <si>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</si>
  <si>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</si>
  <si>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</si>
  <si>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</si>
  <si>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</si>
  <si>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</si>
  <si>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</si>
  <si>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</si>
  <si>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</si>
  <si>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</si>
  <si>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</si>
  <si>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</si>
  <si>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</si>
  <si>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</si>
  <si>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</si>
  <si>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</si>
  <si>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</si>
  <si>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</si>
  <si>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</si>
  <si>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</si>
  <si>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</si>
  <si>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</si>
  <si>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</si>
  <si>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</si>
  <si>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</si>
  <si>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</si>
  <si>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</si>
  <si>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</si>
  <si>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</si>
  <si>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</si>
  <si>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</si>
  <si>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</si>
  <si>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</si>
  <si>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</si>
  <si>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</si>
  <si>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</si>
  <si>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</si>
  <si>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</si>
  <si>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</si>
  <si>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</si>
  <si>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</si>
  <si>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</si>
  <si>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</si>
  <si>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</si>
  <si>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</si>
  <si>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</si>
  <si>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</si>
  <si>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</si>
  <si>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</si>
  <si>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</si>
  <si>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</si>
  <si>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</si>
  <si>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</si>
  <si>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 xml:space="preserve">Gift Articles-Toys &amp; Cards </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</si>
  <si>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</si>
  <si>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</si>
  <si>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</si>
  <si>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</si>
  <si>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</si>
  <si>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</si>
  <si>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</si>
  <si>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</si>
  <si>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</si>
  <si>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</si>
  <si>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</si>
  <si>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</si>
  <si>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</si>
  <si>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</si>
  <si>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</si>
  <si>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</si>
  <si>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</si>
  <si>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</si>
  <si>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</si>
  <si>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</si>
  <si>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</si>
  <si>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</si>
  <si>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</si>
  <si>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</si>
  <si>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</si>
  <si>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</si>
  <si>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</si>
  <si>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</si>
  <si>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</si>
  <si>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</si>
  <si>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</si>
  <si>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</si>
  <si>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</si>
  <si>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</si>
  <si>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</si>
  <si>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</si>
  <si>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</si>
  <si>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</si>
  <si>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</si>
  <si>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</si>
  <si>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</si>
  <si>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</si>
  <si>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</si>
  <si>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</si>
  <si>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</si>
  <si>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</si>
  <si>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</si>
  <si>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</si>
  <si>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</si>
  <si>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</si>
  <si>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</si>
  <si>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</si>
  <si>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</si>
  <si>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</si>
  <si>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</si>
  <si>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</si>
  <si>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</si>
  <si>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</si>
  <si>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</si>
  <si>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</si>
  <si>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</si>
  <si>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</si>
  <si>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</si>
  <si>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</si>
  <si>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</si>
  <si>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</si>
  <si>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</si>
  <si>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</si>
  <si>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</si>
  <si>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</si>
  <si>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</si>
  <si>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</si>
  <si>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</si>
  <si>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</si>
  <si>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</si>
  <si>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</si>
  <si>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</si>
  <si>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</si>
  <si>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</si>
  <si>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</si>
  <si>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</si>
  <si>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</si>
  <si>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</si>
  <si>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</si>
  <si>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</si>
  <si>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</si>
  <si>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</si>
  <si>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</si>
  <si>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</si>
  <si>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</si>
  <si>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</si>
  <si>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</si>
  <si>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</si>
  <si>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</si>
  <si>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</si>
  <si>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</si>
  <si>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</si>
  <si>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</si>
  <si>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</si>
  <si>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</si>
  <si>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</si>
  <si>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</si>
  <si>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</si>
  <si>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</si>
  <si>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</si>
  <si>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</si>
  <si>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</si>
  <si>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</si>
  <si>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</si>
  <si>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</si>
  <si>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</si>
  <si>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</si>
  <si>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</si>
  <si>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</si>
  <si>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</si>
  <si>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</si>
  <si>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</si>
  <si>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</si>
  <si>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</si>
  <si>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</si>
  <si>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</si>
  <si>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</si>
  <si>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</si>
  <si>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</si>
  <si>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</si>
  <si>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</si>
  <si>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</si>
  <si>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</si>
  <si>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</si>
  <si>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</si>
  <si>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</si>
  <si>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</si>
  <si>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</si>
  <si>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</si>
  <si>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</si>
  <si>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</si>
  <si>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</si>
  <si>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</si>
  <si>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</si>
  <si>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</si>
  <si>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</si>
  <si>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</si>
  <si>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</si>
  <si>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</si>
  <si>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</si>
  <si>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</si>
  <si>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</si>
  <si>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</si>
  <si>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</si>
  <si>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</si>
  <si>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</si>
  <si>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</si>
  <si>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</si>
  <si>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</si>
  <si>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</si>
  <si>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</si>
  <si>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</si>
  <si>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</si>
  <si>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</si>
  <si>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</si>
  <si>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</si>
  <si>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</si>
  <si>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</si>
  <si>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</si>
  <si>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</si>
  <si>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</si>
  <si>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</si>
  <si>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</si>
  <si>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</si>
  <si>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</si>
  <si>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</si>
  <si>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</si>
  <si>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</si>
  <si>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</si>
  <si>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</si>
  <si>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</si>
  <si>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</si>
  <si>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</si>
  <si>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</si>
  <si>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</si>
  <si>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</si>
  <si>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</si>
  <si>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</si>
  <si>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</si>
  <si>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</si>
  <si>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</si>
  <si>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</si>
  <si>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</si>
  <si>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</si>
  <si>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</si>
  <si>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</si>
  <si>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</si>
  <si>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</si>
  <si>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</si>
  <si>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</si>
  <si>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</si>
  <si>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</si>
  <si>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</si>
  <si>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</si>
  <si>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</si>
  <si>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</si>
  <si>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</si>
  <si>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</si>
  <si>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</si>
  <si>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</si>
  <si>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</si>
  <si>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</si>
  <si>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</si>
  <si>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</si>
  <si>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</si>
  <si>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</si>
  <si>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</si>
  <si>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</si>
  <si>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</si>
  <si>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</si>
  <si>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</si>
  <si>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</si>
  <si>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</si>
  <si>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</si>
  <si>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</si>
  <si>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</si>
  <si>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</si>
  <si>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</si>
  <si>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</si>
  <si>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</si>
  <si>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</si>
  <si>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</si>
  <si>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</si>
  <si>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</si>
  <si>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</si>
  <si>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</si>
  <si>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</si>
  <si>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</si>
  <si>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</si>
  <si>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</si>
  <si>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</si>
  <si>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</si>
  <si>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</si>
  <si>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</si>
  <si>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</si>
  <si>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</si>
  <si>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</si>
  <si>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</si>
  <si>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</si>
  <si>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</si>
  <si>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</si>
  <si>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</si>
  <si>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</si>
  <si>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</si>
  <si>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</si>
  <si>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</si>
  <si>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</si>
  <si>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</si>
  <si>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</si>
  <si>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</si>
  <si>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</si>
  <si>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</si>
  <si>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</si>
  <si>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</si>
  <si>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</si>
  <si>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</si>
  <si>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</si>
  <si>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</si>
  <si>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</si>
  <si>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</si>
  <si>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</si>
  <si>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</si>
  <si>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</si>
  <si>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</si>
  <si>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</si>
  <si>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</si>
  <si>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</si>
  <si>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</si>
  <si>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</si>
  <si>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</si>
  <si>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</si>
  <si>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</si>
  <si>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</si>
  <si>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</si>
  <si>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</si>
  <si>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</si>
  <si>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</si>
  <si>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</si>
  <si>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</si>
  <si>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</si>
  <si>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</si>
  <si>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</si>
  <si>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</si>
  <si>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</si>
  <si>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</si>
  <si>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</si>
  <si>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</si>
  <si>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</si>
  <si>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</si>
  <si>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</si>
  <si>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</si>
  <si>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</si>
  <si>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</si>
  <si>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</si>
  <si>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</si>
  <si>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</si>
  <si>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</si>
  <si>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</si>
  <si>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</si>
  <si>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</si>
  <si>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</si>
  <si>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</si>
  <si>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</si>
  <si>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</si>
  <si>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</si>
  <si>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</si>
  <si>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</si>
  <si>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</si>
  <si>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</si>
  <si>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</si>
  <si>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</si>
  <si>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</si>
  <si>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</si>
  <si>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</si>
  <si>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</si>
  <si>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</si>
  <si>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</si>
  <si>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</si>
  <si>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</si>
  <si>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</si>
  <si>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</si>
  <si>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</si>
  <si>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</si>
  <si>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</si>
  <si>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</si>
  <si>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</si>
  <si>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</si>
  <si>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</si>
  <si>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</si>
  <si>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</si>
  <si>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</si>
  <si>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</si>
  <si>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</si>
  <si>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</si>
  <si>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</si>
  <si>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</si>
  <si>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</si>
  <si>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</si>
  <si>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</si>
  <si>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</si>
  <si>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</si>
  <si>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</si>
  <si>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</si>
  <si>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</si>
  <si>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</si>
  <si>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</si>
  <si>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</si>
  <si>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</si>
  <si>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</si>
  <si>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</si>
  <si>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</si>
  <si>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</si>
  <si>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</si>
  <si>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</si>
  <si>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</si>
  <si>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</si>
  <si>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</si>
  <si>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</si>
  <si>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</si>
  <si>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</si>
  <si>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</si>
  <si>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</si>
  <si>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</si>
  <si>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</si>
  <si>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</si>
  <si>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</si>
  <si>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</si>
  <si>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</si>
  <si>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</si>
  <si>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</si>
  <si>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</si>
  <si>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</si>
  <si>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</si>
  <si>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</si>
  <si>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</si>
  <si>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</si>
  <si>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</si>
  <si>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</si>
  <si>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</si>
  <si>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</si>
  <si>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</si>
  <si>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</si>
  <si>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</si>
  <si>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</si>
  <si>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</si>
  <si>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</si>
  <si>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</si>
  <si>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</si>
  <si>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</si>
  <si>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</si>
  <si>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</si>
  <si>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</si>
  <si>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</si>
  <si>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</si>
  <si>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</si>
  <si>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</si>
  <si>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</si>
  <si>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</si>
  <si>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</si>
  <si>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</si>
  <si>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</si>
  <si>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</si>
  <si>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</si>
  <si>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</si>
  <si>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</si>
  <si>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</si>
  <si>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</si>
  <si>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</si>
  <si>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</si>
  <si>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</si>
  <si>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</si>
  <si>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</si>
  <si>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</si>
  <si>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</si>
  <si>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</si>
  <si>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</si>
  <si>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</si>
  <si>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</si>
  <si>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</si>
  <si>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</si>
  <si>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</si>
  <si>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</si>
  <si>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</si>
  <si>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</si>
  <si>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</si>
  <si>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</si>
  <si>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</si>
  <si>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</si>
  <si>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</si>
  <si>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</si>
  <si>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</si>
  <si>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</si>
  <si>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</si>
  <si>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</si>
  <si>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</si>
  <si>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</si>
  <si>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</si>
  <si>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</si>
  <si>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</si>
  <si>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</si>
  <si>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</si>
  <si>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</si>
  <si>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</si>
  <si>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</si>
  <si>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</si>
  <si>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</si>
  <si>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</si>
  <si>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</si>
  <si>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</si>
  <si>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</si>
  <si>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</si>
  <si>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</si>
  <si>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</si>
  <si>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</si>
  <si>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</si>
  <si>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</si>
  <si>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</si>
  <si>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</si>
  <si>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</si>
  <si>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</si>
  <si>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</si>
  <si>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</si>
  <si>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</si>
  <si>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</si>
  <si>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</si>
  <si>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</si>
  <si>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</si>
  <si>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</si>
  <si>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</si>
  <si>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</si>
  <si>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</si>
  <si>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</si>
  <si>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</si>
  <si>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</si>
  <si>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</si>
  <si>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</si>
  <si>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</si>
  <si>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</si>
  <si>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</si>
  <si>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</si>
  <si>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</si>
  <si>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</si>
  <si>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</si>
  <si>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</si>
  <si>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</si>
  <si>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</si>
  <si>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</si>
  <si>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</si>
  <si>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</si>
  <si>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</si>
  <si>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</si>
  <si>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</si>
  <si>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</si>
  <si>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</si>
  <si>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</si>
  <si>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</si>
  <si>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</si>
  <si>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</si>
  <si>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</si>
  <si>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</si>
  <si>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</si>
  <si>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</si>
  <si>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</si>
  <si>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</si>
  <si>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</si>
  <si>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</si>
  <si>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</si>
  <si>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</si>
  <si>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</si>
  <si>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</si>
  <si>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</si>
  <si>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</si>
  <si>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</si>
  <si>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</si>
  <si>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</si>
  <si>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</si>
  <si>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</si>
  <si>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</si>
  <si>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</si>
  <si>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</si>
  <si>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</si>
  <si>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</si>
  <si>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</si>
  <si>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</si>
  <si>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</si>
  <si>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</si>
  <si>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</si>
  <si>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</si>
  <si>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</si>
  <si>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</si>
  <si>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</si>
  <si>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</si>
  <si>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</si>
  <si>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</si>
  <si>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</si>
  <si>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</si>
  <si>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</si>
  <si>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</si>
  <si>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</si>
  <si>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</si>
  <si>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</si>
  <si>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</si>
  <si>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</si>
  <si>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</si>
  <si>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</si>
  <si>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</si>
  <si>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</si>
  <si>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</si>
  <si>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</si>
  <si>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</si>
  <si>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</si>
  <si>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</si>
  <si>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</si>
  <si>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</si>
  <si>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</si>
  <si>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</si>
  <si>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</si>
  <si>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</si>
  <si>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</si>
  <si>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</si>
  <si>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</si>
  <si>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</si>
  <si>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</si>
  <si>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</si>
  <si>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</si>
  <si>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</si>
  <si>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</si>
  <si>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</si>
  <si>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</si>
  <si>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</si>
  <si>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</si>
  <si>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</si>
  <si>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</si>
  <si>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</si>
  <si>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</si>
  <si>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</si>
  <si>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</si>
  <si>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</si>
  <si>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</si>
  <si>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</si>
  <si>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</si>
  <si>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</si>
  <si>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</si>
  <si>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</si>
  <si>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</si>
  <si>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</si>
  <si>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</si>
  <si>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</si>
  <si>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</si>
  <si>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</si>
  <si>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</si>
  <si>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</si>
  <si>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</si>
  <si>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</si>
  <si>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</si>
  <si>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</si>
  <si>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</si>
  <si>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</si>
  <si>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</si>
  <si>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</si>
  <si>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</si>
  <si>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</si>
  <si>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</si>
  <si>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</si>
  <si>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</si>
  <si>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</si>
  <si>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</si>
  <si>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</si>
  <si>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</si>
  <si>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</si>
  <si>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</si>
  <si>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</si>
  <si>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</si>
  <si>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</si>
  <si>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</si>
  <si>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</si>
  <si>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</si>
  <si>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</si>
  <si>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</si>
  <si>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</si>
  <si>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</si>
  <si>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</si>
  <si>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</si>
  <si>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</si>
  <si>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</si>
  <si>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</si>
  <si>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</si>
  <si>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</si>
  <si>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</si>
  <si>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</si>
  <si>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</si>
  <si>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</si>
  <si>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</si>
  <si>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</si>
  <si>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</si>
  <si>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</si>
  <si>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</si>
  <si>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</si>
  <si>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</si>
  <si>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</si>
  <si>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</si>
  <si>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</si>
  <si>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</si>
  <si>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</si>
  <si>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</si>
  <si>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</si>
  <si>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</si>
  <si>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</si>
  <si>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</si>
  <si>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</si>
  <si>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</si>
  <si>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</si>
  <si>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</si>
  <si>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</si>
  <si>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</si>
  <si>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</si>
  <si>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</si>
  <si>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</si>
  <si>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</si>
  <si>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</si>
  <si>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</si>
  <si>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</si>
  <si>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</si>
  <si>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</si>
  <si>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</si>
  <si>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</si>
  <si>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</si>
  <si>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</si>
  <si>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</si>
  <si>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</si>
  <si>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</si>
  <si>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</si>
  <si>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</si>
  <si>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</si>
  <si>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</si>
  <si>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</si>
  <si>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</si>
  <si>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</si>
  <si>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</si>
  <si>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</si>
  <si>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</si>
  <si>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</si>
  <si>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</si>
  <si>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</si>
  <si>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</si>
  <si>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</si>
  <si>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</si>
  <si>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</si>
  <si>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</si>
  <si>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</si>
  <si>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</si>
  <si>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</si>
  <si>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</si>
  <si>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</si>
  <si>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</si>
  <si>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</si>
  <si>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</si>
  <si>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</si>
  <si>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</si>
  <si>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</si>
  <si>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</si>
  <si>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</si>
  <si>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</si>
  <si>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</si>
  <si>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</si>
  <si>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</si>
  <si>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</si>
  <si>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</si>
  <si>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</si>
  <si>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</si>
  <si>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</si>
  <si>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</si>
  <si>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</si>
  <si>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</si>
  <si>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</si>
  <si>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</si>
  <si>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</si>
  <si>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</si>
  <si>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</si>
  <si>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</si>
  <si>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</si>
  <si>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</si>
  <si>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</si>
  <si>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</si>
  <si>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</si>
  <si>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</si>
  <si>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</si>
  <si>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</si>
  <si>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</si>
  <si>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</si>
  <si>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</si>
  <si>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</si>
  <si>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</si>
  <si>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</si>
  <si>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</si>
  <si>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</si>
  <si>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</si>
  <si>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</si>
  <si>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</si>
  <si>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</si>
  <si>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</si>
  <si>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</si>
  <si>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</si>
  <si>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</si>
  <si>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</si>
  <si>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</si>
  <si>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</si>
  <si>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</si>
  <si>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</si>
  <si>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</si>
  <si>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</si>
  <si>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</si>
  <si>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</si>
  <si>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</si>
  <si>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</si>
  <si>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</si>
  <si>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</si>
  <si>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</si>
  <si>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</si>
  <si>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</si>
  <si>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</si>
  <si>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</si>
  <si>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</si>
  <si>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</si>
  <si>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</si>
  <si>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</si>
  <si>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</si>
  <si>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</si>
  <si>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</si>
  <si>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</si>
  <si>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</si>
  <si>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</si>
  <si>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</si>
  <si>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</si>
  <si>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</si>
  <si>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</si>
  <si>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</si>
  <si>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</si>
  <si>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</si>
  <si>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</si>
  <si>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</si>
  <si>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</si>
  <si>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</si>
  <si>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</si>
  <si>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</si>
  <si>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</si>
  <si>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</si>
  <si>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</si>
  <si>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</si>
  <si>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</si>
  <si>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</si>
  <si>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</si>
  <si>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</si>
  <si>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</si>
  <si>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</si>
  <si>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</si>
  <si>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</si>
  <si>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</si>
  <si>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</si>
  <si>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</si>
  <si>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</si>
  <si>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</si>
  <si>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</si>
  <si>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</si>
  <si>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</si>
  <si>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</si>
  <si>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</si>
  <si>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</si>
  <si>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</si>
  <si>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</si>
  <si>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</si>
  <si>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</si>
  <si>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</si>
  <si>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</si>
  <si>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</si>
  <si>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</si>
  <si>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</si>
  <si>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</si>
  <si>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</si>
  <si>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</si>
  <si>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</si>
  <si>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</si>
  <si>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</si>
  <si>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</si>
  <si>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</si>
  <si>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</si>
  <si>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</si>
  <si>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</si>
  <si>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</si>
  <si>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</si>
  <si>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</si>
  <si>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</si>
  <si>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</si>
  <si>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</si>
  <si>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</si>
  <si>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</si>
  <si>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</si>
  <si>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</si>
  <si>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</si>
  <si>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</si>
  <si>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</si>
  <si>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</si>
  <si>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</si>
  <si>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</si>
  <si>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</si>
  <si>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</si>
  <si>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</si>
  <si>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</si>
  <si>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</si>
  <si>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</si>
  <si>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</si>
  <si>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</si>
  <si>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</si>
  <si>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</si>
  <si>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</si>
  <si>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</si>
  <si>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</si>
  <si>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</si>
  <si>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</si>
  <si>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</si>
  <si>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</si>
  <si>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</si>
  <si>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</si>
  <si>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</si>
  <si>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</si>
  <si>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</si>
  <si>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</si>
  <si>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</si>
  <si>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</si>
  <si>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</si>
  <si>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</si>
  <si>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</si>
  <si>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</si>
  <si>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</si>
  <si>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</si>
  <si>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</si>
  <si>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</si>
  <si>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</si>
  <si>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</si>
  <si>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</si>
  <si>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</si>
  <si>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</si>
  <si>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</si>
  <si>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</si>
  <si>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</si>
  <si>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</si>
  <si>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</si>
  <si>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</si>
  <si>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</si>
  <si>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</si>
  <si>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</si>
  <si>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</si>
  <si>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</si>
  <si>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</si>
  <si>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</si>
  <si>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</si>
  <si>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</si>
  <si>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</si>
  <si>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</si>
  <si>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</si>
  <si>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</si>
  <si>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</si>
  <si>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</si>
  <si>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</si>
  <si>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</si>
  <si>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</si>
  <si>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</si>
  <si>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</si>
  <si>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</si>
  <si>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</si>
  <si>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</si>
  <si>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</si>
  <si>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</si>
  <si>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</si>
  <si>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</si>
  <si>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</si>
  <si>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</si>
  <si>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</si>
  <si>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</si>
  <si>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</si>
  <si>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</si>
  <si>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</si>
  <si>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</si>
  <si>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</si>
  <si>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</si>
  <si>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</si>
  <si>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</si>
  <si>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</si>
  <si>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</si>
  <si>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</si>
  <si>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</si>
  <si>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</si>
  <si>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</si>
  <si>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</si>
  <si>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</si>
  <si>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</si>
  <si>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</si>
  <si>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</si>
  <si>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</si>
  <si>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</si>
  <si>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</si>
  <si>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</si>
  <si>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</si>
  <si>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</si>
  <si>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</si>
  <si>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</si>
  <si>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</si>
  <si>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</si>
  <si>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</si>
  <si>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</si>
  <si>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</si>
  <si>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</si>
  <si>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</si>
  <si>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</si>
  <si>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</si>
  <si>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</si>
  <si>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</si>
  <si>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</si>
  <si>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</si>
  <si>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</si>
  <si>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</si>
  <si>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</si>
  <si>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</si>
  <si>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</si>
  <si>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</si>
  <si>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</si>
  <si>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</si>
  <si>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</si>
  <si>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</si>
  <si>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</si>
  <si>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</si>
  <si>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</si>
  <si>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</si>
  <si>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</si>
  <si>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</si>
  <si>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</si>
  <si>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</si>
  <si>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</si>
  <si>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</si>
  <si>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</si>
  <si>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</si>
  <si>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</si>
  <si>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</si>
  <si>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</si>
  <si>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</si>
  <si>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</si>
  <si>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</si>
  <si>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</si>
  <si>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</si>
  <si>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</si>
  <si>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</si>
  <si>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</si>
  <si>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</si>
  <si>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</si>
  <si>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</si>
  <si>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</si>
  <si>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</si>
  <si>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</si>
  <si>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</si>
  <si>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</si>
  <si>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</si>
  <si>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</si>
  <si>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</si>
  <si>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</si>
  <si>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</si>
  <si>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</si>
  <si>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</si>
  <si>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</si>
  <si>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</si>
  <si>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</si>
  <si>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</si>
  <si>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</si>
  <si>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</si>
  <si>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</si>
  <si>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</si>
  <si>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</si>
  <si>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</si>
  <si>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</si>
  <si>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</si>
  <si>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</si>
  <si>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</si>
  <si>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</si>
  <si>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</si>
  <si>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</si>
  <si>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</si>
  <si>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</si>
  <si>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</si>
  <si>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</si>
  <si>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</si>
  <si>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</si>
  <si>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</si>
  <si>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</si>
  <si>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</si>
  <si>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</si>
  <si>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</si>
  <si>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</si>
  <si>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</si>
  <si>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</si>
  <si>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</si>
  <si>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</si>
  <si>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</si>
  <si>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</si>
  <si>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</si>
  <si>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</si>
  <si>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</si>
  <si>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</si>
  <si>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</si>
  <si>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</si>
  <si>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</si>
  <si>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</si>
  <si>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</si>
  <si>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</si>
  <si>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</si>
  <si>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</si>
  <si>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</si>
  <si>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</si>
  <si>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</si>
  <si>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</si>
  <si>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</si>
  <si>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</si>
  <si>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</si>
  <si>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</si>
  <si>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</si>
  <si>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</si>
  <si>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</si>
  <si>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</si>
  <si>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</si>
  <si>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</si>
  <si>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</si>
  <si>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</si>
  <si>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</si>
  <si>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</si>
  <si>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</si>
  <si>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</si>
  <si>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</si>
  <si>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</si>
  <si>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</si>
  <si>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</si>
  <si>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</si>
  <si>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</si>
  <si>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</si>
  <si>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</si>
  <si>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</si>
  <si>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</si>
  <si>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</si>
  <si>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</si>
  <si>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</si>
  <si>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</si>
  <si>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</si>
  <si>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</si>
  <si>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</si>
  <si>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</si>
  <si>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</si>
  <si>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</si>
  <si>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</si>
  <si>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</si>
  <si>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</si>
  <si>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</si>
  <si>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</si>
  <si>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</si>
  <si>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</si>
  <si>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</si>
  <si>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</si>
  <si>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</si>
  <si>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</si>
  <si>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</si>
  <si>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</si>
  <si>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</si>
  <si>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</si>
  <si>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</si>
  <si>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</si>
  <si>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</si>
  <si>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</si>
  <si>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</si>
  <si>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</si>
  <si>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</si>
  <si>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</si>
  <si>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</si>
  <si>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</si>
  <si>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</si>
  <si>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</si>
  <si>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</si>
  <si>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</si>
  <si>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</si>
  <si>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</si>
  <si>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</si>
  <si>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</si>
  <si>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</si>
  <si>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</si>
  <si>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</si>
  <si>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</si>
  <si>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</si>
  <si>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</si>
  <si>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</si>
  <si>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</si>
  <si>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</si>
  <si>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</si>
  <si>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</si>
  <si>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</si>
  <si>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</si>
  <si>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</si>
  <si>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</si>
  <si>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</si>
  <si>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</si>
  <si>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</si>
  <si>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</si>
  <si>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</si>
  <si>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</si>
  <si>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</si>
  <si>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</si>
  <si>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</si>
  <si>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</si>
  <si>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</si>
  <si>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</si>
  <si>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</si>
  <si>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</si>
  <si>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</si>
  <si>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</si>
  <si>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</si>
  <si>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</si>
  <si>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</si>
  <si>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</si>
  <si>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</si>
  <si>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</si>
  <si>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</si>
  <si>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</si>
  <si>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</si>
  <si>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</si>
  <si>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</si>
  <si>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</si>
  <si>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</si>
  <si>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</si>
  <si>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</si>
  <si>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</si>
  <si>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</si>
  <si>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</si>
  <si>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</si>
  <si>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</si>
  <si>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</si>
  <si>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</si>
  <si>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</si>
  <si>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</si>
  <si>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</si>
  <si>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</si>
  <si>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</si>
  <si>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</si>
  <si>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</si>
  <si>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</si>
  <si>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</si>
  <si>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</si>
  <si>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</si>
  <si>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</si>
  <si>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</si>
  <si>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</si>
  <si>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</si>
  <si>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</si>
  <si>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</si>
  <si>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</si>
  <si>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</si>
  <si>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</si>
  <si>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</si>
  <si>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</si>
  <si>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</si>
  <si>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</si>
  <si>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</si>
  <si>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</si>
  <si>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</si>
  <si>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</si>
  <si>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</si>
  <si>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</si>
  <si>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</si>
  <si>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</si>
  <si>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</si>
  <si>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</si>
  <si>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</si>
  <si>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</si>
  <si>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</si>
  <si>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</si>
  <si>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</si>
  <si>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</si>
  <si>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</si>
  <si>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</si>
  <si>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</si>
  <si>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</si>
  <si>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</si>
  <si>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</si>
  <si>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</si>
  <si>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</si>
  <si>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</si>
  <si>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</si>
  <si>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</si>
  <si>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</si>
  <si>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</si>
  <si>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</si>
  <si>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</si>
  <si>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</si>
  <si>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</si>
  <si>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</si>
  <si>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</si>
  <si>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</si>
  <si>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</si>
  <si>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</si>
  <si>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</si>
  <si>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</si>
  <si>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</si>
  <si>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</si>
  <si>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</si>
  <si>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</si>
  <si>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</si>
  <si>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</si>
  <si>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</si>
  <si>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</si>
  <si>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</si>
  <si>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</si>
  <si>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</si>
  <si>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</si>
  <si>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</si>
  <si>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</si>
  <si>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</si>
  <si>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</si>
  <si>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</si>
  <si>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</si>
  <si>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</si>
  <si>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</si>
  <si>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</si>
  <si>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</si>
  <si>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</si>
  <si>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</si>
  <si>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</si>
  <si>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</si>
  <si>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</si>
  <si>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</si>
  <si>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</si>
  <si>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</si>
  <si>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</si>
  <si>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</si>
  <si>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</si>
  <si>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</si>
  <si>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</si>
  <si>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</si>
  <si>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</si>
  <si>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</si>
  <si>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</si>
  <si>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</si>
  <si>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</si>
  <si>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</si>
  <si>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</si>
  <si>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</si>
  <si>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</si>
  <si>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</si>
  <si>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</si>
  <si>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</si>
  <si>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</si>
  <si>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</si>
  <si>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</si>
  <si>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</si>
  <si>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</si>
  <si>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</si>
  <si>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</si>
  <si>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</si>
  <si>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</si>
  <si>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</si>
  <si>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</si>
  <si>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</si>
  <si>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</si>
  <si>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</si>
  <si>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</si>
  <si>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</si>
  <si>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</si>
  <si>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</si>
  <si>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</si>
  <si>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</si>
  <si>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</si>
  <si>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</si>
  <si>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</si>
  <si>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</si>
  <si>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</si>
  <si>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</si>
  <si>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</si>
  <si>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</si>
  <si>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</si>
  <si>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</si>
  <si>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</si>
  <si>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</si>
  <si>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</si>
  <si>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</si>
  <si>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</si>
  <si>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</si>
  <si>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</si>
  <si>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</si>
  <si>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</si>
  <si>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</si>
  <si>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</si>
  <si>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</si>
  <si>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</si>
  <si>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</si>
  <si>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</si>
  <si>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</si>
  <si>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</si>
  <si>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</si>
  <si>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</si>
  <si>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</si>
  <si>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</si>
  <si>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</si>
  <si>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</si>
  <si>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</si>
  <si>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</si>
  <si>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</si>
  <si>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</si>
  <si>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</si>
  <si>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</si>
  <si>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</si>
  <si>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</si>
  <si>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</si>
  <si>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</si>
  <si>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</si>
  <si>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</si>
  <si>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</si>
  <si>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</si>
  <si>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</si>
  <si>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</si>
  <si>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</si>
  <si>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</si>
  <si>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</si>
  <si>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</si>
  <si>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</si>
  <si>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</si>
  <si>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</si>
  <si>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</si>
  <si>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</si>
  <si>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</si>
  <si>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</si>
  <si>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</si>
  <si>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</si>
  <si>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</si>
  <si>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</si>
  <si>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</si>
  <si>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</si>
  <si>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</si>
  <si>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</si>
  <si>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</si>
  <si>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</si>
  <si>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</si>
  <si>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</si>
  <si>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</si>
  <si>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</si>
  <si>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</si>
  <si>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</si>
  <si>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</si>
  <si>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</si>
  <si>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</si>
  <si>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</si>
  <si>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</si>
  <si>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</si>
  <si>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</si>
  <si>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</si>
  <si>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</si>
  <si>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</si>
  <si>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</si>
  <si>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</si>
  <si>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</si>
  <si>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</si>
  <si>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</si>
  <si>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</si>
  <si>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</si>
  <si>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</si>
  <si>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</si>
  <si>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</si>
  <si>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</si>
  <si>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</si>
  <si>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</si>
  <si>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</si>
  <si>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</si>
  <si>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</si>
  <si>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</si>
  <si>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</si>
  <si>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</si>
  <si>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</si>
  <si>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</si>
  <si>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</si>
  <si>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</si>
  <si>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</si>
  <si>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</si>
  <si>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</si>
  <si>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</si>
  <si>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</si>
  <si>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</si>
  <si>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</si>
  <si>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</si>
  <si>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</si>
  <si>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</si>
  <si>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</si>
  <si>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</si>
  <si>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</si>
  <si>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</si>
  <si>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</si>
  <si>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</si>
  <si>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</si>
  <si>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</si>
  <si>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</si>
  <si>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</si>
  <si>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</si>
  <si>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</si>
  <si>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</si>
  <si>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</si>
  <si>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</si>
  <si>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</si>
  <si>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</si>
  <si>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</si>
  <si>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</si>
  <si>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</si>
  <si>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</si>
  <si>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</si>
  <si>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</si>
  <si>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</si>
  <si>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</si>
  <si>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</si>
  <si>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</si>
  <si>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</si>
  <si>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</si>
  <si>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</si>
  <si>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</si>
  <si>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</si>
  <si>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</si>
  <si>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</si>
  <si>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</si>
  <si>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</si>
  <si>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</si>
  <si>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</si>
  <si>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</si>
  <si>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</si>
  <si>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</si>
  <si>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</si>
  <si>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</si>
  <si>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</si>
  <si>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</si>
  <si>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</si>
  <si>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</si>
  <si>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</si>
  <si>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</si>
  <si>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</si>
  <si>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</si>
  <si>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</si>
  <si>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</si>
  <si>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</si>
  <si>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</si>
  <si>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</si>
  <si>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</si>
  <si>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</si>
  <si>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</si>
  <si>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</si>
  <si>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</si>
  <si>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</si>
  <si>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</si>
  <si>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</si>
  <si>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</si>
  <si>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</si>
  <si>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</si>
  <si>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</si>
  <si>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</si>
  <si>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</si>
  <si>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</si>
  <si>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</si>
  <si>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</si>
  <si>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</si>
  <si>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</si>
  <si>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</si>
  <si>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</si>
  <si>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</si>
  <si>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</si>
  <si>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</si>
  <si>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</si>
  <si>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</si>
  <si>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</si>
  <si>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</si>
  <si>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</si>
  <si>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</si>
  <si>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</si>
  <si>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</si>
  <si>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</si>
  <si>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</si>
  <si>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</si>
  <si>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</si>
  <si>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</si>
  <si>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</si>
  <si>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</si>
  <si>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</si>
  <si>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</si>
  <si>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</si>
  <si>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</si>
  <si>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</si>
  <si>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</si>
  <si>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</si>
  <si>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</si>
  <si>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</si>
  <si>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</si>
  <si>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</si>
  <si>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</si>
  <si>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</si>
  <si>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</si>
  <si>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</si>
  <si>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</si>
  <si>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</si>
  <si>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</si>
  <si>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</si>
  <si>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</si>
  <si>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</si>
  <si>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</si>
  <si>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</si>
  <si>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</si>
  <si>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</si>
  <si>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</si>
  <si>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</si>
  <si>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</si>
  <si>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</si>
  <si>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</si>
  <si>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</si>
  <si>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</si>
  <si>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</si>
  <si>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</si>
  <si>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</si>
  <si>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</si>
  <si>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</si>
  <si>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</si>
  <si>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</si>
  <si>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</si>
  <si>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</si>
  <si>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</si>
  <si>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</si>
  <si>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</si>
  <si>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</si>
  <si>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</si>
  <si>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</si>
  <si>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</si>
  <si>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</si>
  <si>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</si>
  <si>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</si>
  <si>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</si>
  <si>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</si>
  <si>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</si>
  <si>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</si>
  <si>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</si>
  <si>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</si>
  <si>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</si>
  <si>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</si>
  <si>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</si>
  <si>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</si>
  <si>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</si>
  <si>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</si>
  <si>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</si>
  <si>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</si>
  <si>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</si>
  <si>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</si>
  <si>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</si>
  <si>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</si>
  <si>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</si>
  <si>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</si>
  <si>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</si>
  <si>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</si>
  <si>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</si>
  <si>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</si>
  <si>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</si>
  <si>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</si>
  <si>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</si>
  <si>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</si>
  <si>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</si>
  <si>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</si>
  <si>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</si>
  <si>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</si>
  <si>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</si>
  <si>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</si>
  <si>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</si>
  <si>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</si>
  <si>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</si>
  <si>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</si>
  <si>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</si>
  <si>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</si>
  <si>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</si>
  <si>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</si>
  <si>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</si>
  <si>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</si>
  <si>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</si>
  <si>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</si>
  <si>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</si>
  <si>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</si>
  <si>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</si>
  <si>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</si>
  <si>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</si>
  <si>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</si>
  <si>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</si>
  <si>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</si>
  <si>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</si>
  <si>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</si>
  <si>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</si>
  <si>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</si>
  <si>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</si>
  <si>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</si>
  <si>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</si>
  <si>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</si>
  <si>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</si>
  <si>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</si>
  <si>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</si>
  <si>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</si>
  <si>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</si>
  <si>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</si>
  <si>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</si>
  <si>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</si>
  <si>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</si>
  <si>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</si>
  <si>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</si>
  <si>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</si>
  <si>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</si>
  <si>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</si>
  <si>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</si>
  <si>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</si>
  <si>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</si>
  <si>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</si>
  <si>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</si>
  <si>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</si>
  <si>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</si>
  <si>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</si>
  <si>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</si>
  <si>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</si>
  <si>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</si>
  <si>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</si>
  <si>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</si>
  <si>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</si>
  <si>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</si>
  <si>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</si>
  <si>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</si>
  <si>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</si>
  <si>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</si>
  <si>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</si>
  <si>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</si>
  <si>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</si>
  <si>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</si>
  <si>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</si>
  <si>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</si>
  <si>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</si>
  <si>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</si>
  <si>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</si>
  <si>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</si>
  <si>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</si>
  <si>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</si>
  <si>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</si>
  <si>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</si>
  <si>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</si>
  <si>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</si>
  <si>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</si>
  <si>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</si>
  <si>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</si>
  <si>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</si>
  <si>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</si>
  <si>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</si>
  <si>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</si>
  <si>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</si>
  <si>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</si>
  <si>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</si>
  <si>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</si>
  <si>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</si>
  <si>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</si>
  <si>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</si>
  <si>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</si>
  <si>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</si>
  <si>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</si>
  <si>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</si>
  <si>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</si>
  <si>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</si>
  <si>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</si>
  <si>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</si>
  <si>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</si>
  <si>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</si>
  <si>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</si>
  <si>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</si>
  <si>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</si>
  <si>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</si>
  <si>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</si>
  <si>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</si>
  <si>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</si>
  <si>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</si>
  <si>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</si>
  <si>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</si>
  <si>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</si>
  <si>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</si>
  <si>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</si>
  <si>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</si>
  <si>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</si>
  <si>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</si>
  <si>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</si>
  <si>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</si>
  <si>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</si>
  <si>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</si>
  <si>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</si>
  <si>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</si>
  <si>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</si>
  <si>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</si>
  <si>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</si>
  <si>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</si>
  <si>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</si>
  <si>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</si>
  <si>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</si>
  <si>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</si>
  <si>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</si>
  <si>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</si>
  <si>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</si>
  <si>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</si>
  <si>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</si>
  <si>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</si>
  <si>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</si>
  <si>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</si>
  <si>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</si>
  <si>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</si>
  <si>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</si>
  <si>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</si>
  <si>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</si>
  <si>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</si>
  <si>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</si>
  <si>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</si>
  <si>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</si>
  <si>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</si>
  <si>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</si>
  <si>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</si>
  <si>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</si>
  <si>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</si>
  <si>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</si>
  <si>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</si>
  <si>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</si>
  <si>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</si>
  <si>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</si>
  <si>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</si>
  <si>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</si>
  <si>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</si>
  <si>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</si>
  <si>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</si>
  <si>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</si>
  <si>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</si>
  <si>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</si>
  <si>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</si>
  <si>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</si>
  <si>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</si>
  <si>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</si>
  <si>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</si>
  <si>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</si>
  <si>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</si>
  <si>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</si>
  <si>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</si>
  <si>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</si>
  <si>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</si>
  <si>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</si>
  <si>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</si>
  <si>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</si>
  <si>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</si>
  <si>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</si>
  <si>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</si>
  <si>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</si>
  <si>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</si>
  <si>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</si>
  <si>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</si>
  <si>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</si>
  <si>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</si>
  <si>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</si>
  <si>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</si>
  <si>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</si>
  <si>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</si>
  <si>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</si>
  <si>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</si>
  <si>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</si>
  <si>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</si>
  <si>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</si>
  <si>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</si>
  <si>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</si>
  <si>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</si>
  <si>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</si>
  <si>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</si>
  <si>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</si>
  <si>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</si>
  <si>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</si>
  <si>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</si>
  <si>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</si>
  <si>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</si>
  <si>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</si>
  <si>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</si>
  <si>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</si>
  <si>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</si>
  <si>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</si>
  <si>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</si>
  <si>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</si>
  <si>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</si>
  <si>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</si>
  <si>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</si>
  <si>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</si>
  <si>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</si>
  <si>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</si>
  <si>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</si>
  <si>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</si>
  <si>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</si>
  <si>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</si>
  <si>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</si>
  <si>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</si>
  <si>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</si>
  <si>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</si>
  <si>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</si>
  <si>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</si>
  <si>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</si>
  <si>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</si>
  <si>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</si>
  <si>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</si>
  <si>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</si>
  <si>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</si>
  <si>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</si>
  <si>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</si>
  <si>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</si>
  <si>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</si>
  <si>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</si>
  <si>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</si>
  <si>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</si>
  <si>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</si>
  <si>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</si>
  <si>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</si>
  <si>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</si>
  <si>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</si>
  <si>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</si>
  <si>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</si>
  <si>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</si>
  <si>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</si>
  <si>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</si>
  <si>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</si>
  <si>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</si>
  <si>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</si>
  <si>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</si>
  <si>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</si>
  <si>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</si>
  <si>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</si>
  <si>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</si>
  <si>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</si>
  <si>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</si>
  <si>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</si>
  <si>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</si>
  <si>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</si>
  <si>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</si>
  <si>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</si>
  <si>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</si>
  <si>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</si>
  <si>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</si>
  <si>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</si>
  <si>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</si>
  <si>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</si>
  <si>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</si>
  <si>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</si>
  <si>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</si>
  <si>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</si>
  <si>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</si>
  <si>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</si>
  <si>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</si>
  <si>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</si>
  <si>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</si>
  <si>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</si>
  <si>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</si>
  <si>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</si>
  <si>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</si>
  <si>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</si>
  <si>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</si>
  <si>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</si>
  <si>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</si>
  <si>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</si>
  <si>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</si>
  <si>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</si>
  <si>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</si>
  <si>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</si>
  <si>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</si>
  <si>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</si>
  <si>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</si>
  <si>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</si>
  <si>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</si>
  <si>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</si>
  <si>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</si>
  <si>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</si>
  <si>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</si>
  <si>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</si>
  <si>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</si>
  <si>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</si>
  <si>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</si>
  <si>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</si>
  <si>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</si>
  <si>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</si>
  <si>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</si>
  <si>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</si>
  <si>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</si>
  <si>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</si>
  <si>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</si>
  <si>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</si>
  <si>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</si>
  <si>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</si>
  <si>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</si>
  <si>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</si>
  <si>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</si>
  <si>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</si>
  <si>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</si>
  <si>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</si>
  <si>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</si>
  <si>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</si>
  <si>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</si>
  <si>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</si>
  <si>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</si>
  <si>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</si>
  <si>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</si>
  <si>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</si>
  <si>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</si>
  <si>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</si>
  <si>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</si>
  <si>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</si>
  <si>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</si>
  <si>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</si>
  <si>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</si>
  <si>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</si>
  <si>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</si>
  <si>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</si>
  <si>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</si>
  <si>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</si>
  <si>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</si>
  <si>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</si>
  <si>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</si>
  <si>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</si>
  <si>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</si>
  <si>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</si>
  <si>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</si>
  <si>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</si>
  <si>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</si>
  <si>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</si>
  <si>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</si>
  <si>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</si>
  <si>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</si>
  <si>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</si>
  <si>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</si>
  <si>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</si>
  <si>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</si>
  <si>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</si>
  <si>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</si>
  <si>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</si>
  <si>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</si>
  <si>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</si>
  <si>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</si>
  <si>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</si>
  <si>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</si>
  <si>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</si>
  <si>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</si>
  <si>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</si>
  <si>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</si>
  <si>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</si>
  <si>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</si>
  <si>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</si>
  <si>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</si>
  <si>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</si>
  <si>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</si>
  <si>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</si>
  <si>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</si>
  <si>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</si>
  <si>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</si>
  <si>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</si>
  <si>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</si>
  <si>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</si>
  <si>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</si>
  <si>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</si>
  <si>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</si>
  <si>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HINDUSTAN UNILEVER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</si>
  <si>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</si>
  <si>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</si>
  <si>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</si>
  <si>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</si>
  <si>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</si>
  <si>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</si>
  <si>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</si>
  <si>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</si>
  <si>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</si>
  <si>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</si>
  <si>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</si>
  <si>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</si>
  <si>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</si>
  <si>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</si>
  <si>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</si>
  <si>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</si>
  <si>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</si>
  <si>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</si>
  <si>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</si>
  <si>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</si>
  <si>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</si>
  <si>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</si>
  <si>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</si>
  <si>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</si>
  <si>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</si>
  <si>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</si>
  <si>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</si>
  <si>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</si>
  <si>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</si>
  <si>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</si>
  <si>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</si>
  <si>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</si>
  <si>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</si>
  <si>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</si>
  <si>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</si>
  <si>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</si>
  <si>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</si>
  <si>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</si>
  <si>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</si>
  <si>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</si>
  <si>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</si>
  <si>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</si>
  <si>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</si>
  <si>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</si>
  <si>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</si>
  <si>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</si>
  <si>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</si>
  <si>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</si>
  <si>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</si>
  <si>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</si>
  <si>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</si>
  <si>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</si>
  <si>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</si>
  <si>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</si>
  <si>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</si>
  <si>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</si>
  <si>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</si>
  <si>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</si>
  <si>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</si>
  <si>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</si>
  <si>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</si>
  <si>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</si>
  <si>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</si>
  <si>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</si>
  <si>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</si>
  <si>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</si>
  <si>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</si>
  <si>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</si>
  <si>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</si>
  <si>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</si>
  <si>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</si>
  <si>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</si>
  <si>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</si>
  <si>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</si>
  <si>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</si>
  <si>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</si>
  <si>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</si>
  <si>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</si>
  <si>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</si>
  <si>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</si>
  <si>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</si>
  <si>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</si>
  <si>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</si>
  <si>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</si>
  <si>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</si>
  <si>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</si>
  <si>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</si>
  <si>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</si>
  <si>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</si>
  <si>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</si>
  <si>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</si>
  <si>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</si>
  <si>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</si>
  <si>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</si>
  <si>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</si>
  <si>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</si>
  <si>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</si>
  <si>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</si>
  <si>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</si>
  <si>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</si>
  <si>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</si>
  <si>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</si>
  <si>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</si>
  <si>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</si>
  <si>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</si>
  <si>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</si>
  <si>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</si>
  <si>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</si>
  <si>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</si>
  <si>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</si>
  <si>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</si>
  <si>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</si>
  <si>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</si>
  <si>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</si>
  <si>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</si>
  <si>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</si>
  <si>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</si>
  <si>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</si>
  <si>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</si>
  <si>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</si>
  <si>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</si>
  <si>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</si>
  <si>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</si>
  <si>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</si>
  <si>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</si>
  <si>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</si>
  <si>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</si>
  <si>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</si>
  <si>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</si>
  <si>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</si>
  <si>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</si>
  <si>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</si>
  <si>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</si>
  <si>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</si>
  <si>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</si>
  <si>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</si>
  <si>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</si>
  <si>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</si>
  <si>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</si>
  <si>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</si>
  <si>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</si>
  <si>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</si>
  <si>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</si>
  <si>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</si>
  <si>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</si>
  <si>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</si>
  <si>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</si>
  <si>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</si>
  <si>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</si>
  <si>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</si>
  <si>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</si>
  <si>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</si>
  <si>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</si>
  <si>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</si>
  <si>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</si>
  <si>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</si>
  <si>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</si>
  <si>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</si>
  <si>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</si>
  <si>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</si>
  <si>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</si>
  <si>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</si>
  <si>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</si>
  <si>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</si>
  <si>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</si>
  <si>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</si>
  <si>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</si>
  <si>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</si>
  <si>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</si>
  <si>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</si>
  <si>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</si>
  <si>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</si>
  <si>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</si>
  <si>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</si>
  <si>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</si>
  <si>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</si>
  <si>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</si>
  <si>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</si>
  <si>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</si>
  <si>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</si>
  <si>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</si>
  <si>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</si>
  <si>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</si>
  <si>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</si>
  <si>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</si>
  <si>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</si>
  <si>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</si>
  <si>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</si>
  <si>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</si>
  <si>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</si>
  <si>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</si>
  <si>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</si>
  <si>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</si>
  <si>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</si>
  <si>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</si>
  <si>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</si>
  <si>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</si>
  <si>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</si>
  <si>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</si>
  <si>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</si>
  <si>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</si>
  <si>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</si>
  <si>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</si>
  <si>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</si>
  <si>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</si>
  <si>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</si>
  <si>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</si>
  <si>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</si>
  <si>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</si>
  <si>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</si>
  <si>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</si>
  <si>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</si>
  <si>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</si>
  <si>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</si>
  <si>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</si>
  <si>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</si>
  <si>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</si>
  <si>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</si>
  <si>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</si>
  <si>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</si>
  <si>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</si>
  <si>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</si>
  <si>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</si>
  <si>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</si>
  <si>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</si>
  <si>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</si>
  <si>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</si>
  <si>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</si>
  <si>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</si>
  <si>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</si>
  <si>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</si>
  <si>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</si>
  <si>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</si>
  <si>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</si>
  <si>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</si>
  <si>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</si>
  <si>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</si>
  <si>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</si>
  <si>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</si>
  <si>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</si>
  <si>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</si>
  <si>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</si>
  <si>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</si>
  <si>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</si>
  <si>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</si>
  <si>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</si>
  <si>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</si>
  <si>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</si>
  <si>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</si>
  <si>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</si>
  <si>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</si>
  <si>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</si>
  <si>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</si>
  <si>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</si>
  <si>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</si>
  <si>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</si>
  <si>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</si>
  <si>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</si>
  <si>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</si>
  <si>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</si>
  <si>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</si>
  <si>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</si>
  <si>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</si>
  <si>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</si>
  <si>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</si>
  <si>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</si>
  <si>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</si>
  <si>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</si>
  <si>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</si>
  <si>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</si>
  <si>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</si>
  <si>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</si>
  <si>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</si>
  <si>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</si>
  <si>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</si>
  <si>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</si>
  <si>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</si>
  <si>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</si>
  <si>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</si>
  <si>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</si>
  <si>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</si>
  <si>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</si>
  <si>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</si>
  <si>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</si>
  <si>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</si>
  <si>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</si>
  <si>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</si>
  <si>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</si>
  <si>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</si>
  <si>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</si>
  <si>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</si>
  <si>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</si>
  <si>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</si>
  <si>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</si>
  <si>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</si>
  <si>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</si>
  <si>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</si>
  <si>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</si>
  <si>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</si>
  <si>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</si>
  <si>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</si>
  <si>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</si>
  <si>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</si>
  <si>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</si>
  <si>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</si>
  <si>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</si>
  <si>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</si>
  <si>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</si>
  <si>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</si>
  <si>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</si>
  <si>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</si>
  <si>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</si>
  <si>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</si>
  <si>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</si>
  <si>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</si>
  <si>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</si>
  <si>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</si>
  <si>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</si>
  <si>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</si>
  <si>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</si>
  <si>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</si>
  <si>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</si>
  <si>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</si>
  <si>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</si>
  <si>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</si>
  <si>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</si>
  <si>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</si>
  <si>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</si>
  <si>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</si>
  <si>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</si>
  <si>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</si>
  <si>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</si>
  <si>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</si>
  <si>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</si>
  <si>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</si>
  <si>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</si>
  <si>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</si>
  <si>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</si>
  <si>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</si>
  <si>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</si>
  <si>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</si>
  <si>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</si>
  <si>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</si>
  <si>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</si>
  <si>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</si>
  <si>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</si>
  <si>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</si>
  <si>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</si>
  <si>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</si>
  <si>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</si>
  <si>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</si>
  <si>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</si>
  <si>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</si>
  <si>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</si>
  <si>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</si>
  <si>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</si>
  <si>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</si>
  <si>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</si>
  <si>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</si>
  <si>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</si>
  <si>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</si>
  <si>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</si>
  <si>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</si>
  <si>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</si>
  <si>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</si>
  <si>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</si>
  <si>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</si>
  <si>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</si>
  <si>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</si>
  <si>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</si>
  <si>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</si>
  <si>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</si>
  <si>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</si>
  <si>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</si>
  <si>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</si>
  <si>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</si>
  <si>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</si>
  <si>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</si>
  <si>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</si>
  <si>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</si>
  <si>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</si>
  <si>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</si>
  <si>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</si>
  <si>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</si>
  <si>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</si>
  <si>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</si>
  <si>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</si>
  <si>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</si>
  <si>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</si>
  <si>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</si>
  <si>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</si>
  <si>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</si>
  <si>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</si>
  <si>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</si>
  <si>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</si>
  <si>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</si>
  <si>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</si>
  <si>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</si>
  <si>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</si>
  <si>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</si>
  <si>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</si>
  <si>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</si>
  <si>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</si>
  <si>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</si>
  <si>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</si>
  <si>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</si>
  <si>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</si>
  <si>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</si>
  <si>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</si>
  <si>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</si>
  <si>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</si>
  <si>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</si>
  <si>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</si>
  <si>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</si>
  <si>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</si>
  <si>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</si>
  <si>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</si>
  <si>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</si>
  <si>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</si>
  <si>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</si>
  <si>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</si>
  <si>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</si>
  <si>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</si>
  <si>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</si>
  <si>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</si>
  <si>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</si>
  <si>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</si>
  <si>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</si>
  <si>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</si>
  <si>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</si>
  <si>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</si>
  <si>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</si>
  <si>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</si>
  <si>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</si>
  <si>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</si>
  <si>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</si>
  <si>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</si>
  <si>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</si>
  <si>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</si>
  <si>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</si>
  <si>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</si>
  <si>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</si>
  <si>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</si>
  <si>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</si>
  <si>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</si>
  <si>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</si>
  <si>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</si>
  <si>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</si>
  <si>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</si>
  <si>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</si>
  <si>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</si>
  <si>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</si>
  <si>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</si>
  <si>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</si>
  <si>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</si>
  <si>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</si>
  <si>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</si>
  <si>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</si>
  <si>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</si>
  <si>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</si>
  <si>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</si>
  <si>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</si>
  <si>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</si>
  <si>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</si>
  <si>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</si>
  <si>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</si>
  <si>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</si>
  <si>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</si>
  <si>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</si>
  <si>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</si>
  <si>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</si>
  <si>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</si>
  <si>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</si>
  <si>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</si>
  <si>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</si>
  <si>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</si>
  <si>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</si>
  <si>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</si>
  <si>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</si>
  <si>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</si>
  <si>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</si>
  <si>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</si>
  <si>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</si>
  <si>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</si>
  <si>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</si>
  <si>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</si>
  <si>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</si>
  <si>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</si>
  <si>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</si>
  <si>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</si>
  <si>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</si>
  <si>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</si>
  <si>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</si>
  <si>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</si>
  <si>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</si>
  <si>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</si>
  <si>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</si>
  <si>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</si>
  <si>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</si>
  <si>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</si>
  <si>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</si>
  <si>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</si>
  <si>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</si>
  <si>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</si>
  <si>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</si>
  <si>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</si>
  <si>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</si>
  <si>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</si>
  <si>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</si>
  <si>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</si>
  <si>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</si>
  <si>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</si>
  <si>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</si>
  <si>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</si>
  <si>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</si>
  <si>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</si>
  <si>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</si>
  <si>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</si>
  <si>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</si>
  <si>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</si>
  <si>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</si>
  <si>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</si>
  <si>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</si>
  <si>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</si>
  <si>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</si>
  <si>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</si>
  <si>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</si>
  <si>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</si>
  <si>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</si>
  <si>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</si>
  <si>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</si>
  <si>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</si>
  <si>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</si>
  <si>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</si>
  <si>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</si>
  <si>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</si>
  <si>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</si>
  <si>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</si>
  <si>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</si>
  <si>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</si>
  <si>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</si>
  <si>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</si>
  <si>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</si>
  <si>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</si>
  <si>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</si>
  <si>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</si>
  <si>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</si>
  <si>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</si>
  <si>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</si>
  <si>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</si>
  <si>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</si>
  <si>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</si>
  <si>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</si>
  <si>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</si>
  <si>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</si>
  <si>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</si>
  <si>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</si>
  <si>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</si>
  <si>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</si>
  <si>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</si>
  <si>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</si>
  <si>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</si>
  <si>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</si>
  <si>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</si>
  <si>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</si>
  <si>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</si>
  <si>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</si>
  <si>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</si>
  <si>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</si>
  <si>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</si>
  <si>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</si>
  <si>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</si>
  <si>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</si>
  <si>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</si>
  <si>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</si>
  <si>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</si>
  <si>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</si>
  <si>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</si>
  <si>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</si>
  <si>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</si>
  <si>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</si>
  <si>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</si>
  <si>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</si>
  <si>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</si>
  <si>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</si>
  <si>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</si>
  <si>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</si>
  <si>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</si>
  <si>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</si>
  <si>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</si>
  <si>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</si>
  <si>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</si>
  <si>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</si>
  <si>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</si>
  <si>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</si>
  <si>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</si>
  <si>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</si>
  <si>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</si>
  <si>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</si>
  <si>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</si>
  <si>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</si>
  <si>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</si>
  <si>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</si>
  <si>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</si>
  <si>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</si>
  <si>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</si>
  <si>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</si>
  <si>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</si>
  <si>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</si>
  <si>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</si>
  <si>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</si>
  <si>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</si>
  <si>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</si>
  <si>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</si>
  <si>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</si>
  <si>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</si>
  <si>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</si>
  <si>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</si>
  <si>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</si>
  <si>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</si>
  <si>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</si>
  <si>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</si>
  <si>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</si>
  <si>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</si>
  <si>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</si>
  <si>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</si>
  <si>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</si>
  <si>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</si>
  <si>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</si>
  <si>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</si>
  <si>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</si>
  <si>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</si>
  <si>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</si>
  <si>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</si>
  <si>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</si>
  <si>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</si>
  <si>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</si>
  <si>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</si>
  <si>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</si>
  <si>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</si>
  <si>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</si>
  <si>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</si>
  <si>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</si>
  <si>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</si>
  <si>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</si>
  <si>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</si>
  <si>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</si>
  <si>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</si>
  <si>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</si>
  <si>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</si>
  <si>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</si>
  <si>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</si>
  <si>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</si>
  <si>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</si>
  <si>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</si>
  <si>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</si>
  <si>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</si>
  <si>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</si>
  <si>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</si>
  <si>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</si>
  <si>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</si>
  <si>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</si>
  <si>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</si>
  <si>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</si>
  <si>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</si>
  <si>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</si>
  <si>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</si>
  <si>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</si>
  <si>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</si>
  <si>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</si>
  <si>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</si>
  <si>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</si>
  <si>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</si>
  <si>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</si>
  <si>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</si>
  <si>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</si>
  <si>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</si>
  <si>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</si>
  <si>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</si>
  <si>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</si>
  <si>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</si>
  <si>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</si>
  <si>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</si>
  <si>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</si>
  <si>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</si>
  <si>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</si>
  <si>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</si>
  <si>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</si>
  <si>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</si>
  <si>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</si>
  <si>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</si>
  <si>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</si>
  <si>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</si>
  <si>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</si>
  <si>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</si>
  <si>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</si>
  <si>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</si>
  <si>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</si>
  <si>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</si>
  <si>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</si>
  <si>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</si>
  <si>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</si>
  <si>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</si>
  <si>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</si>
  <si>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</si>
  <si>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</si>
  <si>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</si>
  <si>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</si>
  <si>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</si>
  <si>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</si>
  <si>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</si>
  <si>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</si>
  <si>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</si>
  <si>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</si>
  <si>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</si>
  <si>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</si>
  <si>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</si>
  <si>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</si>
  <si>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</si>
  <si>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</si>
  <si>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</si>
  <si>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</si>
  <si>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</si>
  <si>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</si>
  <si>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</si>
  <si>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</si>
  <si>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</si>
  <si>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</si>
  <si>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</si>
  <si>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</si>
  <si>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</si>
  <si>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</si>
  <si>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</si>
  <si>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</si>
  <si>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</si>
  <si>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</si>
  <si>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</si>
  <si>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</si>
  <si>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</si>
  <si>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</si>
  <si>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</si>
  <si>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</si>
  <si>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</si>
  <si>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</si>
  <si>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</si>
  <si>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</si>
  <si>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</si>
  <si>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</si>
  <si>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</si>
  <si>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</si>
  <si>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</si>
  <si>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</si>
  <si>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</si>
  <si>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</si>
  <si>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</si>
  <si>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</si>
  <si>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</si>
  <si>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</si>
  <si>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</si>
  <si>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</si>
  <si>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</si>
  <si>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</si>
  <si>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</si>
  <si>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</si>
  <si>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</si>
  <si>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</si>
  <si>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</si>
  <si>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</si>
  <si>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</si>
  <si>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</si>
  <si>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</si>
  <si>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</si>
  <si>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</si>
  <si>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</si>
  <si>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</si>
  <si>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</si>
  <si>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</si>
  <si>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</si>
  <si>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</si>
  <si>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</si>
  <si>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</si>
  <si>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</si>
  <si>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</si>
  <si>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</si>
  <si>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</si>
  <si>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</si>
  <si>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</si>
  <si>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</si>
  <si>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</si>
  <si>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</si>
  <si>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</si>
  <si>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</si>
  <si>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</si>
  <si>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</si>
  <si>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</si>
  <si>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</si>
  <si>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</si>
  <si>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</si>
  <si>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</si>
  <si>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</si>
  <si>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</si>
  <si>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</si>
  <si>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</si>
  <si>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</si>
  <si>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</si>
  <si>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</si>
  <si>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</si>
  <si>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</si>
  <si>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</si>
  <si>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</si>
  <si>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</si>
  <si>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</si>
  <si>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</si>
  <si>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</si>
  <si>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</si>
  <si>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</si>
  <si>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</si>
  <si>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</si>
  <si>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</si>
  <si>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</si>
  <si>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</si>
  <si>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</si>
  <si>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</si>
  <si>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</si>
  <si>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</si>
  <si>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</si>
  <si>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</si>
  <si>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</si>
  <si>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</si>
  <si>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</si>
  <si>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</si>
  <si>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</si>
  <si>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</si>
  <si>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</si>
  <si>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</si>
  <si>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</si>
  <si>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</si>
  <si>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</si>
  <si>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</si>
  <si>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</si>
  <si>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</si>
  <si>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</si>
  <si>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</si>
  <si>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</si>
  <si>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</si>
  <si>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</si>
  <si>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</si>
  <si>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</si>
  <si>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</si>
  <si>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</si>
  <si>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</si>
  <si>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</si>
  <si>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</si>
  <si>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</si>
  <si>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</si>
  <si>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</si>
  <si>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</si>
  <si>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</si>
  <si>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</si>
  <si>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</si>
  <si>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</si>
  <si>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</si>
  <si>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</si>
  <si>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</si>
  <si>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</si>
  <si>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</si>
  <si>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</si>
  <si>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</si>
  <si>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</si>
  <si>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</si>
  <si>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</si>
  <si>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</si>
  <si>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</si>
  <si>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</si>
  <si>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</si>
  <si>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</si>
  <si>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</si>
  <si>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</si>
  <si>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</si>
  <si>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</si>
  <si>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</si>
  <si>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</si>
  <si>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</si>
  <si>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</si>
  <si>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</si>
  <si>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</si>
  <si>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</si>
  <si>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</si>
  <si>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</si>
  <si>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</si>
  <si>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</si>
  <si>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</si>
  <si>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</si>
  <si>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</si>
  <si>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</si>
  <si>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</si>
  <si>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</si>
  <si>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</si>
  <si>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</si>
  <si>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</si>
  <si>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</si>
  <si>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</si>
  <si>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</si>
  <si>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</si>
  <si>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</si>
  <si>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</si>
  <si>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</si>
  <si>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</si>
  <si>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</si>
  <si>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</si>
  <si>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</si>
  <si>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</si>
  <si>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</si>
  <si>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</si>
  <si>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</si>
  <si>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</si>
  <si>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</si>
  <si>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</si>
  <si>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</si>
  <si>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</si>
  <si>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</si>
  <si>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</si>
  <si>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</si>
  <si>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</si>
  <si>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</si>
  <si>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</si>
  <si>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</si>
  <si>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</si>
  <si>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</si>
  <si>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</si>
  <si>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</si>
  <si>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</si>
  <si>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</si>
  <si>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</si>
  <si>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</si>
  <si>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</si>
  <si>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</si>
  <si>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</si>
  <si>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</si>
  <si>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</si>
  <si>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</si>
  <si>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</si>
  <si>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</si>
  <si>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</si>
  <si>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</si>
  <si>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</si>
  <si>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</si>
  <si>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</si>
  <si>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</si>
  <si>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</si>
  <si>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</si>
  <si>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</si>
  <si>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</si>
  <si>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</si>
  <si>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</si>
  <si>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</si>
  <si>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</si>
  <si>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</si>
  <si>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</si>
  <si>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</si>
  <si>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</si>
  <si>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</si>
  <si>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</si>
  <si>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</si>
  <si>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</si>
  <si>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</si>
  <si>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</si>
  <si>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</si>
  <si>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</si>
  <si>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</si>
  <si>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</si>
  <si>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</si>
  <si>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</si>
  <si>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</si>
  <si>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</si>
  <si>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</si>
  <si>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</si>
  <si>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</si>
  <si>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</si>
  <si>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</si>
  <si>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</si>
  <si>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</si>
  <si>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</si>
  <si>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</si>
  <si>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</si>
  <si>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</si>
  <si>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</si>
  <si>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</si>
  <si>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</si>
  <si>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</si>
  <si>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</si>
  <si>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</si>
  <si>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</si>
  <si>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</si>
  <si>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</si>
  <si>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</si>
  <si>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</si>
  <si>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</si>
  <si>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</si>
  <si>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</si>
  <si>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</si>
  <si>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</si>
  <si>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</si>
  <si>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</si>
  <si>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</si>
  <si>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</si>
  <si>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</si>
  <si>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</si>
  <si>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</si>
  <si>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</si>
  <si>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</si>
  <si>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</si>
  <si>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</si>
  <si>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</si>
  <si>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</si>
  <si>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</si>
  <si>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</si>
  <si>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</si>
  <si>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</si>
  <si>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</si>
  <si>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</si>
  <si>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</si>
  <si>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</si>
  <si>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</si>
  <si>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</si>
  <si>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</si>
  <si>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</si>
  <si>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</si>
  <si>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</si>
  <si>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</si>
  <si>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</si>
  <si>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</si>
  <si>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</si>
  <si>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</si>
  <si>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</si>
  <si>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</si>
  <si>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</si>
  <si>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</si>
  <si>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</si>
  <si>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</si>
  <si>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</si>
  <si>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</si>
  <si>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</si>
  <si>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</si>
  <si>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</si>
  <si>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</si>
  <si>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</si>
  <si>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</si>
  <si>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</si>
  <si>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</si>
  <si>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</si>
  <si>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</si>
  <si>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</si>
  <si>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</si>
  <si>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</si>
  <si>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</si>
  <si>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</si>
  <si>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</si>
  <si>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</si>
  <si>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</si>
  <si>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</si>
  <si>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</si>
  <si>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</si>
  <si>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</si>
  <si>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</si>
  <si>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</si>
  <si>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</si>
  <si>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</si>
  <si>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</si>
  <si>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</si>
  <si>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</si>
  <si>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</si>
  <si>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</si>
  <si>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</si>
  <si>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</si>
  <si>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</si>
  <si>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</si>
  <si>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</si>
  <si>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</si>
  <si>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</si>
  <si>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</si>
  <si>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</si>
  <si>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</si>
  <si>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</si>
  <si>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</si>
  <si>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</si>
  <si>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</si>
  <si>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</si>
  <si>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</si>
  <si>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</si>
  <si>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</si>
  <si>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</si>
  <si>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</si>
  <si>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</si>
  <si>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</si>
  <si>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</si>
  <si>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</si>
  <si>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</si>
  <si>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</si>
  <si>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</si>
  <si>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</si>
  <si>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</si>
  <si>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</si>
  <si>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</si>
  <si>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</si>
  <si>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</si>
  <si>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</si>
  <si>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</si>
  <si>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</si>
  <si>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</si>
  <si>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</si>
  <si>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</si>
  <si>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</si>
  <si>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</si>
  <si>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</si>
  <si>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</si>
  <si>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</si>
  <si>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</si>
  <si>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</si>
  <si>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</si>
  <si>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</si>
  <si>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</si>
  <si>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</si>
  <si>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</si>
  <si>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</si>
  <si>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</si>
  <si>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</si>
  <si>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</si>
  <si>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</si>
  <si>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</si>
  <si>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</si>
  <si>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</si>
  <si>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</si>
  <si>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</si>
  <si>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</si>
  <si>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</si>
  <si>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</si>
  <si>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</si>
  <si>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</si>
  <si>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</si>
  <si>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</si>
  <si>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</si>
  <si>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</si>
  <si>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</si>
  <si>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</si>
  <si>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</si>
  <si>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</si>
  <si>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</si>
  <si>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</si>
  <si>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</si>
  <si>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</si>
  <si>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</si>
  <si>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</si>
  <si>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</si>
  <si>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</si>
  <si>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</si>
  <si>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</si>
  <si>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</si>
  <si>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</si>
  <si>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</si>
  <si>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</si>
  <si>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</si>
  <si>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</si>
  <si>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</si>
  <si>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</si>
  <si>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</si>
  <si>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</si>
  <si>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</si>
  <si>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</si>
  <si>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</si>
  <si>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</si>
  <si>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</si>
  <si>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</si>
  <si>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</si>
  <si>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</si>
  <si>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</si>
  <si>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</si>
  <si>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</si>
  <si>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</si>
  <si>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</si>
  <si>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</si>
  <si>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</si>
  <si>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</si>
  <si>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</si>
  <si>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</si>
  <si>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</si>
  <si>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</si>
  <si>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</si>
  <si>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</si>
  <si>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</si>
  <si>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</si>
  <si>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</si>
  <si>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</si>
  <si>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</si>
  <si>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</si>
  <si>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</si>
  <si>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</si>
  <si>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</si>
  <si>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</si>
  <si>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</si>
  <si>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</si>
  <si>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</si>
  <si>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</si>
  <si>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</si>
  <si>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</si>
  <si>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</si>
  <si>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</si>
  <si>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</si>
  <si>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</si>
  <si>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</si>
  <si>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</si>
  <si>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</si>
  <si>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</si>
  <si>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</si>
  <si>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</si>
  <si>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</si>
  <si>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</si>
  <si>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</si>
  <si>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</si>
  <si>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</si>
  <si>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</si>
  <si>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</si>
  <si>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</si>
  <si>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</si>
  <si>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</si>
  <si>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</si>
  <si>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</si>
  <si>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</si>
  <si>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</si>
  <si>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</si>
  <si>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</si>
  <si>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</si>
  <si>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</si>
  <si>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</si>
  <si>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</si>
  <si>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</si>
  <si>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</si>
  <si>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</si>
  <si>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</si>
  <si>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</si>
  <si>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</si>
  <si>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</si>
  <si>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</si>
  <si>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</si>
  <si>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</si>
  <si>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</si>
  <si>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</si>
  <si>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</si>
  <si>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</si>
  <si>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</si>
  <si>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</si>
  <si>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</si>
  <si>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</si>
  <si>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</si>
  <si>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</si>
  <si>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</si>
  <si>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</si>
  <si>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</si>
  <si>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</si>
  <si>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</si>
  <si>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</si>
  <si>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</si>
  <si>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</si>
  <si>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</si>
  <si>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</si>
  <si>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</si>
  <si>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</si>
  <si>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</si>
  <si>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</si>
  <si>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</si>
  <si>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</si>
  <si>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</si>
  <si>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</si>
  <si>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</si>
  <si>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</si>
  <si>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</si>
  <si>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</si>
  <si>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</si>
  <si>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</si>
  <si>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</si>
  <si>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</si>
  <si>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</si>
  <si>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</si>
  <si>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</si>
  <si>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</si>
  <si>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</si>
  <si>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</si>
  <si>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</si>
  <si>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</si>
  <si>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</si>
  <si>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</si>
  <si>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</si>
  <si>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</si>
  <si>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</si>
  <si>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</si>
  <si>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</si>
  <si>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</si>
  <si>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</si>
  <si>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</si>
  <si>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</si>
  <si>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</si>
  <si>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</si>
  <si>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</si>
  <si>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</si>
  <si>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</si>
  <si>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</si>
  <si>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</si>
  <si>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</si>
  <si>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</si>
  <si>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</si>
  <si>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</si>
  <si>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</si>
  <si>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</si>
  <si>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</si>
  <si>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</si>
  <si>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</si>
  <si>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</si>
  <si>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</si>
  <si>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</si>
  <si>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</si>
  <si>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</si>
  <si>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</si>
  <si>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</si>
  <si>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</si>
  <si>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</si>
  <si>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</si>
  <si>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</si>
  <si>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</si>
  <si>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</si>
  <si>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</si>
  <si>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</si>
  <si>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</si>
  <si>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</si>
  <si>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</si>
  <si>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</si>
  <si>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</si>
  <si>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</si>
  <si>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</si>
  <si>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</si>
  <si>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</si>
  <si>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</si>
  <si>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</si>
  <si>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</si>
  <si>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</si>
  <si>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</si>
  <si>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</si>
  <si>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</si>
  <si>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</si>
  <si>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</si>
  <si>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</si>
  <si>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</si>
  <si>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</si>
  <si>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</si>
  <si>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</si>
  <si>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</si>
  <si>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</si>
  <si>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</si>
  <si>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</si>
  <si>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</si>
  <si>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</si>
  <si>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</si>
  <si>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</si>
  <si>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</si>
  <si>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</si>
  <si>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</si>
  <si>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</si>
  <si>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</si>
  <si>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</si>
  <si>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</si>
  <si>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</si>
  <si>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</si>
  <si>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</si>
  <si>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</si>
  <si>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</si>
  <si>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</si>
  <si>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</si>
  <si>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</si>
  <si>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</si>
  <si>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</si>
  <si>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</si>
  <si>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</si>
  <si>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</si>
  <si>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</si>
  <si>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</si>
  <si>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</si>
  <si>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</si>
  <si>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</si>
  <si>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</si>
  <si>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</si>
  <si>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</si>
  <si>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</si>
  <si>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</si>
  <si>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</si>
  <si>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</si>
  <si>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</si>
  <si>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</si>
  <si>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</si>
  <si>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</si>
  <si>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</si>
  <si>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</si>
  <si>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</si>
  <si>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</si>
  <si>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</si>
  <si>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</si>
  <si>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</si>
  <si>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</si>
  <si>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</si>
  <si>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</si>
  <si>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</si>
  <si>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</si>
  <si>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</si>
  <si>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</si>
  <si>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</si>
  <si>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</si>
  <si>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</si>
  <si>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</si>
  <si>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</si>
  <si>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</si>
  <si>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</si>
  <si>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</si>
  <si>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</si>
  <si>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</si>
  <si>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</si>
  <si>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</si>
  <si>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</si>
  <si>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</si>
  <si>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</si>
  <si>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</si>
  <si>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</si>
  <si>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</si>
  <si>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</si>
  <si>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</si>
  <si>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</si>
  <si>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</si>
  <si>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</si>
  <si>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</si>
  <si>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</si>
  <si>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</si>
  <si>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</si>
  <si>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</si>
  <si>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</si>
  <si>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</si>
  <si>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</si>
  <si>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</si>
  <si>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</si>
  <si>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</si>
  <si>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</si>
  <si>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</si>
  <si>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</si>
  <si>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</si>
  <si>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</si>
  <si>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</si>
  <si>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</si>
  <si>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</si>
  <si>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</si>
  <si>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</si>
  <si>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</si>
  <si>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</si>
  <si>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</si>
  <si>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</si>
  <si>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</si>
  <si>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</si>
  <si>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</si>
  <si>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</si>
  <si>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</si>
  <si>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</si>
  <si>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</si>
  <si>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</si>
  <si>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</si>
  <si>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</si>
  <si>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</si>
  <si>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</si>
  <si>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</si>
  <si>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</si>
  <si>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</si>
  <si>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</si>
  <si>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</si>
  <si>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</si>
  <si>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</si>
  <si>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</si>
  <si>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</si>
  <si>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</si>
  <si>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</si>
  <si>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</si>
  <si>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</si>
  <si>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</si>
  <si>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</si>
  <si>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</si>
  <si>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</si>
  <si>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</si>
  <si>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</si>
  <si>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</si>
  <si>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</si>
  <si>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</si>
  <si>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</si>
  <si>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</si>
  <si>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</si>
  <si>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</si>
  <si>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</si>
  <si>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</si>
  <si>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</si>
  <si>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</si>
  <si>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</si>
  <si>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</si>
  <si>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</si>
  <si>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</si>
  <si>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</si>
  <si>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</si>
  <si>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</si>
  <si>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</si>
  <si>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</si>
  <si>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</si>
  <si>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</si>
  <si>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</si>
  <si>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</si>
  <si>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</si>
  <si>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</si>
  <si>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</si>
  <si>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</si>
  <si>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</si>
  <si>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</si>
  <si>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</si>
  <si>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</si>
  <si>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</si>
  <si>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</si>
  <si>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</si>
  <si>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</si>
  <si>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</si>
  <si>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</si>
  <si>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</si>
  <si>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</si>
  <si>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</si>
  <si>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</si>
  <si>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</si>
  <si>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</si>
  <si>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</si>
  <si>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</si>
  <si>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</si>
  <si>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</si>
  <si>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</si>
  <si>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</si>
  <si>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</si>
  <si>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</si>
  <si>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</si>
  <si>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</si>
  <si>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</si>
  <si>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</si>
  <si>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</si>
  <si>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</si>
  <si>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</si>
  <si>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</si>
  <si>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</si>
  <si>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</si>
  <si>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</si>
  <si>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</si>
  <si>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</si>
  <si>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</si>
  <si>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</si>
  <si>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</si>
  <si>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</si>
  <si>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</si>
  <si>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</si>
  <si>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</si>
  <si>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</si>
  <si>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</si>
  <si>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</si>
  <si>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</si>
  <si>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</si>
  <si>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</si>
  <si>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</si>
  <si>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</si>
  <si>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</si>
  <si>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</si>
  <si>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</si>
  <si>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</si>
  <si>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</si>
  <si>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</si>
  <si>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</si>
  <si>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</si>
  <si>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</si>
  <si>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</si>
  <si>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</si>
  <si>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</si>
  <si>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</si>
  <si>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</si>
  <si>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</si>
  <si>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</si>
  <si>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</si>
  <si>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</si>
  <si>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</si>
  <si>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</si>
  <si>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</si>
  <si>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</si>
  <si>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</si>
  <si>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</si>
  <si>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</si>
  <si>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</si>
  <si>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</si>
  <si>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</si>
  <si>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</si>
  <si>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</si>
  <si>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</si>
  <si>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</si>
  <si>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</si>
  <si>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</si>
  <si>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</si>
  <si>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</si>
  <si>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</si>
  <si>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</si>
  <si>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</si>
  <si>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</si>
  <si>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</si>
  <si>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</si>
  <si>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</si>
  <si>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</si>
  <si>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</si>
  <si>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</si>
  <si>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</si>
  <si>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</si>
  <si>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</si>
  <si>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</si>
  <si>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</si>
  <si>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</si>
  <si>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</si>
  <si>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</si>
  <si>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</si>
  <si>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</si>
  <si>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</si>
  <si>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</si>
  <si>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</si>
  <si>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</si>
  <si>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</si>
  <si>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</si>
  <si>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</si>
  <si>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</si>
  <si>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</si>
  <si>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</si>
  <si>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</si>
  <si>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</si>
  <si>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</si>
  <si>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</si>
  <si>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</si>
  <si>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</si>
  <si>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</si>
  <si>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</si>
  <si>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</si>
  <si>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</si>
  <si>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</si>
  <si>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</si>
  <si>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</si>
  <si>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</si>
  <si>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</si>
  <si>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</si>
  <si>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</si>
  <si>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</si>
  <si>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</si>
  <si>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</si>
  <si>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</si>
  <si>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</si>
  <si>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</si>
  <si>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</si>
  <si>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</si>
  <si>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</si>
  <si>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</si>
  <si>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</si>
  <si>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</si>
  <si>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</si>
  <si>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</si>
  <si>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</si>
  <si>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</si>
  <si>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</si>
  <si>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</si>
  <si>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</si>
  <si>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</si>
  <si>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</si>
  <si>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</si>
  <si>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</si>
  <si>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</si>
  <si>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</si>
  <si>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</si>
  <si>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</si>
  <si>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</si>
  <si>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</si>
  <si>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</si>
  <si>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</si>
  <si>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</si>
  <si>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</si>
  <si>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</si>
  <si>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</si>
  <si>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</si>
  <si>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</si>
  <si>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</si>
  <si>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</si>
  <si>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</si>
  <si>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</si>
  <si>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</si>
  <si>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</si>
  <si>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</si>
  <si>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</si>
  <si>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</si>
  <si>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</si>
  <si>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</si>
  <si>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</si>
  <si>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</si>
  <si>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</si>
  <si>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</si>
  <si>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</si>
  <si>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</si>
  <si>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</si>
  <si>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</si>
  <si>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</si>
  <si>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</si>
  <si>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</si>
  <si>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</si>
  <si>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</si>
  <si>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</si>
  <si>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</si>
  <si>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</si>
  <si>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</si>
  <si>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</si>
  <si>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</si>
  <si>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</si>
  <si>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</si>
  <si>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</si>
  <si>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</si>
  <si>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</si>
  <si>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</si>
  <si>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</si>
  <si>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</si>
  <si>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</si>
  <si>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</si>
  <si>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</si>
  <si>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</si>
  <si>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</si>
  <si>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</si>
  <si>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</si>
  <si>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</si>
  <si>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</si>
  <si>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</si>
  <si>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</si>
  <si>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</si>
  <si>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</si>
  <si>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</si>
  <si>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</si>
  <si>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</si>
  <si>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</si>
  <si>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</si>
  <si>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</si>
  <si>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</si>
  <si>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</si>
  <si>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</si>
  <si>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</si>
  <si>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</si>
  <si>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</si>
  <si>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</si>
  <si>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</si>
  <si>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</si>
  <si>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</si>
  <si>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</si>
  <si>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</si>
  <si>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</si>
  <si>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</si>
  <si>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</si>
  <si>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</si>
  <si>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</si>
  <si>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</si>
  <si>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</si>
  <si>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</si>
  <si>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</si>
  <si>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</si>
  <si>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</si>
  <si>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</si>
  <si>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</si>
  <si>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</si>
  <si>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</si>
  <si>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</si>
  <si>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</si>
  <si>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</si>
  <si>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</si>
  <si>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</si>
  <si>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</si>
  <si>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</si>
  <si>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</si>
  <si>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</si>
  <si>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</si>
  <si>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</si>
  <si>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</si>
  <si>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</si>
  <si>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</si>
  <si>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</si>
  <si>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</si>
  <si>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</si>
  <si>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</si>
  <si>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</si>
  <si>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</si>
  <si>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</si>
  <si>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</si>
  <si>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</si>
  <si>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</si>
  <si>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</si>
  <si>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</si>
  <si>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</si>
  <si>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</si>
  <si>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</si>
  <si>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</si>
  <si>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</si>
  <si>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</si>
  <si>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</si>
  <si>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</si>
  <si>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</si>
  <si>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</si>
  <si>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</si>
  <si>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</si>
  <si>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</si>
  <si>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</si>
  <si>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</si>
  <si>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</si>
  <si>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</si>
  <si>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</si>
  <si>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</si>
  <si>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</si>
  <si>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</si>
  <si>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</si>
  <si>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</si>
  <si>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</si>
  <si>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</si>
  <si>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</si>
  <si>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</si>
  <si>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</si>
  <si>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</si>
  <si>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</si>
  <si>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</si>
  <si>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</si>
  <si>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</si>
  <si>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</si>
  <si>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</si>
  <si>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</si>
  <si>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</si>
  <si>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</si>
  <si>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</si>
  <si>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</si>
  <si>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</si>
  <si>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</si>
  <si>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</si>
  <si>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</si>
  <si>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</si>
  <si>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</si>
  <si>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</si>
  <si>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</si>
  <si>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</si>
  <si>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</si>
  <si>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</si>
  <si>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</si>
  <si>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</si>
  <si>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</si>
  <si>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</si>
  <si>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</si>
  <si>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</si>
  <si>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</si>
  <si>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</si>
  <si>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</si>
  <si>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</si>
  <si>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</si>
  <si>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</si>
  <si>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</si>
  <si>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</si>
  <si>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</si>
  <si>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</si>
  <si>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</si>
  <si>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</si>
  <si>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</si>
  <si>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</si>
  <si>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</si>
  <si>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</si>
  <si>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</si>
  <si>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</si>
  <si>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</si>
  <si>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</si>
  <si>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</si>
  <si>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</si>
  <si>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</si>
  <si>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</si>
  <si>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</si>
  <si>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</si>
  <si>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</si>
  <si>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</si>
  <si>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</si>
  <si>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</si>
  <si>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</si>
  <si>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</si>
  <si>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</si>
  <si>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</si>
  <si>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</si>
  <si>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</si>
  <si>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</si>
  <si>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</si>
  <si>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</si>
  <si>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</si>
  <si>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</si>
  <si>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</si>
  <si>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</si>
  <si>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</si>
  <si>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</si>
  <si>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</si>
  <si>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</si>
  <si>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</si>
  <si>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</si>
  <si>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</si>
  <si>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</si>
  <si>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</si>
  <si>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</si>
  <si>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</si>
  <si>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</si>
  <si>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</si>
  <si>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</si>
  <si>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</si>
  <si>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</si>
  <si>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</si>
  <si>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</si>
  <si>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</si>
  <si>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</si>
  <si>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</si>
  <si>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</si>
  <si>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</si>
  <si>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</si>
  <si>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</si>
  <si>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</si>
  <si>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</si>
  <si>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</si>
  <si>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</si>
  <si>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</si>
  <si>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</si>
  <si>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</si>
  <si>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</si>
  <si>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</si>
  <si>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</si>
  <si>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</si>
  <si>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</si>
  <si>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</si>
  <si>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</si>
  <si>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</si>
  <si>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</si>
  <si>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</si>
  <si>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</si>
  <si>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</si>
  <si>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</si>
  <si>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</si>
  <si>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</si>
  <si>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</si>
  <si>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</si>
  <si>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</si>
  <si>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</si>
  <si>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</si>
  <si>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</si>
  <si>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</si>
  <si>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</si>
  <si>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</si>
  <si>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</si>
  <si>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</si>
  <si>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</si>
  <si>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</si>
  <si>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</si>
  <si>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</si>
  <si>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</si>
  <si>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</si>
  <si>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</si>
  <si>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</si>
  <si>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</si>
  <si>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</si>
  <si>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</si>
  <si>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</si>
  <si>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</si>
  <si>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</si>
  <si>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</si>
  <si>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</si>
  <si>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</si>
  <si>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</si>
  <si>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</si>
  <si>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</si>
  <si>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</si>
  <si>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</si>
  <si>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</si>
  <si>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</si>
  <si>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</si>
  <si>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</si>
  <si>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</si>
  <si>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</si>
  <si>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</si>
  <si>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</si>
  <si>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</si>
  <si>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</si>
  <si>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</si>
  <si>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</si>
  <si>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</si>
  <si>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</si>
  <si>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</si>
  <si>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</si>
  <si>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</si>
  <si>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</si>
  <si>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</si>
  <si>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</si>
  <si>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</si>
  <si>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</si>
  <si>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</si>
  <si>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</si>
  <si>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</si>
  <si>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</si>
  <si>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</si>
  <si>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</si>
  <si>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</si>
  <si>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</si>
  <si>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</si>
  <si>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</si>
  <si>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</si>
  <si>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</si>
  <si>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</si>
  <si>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</si>
  <si>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</si>
  <si>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</si>
  <si>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</si>
  <si>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</si>
  <si>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</si>
  <si>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</si>
  <si>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</si>
  <si>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</si>
  <si>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</si>
  <si>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</si>
  <si>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</si>
  <si>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</si>
  <si>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</si>
  <si>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</si>
  <si>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</si>
  <si>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</si>
  <si>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</si>
  <si>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</si>
  <si>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</si>
  <si>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</si>
  <si>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</si>
  <si>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</si>
  <si>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</si>
  <si>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</si>
  <si>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</si>
  <si>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</si>
  <si>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</si>
  <si>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</si>
  <si>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</si>
  <si>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</si>
  <si>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</si>
  <si>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</si>
  <si>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</si>
  <si>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</si>
  <si>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</si>
  <si>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</si>
  <si>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</si>
  <si>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</si>
  <si>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</si>
  <si>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</si>
  <si>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</si>
  <si>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</si>
  <si>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</si>
  <si>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</si>
  <si>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</si>
  <si>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</si>
  <si>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</si>
  <si>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</si>
  <si>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</si>
  <si>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</si>
  <si>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</si>
  <si>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</si>
  <si>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</si>
  <si>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</si>
  <si>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</si>
  <si>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</si>
  <si>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</si>
  <si>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</si>
  <si>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</si>
  <si>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</si>
  <si>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</si>
  <si>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</si>
  <si>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</si>
  <si>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</si>
  <si>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</si>
  <si>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</si>
  <si>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</si>
  <si>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</si>
  <si>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</si>
  <si>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</si>
  <si>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</si>
  <si>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</si>
  <si>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</si>
  <si>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</si>
  <si>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</si>
  <si>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</si>
  <si>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</si>
  <si>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</si>
  <si>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</si>
  <si>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</si>
  <si>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</si>
  <si>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</si>
  <si>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</si>
  <si>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</si>
  <si>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</si>
  <si>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</si>
  <si>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</si>
  <si>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</si>
  <si>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</si>
  <si>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</si>
  <si>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</si>
  <si>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</si>
  <si>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</si>
  <si>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</si>
  <si>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</si>
  <si>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</si>
  <si>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</si>
  <si>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</si>
  <si>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</si>
  <si>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</si>
  <si>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</si>
  <si>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</si>
  <si>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</si>
  <si>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</si>
  <si>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</si>
  <si>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</si>
  <si>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</si>
  <si>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</si>
  <si>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</si>
  <si>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</si>
  <si>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</si>
  <si>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</si>
  <si>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</si>
  <si>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</si>
  <si>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</si>
  <si>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</si>
  <si>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</si>
  <si>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</si>
  <si>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</si>
  <si>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</si>
  <si>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</si>
  <si>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</si>
  <si>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</si>
  <si>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</si>
  <si>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</si>
  <si>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</si>
  <si>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</si>
  <si>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</si>
  <si>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</si>
  <si>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</si>
  <si>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</si>
  <si>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</si>
  <si>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</si>
  <si>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</si>
  <si>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</si>
  <si>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</si>
  <si>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</si>
  <si>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</si>
  <si>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</si>
  <si>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</si>
  <si>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</si>
  <si>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</si>
  <si>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</si>
  <si>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</si>
  <si>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</si>
  <si>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</si>
  <si>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</si>
  <si>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</si>
  <si>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</si>
  <si>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</si>
  <si>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</si>
  <si>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</si>
  <si>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</si>
  <si>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</si>
  <si>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</si>
  <si>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</si>
  <si>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</si>
  <si>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</si>
  <si>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</si>
  <si>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</si>
  <si>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</si>
  <si>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</si>
  <si>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</si>
  <si>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</si>
  <si>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</si>
  <si>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</si>
  <si>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</si>
  <si>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</si>
  <si>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</si>
  <si>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</si>
  <si>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</si>
  <si>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</si>
  <si>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</si>
  <si>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</si>
  <si>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</si>
  <si>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</si>
  <si>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</si>
  <si>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</si>
  <si>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</si>
  <si>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</si>
  <si>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</si>
  <si>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</si>
  <si>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</si>
  <si>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</si>
  <si>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</si>
  <si>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</si>
  <si>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</si>
  <si>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</si>
  <si>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</si>
  <si>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</si>
  <si>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</si>
  <si>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</si>
  <si>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</si>
  <si>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</si>
  <si>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</si>
  <si>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</si>
  <si>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</si>
  <si>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</si>
  <si>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</si>
  <si>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</si>
  <si>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</si>
  <si>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</si>
  <si>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</si>
  <si>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</si>
  <si>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</si>
  <si>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</si>
  <si>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</si>
  <si>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</si>
  <si>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</si>
  <si>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</si>
  <si>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</si>
  <si>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</si>
  <si>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</si>
  <si>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</si>
  <si>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</si>
  <si>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</si>
  <si>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</si>
  <si>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</si>
  <si>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</si>
  <si>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</si>
  <si>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</si>
  <si>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</si>
  <si>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</si>
  <si>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</si>
  <si>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</si>
  <si>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</si>
  <si>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</si>
  <si>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</si>
  <si>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</si>
  <si>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</si>
  <si>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</si>
  <si>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</si>
  <si>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</si>
  <si>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</si>
  <si>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</si>
  <si>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</si>
  <si>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</si>
  <si>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</si>
  <si>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</si>
  <si>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</si>
  <si>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</si>
  <si>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</si>
  <si>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</si>
  <si>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</si>
  <si>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</si>
  <si>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</si>
  <si>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</si>
  <si>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</si>
  <si>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</si>
  <si>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</si>
  <si>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</si>
  <si>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</si>
  <si>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</si>
  <si>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</si>
  <si>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</si>
  <si>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</si>
  <si>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</si>
  <si>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</si>
  <si>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</si>
  <si>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</si>
  <si>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</si>
  <si>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</si>
  <si>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</si>
  <si>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</si>
  <si>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</si>
  <si>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</si>
  <si>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</si>
  <si>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</si>
  <si>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</si>
  <si>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</si>
  <si>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</si>
  <si>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</si>
  <si>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</si>
  <si>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</si>
  <si>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</si>
  <si>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</si>
  <si>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</si>
  <si>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</si>
  <si>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</si>
  <si>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</si>
  <si>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</si>
  <si>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</si>
  <si>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</si>
  <si>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</si>
  <si>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</si>
  <si>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</si>
  <si>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</si>
  <si>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</si>
  <si>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</si>
  <si>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</si>
  <si>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</si>
  <si>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</si>
  <si>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</si>
  <si>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</si>
  <si>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</si>
  <si>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</si>
  <si>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</si>
  <si>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</si>
  <si>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</si>
  <si>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</si>
  <si>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</si>
  <si>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</si>
  <si>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</si>
  <si>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</si>
  <si>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</si>
  <si>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</si>
  <si>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</si>
  <si>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</si>
  <si>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</si>
  <si>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</si>
  <si>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</si>
  <si>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</si>
  <si>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</si>
  <si>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</si>
  <si>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</si>
  <si>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</si>
  <si>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</si>
  <si>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</si>
  <si>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</si>
  <si>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</si>
  <si>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</si>
  <si>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</si>
  <si>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</si>
  <si>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</si>
  <si>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</si>
  <si>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</si>
  <si>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</si>
  <si>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</si>
  <si>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</si>
  <si>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</si>
  <si>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</si>
  <si>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</si>
  <si>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</si>
  <si>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</si>
  <si>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</si>
  <si>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</si>
  <si>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</si>
  <si>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</si>
  <si>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</si>
  <si>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</si>
  <si>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</si>
  <si>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</si>
  <si>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</si>
  <si>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</si>
  <si>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</si>
  <si>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</si>
  <si>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</si>
  <si>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</si>
  <si>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</si>
  <si>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</si>
  <si>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</si>
  <si>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</si>
  <si>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</si>
  <si>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</si>
  <si>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</si>
  <si>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</si>
  <si>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</si>
  <si>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</si>
  <si>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</si>
  <si>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</si>
  <si>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</si>
  <si>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</si>
  <si>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</si>
  <si>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</si>
  <si>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</si>
  <si>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</si>
  <si>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</si>
  <si>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</si>
  <si>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</si>
  <si>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</si>
  <si>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</si>
  <si>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</si>
  <si>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</si>
  <si>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</si>
  <si>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</si>
  <si>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</si>
  <si>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</si>
  <si>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</si>
  <si>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</si>
  <si>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</si>
  <si>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</si>
  <si>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</si>
  <si>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</si>
  <si>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</si>
  <si>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</si>
  <si>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</si>
  <si>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</si>
  <si>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</si>
  <si>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</si>
  <si>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</si>
  <si>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</si>
  <si>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</si>
  <si>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</si>
  <si>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</si>
  <si>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</si>
  <si>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</si>
  <si>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</si>
  <si>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</si>
  <si>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</si>
  <si>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</si>
  <si>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</si>
  <si>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</si>
  <si>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</si>
  <si>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</si>
  <si>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</si>
  <si>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</si>
  <si>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</si>
  <si>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</si>
  <si>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</si>
  <si>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</si>
  <si>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</si>
  <si>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</si>
  <si>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</si>
  <si>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</si>
  <si>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</si>
  <si>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</si>
  <si>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</si>
  <si>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</si>
  <si>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</si>
  <si>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</si>
  <si>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</si>
  <si>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</si>
  <si>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</si>
  <si>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</si>
  <si>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</si>
  <si>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</si>
  <si>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</si>
  <si>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</si>
  <si>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</si>
  <si>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</si>
  <si>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</si>
  <si>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</si>
  <si>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</si>
  <si>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</si>
  <si>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</si>
  <si>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</si>
  <si>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</si>
  <si>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</si>
  <si>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</si>
  <si>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</si>
  <si>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</si>
  <si>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</si>
  <si>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</si>
  <si>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</si>
  <si>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</si>
  <si>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</si>
  <si>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</si>
  <si>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</si>
  <si>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</si>
  <si>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</si>
  <si>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</si>
  <si>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</si>
  <si>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</si>
  <si>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</si>
  <si>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</si>
  <si>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</si>
  <si>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</si>
  <si>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</si>
  <si>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</si>
  <si>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</si>
  <si>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</si>
  <si>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</si>
  <si>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</si>
  <si>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</si>
  <si>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</si>
  <si>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</si>
  <si>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</si>
  <si>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</si>
  <si>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</si>
  <si>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</si>
  <si>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</si>
  <si>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</si>
  <si>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</si>
  <si>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</si>
  <si>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</si>
  <si>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</si>
  <si>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</si>
  <si>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</si>
  <si>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</si>
  <si>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</si>
  <si>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</si>
  <si>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</si>
  <si>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</si>
  <si>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</si>
  <si>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</si>
  <si>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</si>
  <si>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</si>
  <si>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</si>
  <si>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</si>
  <si>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</si>
  <si>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</si>
  <si>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</si>
  <si>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</si>
  <si>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</si>
  <si>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</si>
  <si>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</si>
  <si>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</si>
  <si>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</si>
  <si>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</si>
  <si>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</si>
  <si>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</si>
  <si>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</si>
  <si>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</si>
  <si>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</si>
  <si>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</si>
  <si>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</si>
  <si>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</si>
  <si>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</si>
  <si>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</si>
  <si>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</si>
  <si>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</si>
  <si>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</si>
  <si>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</si>
  <si>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</si>
  <si>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</si>
  <si>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</si>
  <si>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</si>
  <si>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</si>
  <si>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</si>
  <si>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</si>
  <si>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</si>
  <si>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</si>
  <si>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</si>
  <si>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</si>
  <si>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</si>
  <si>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</si>
  <si>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</si>
  <si>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</si>
  <si>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</si>
  <si>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</si>
  <si>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</si>
  <si>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</si>
  <si>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</si>
  <si>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</si>
  <si>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</si>
  <si>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</si>
  <si>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</si>
  <si>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</si>
  <si>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</si>
  <si>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</si>
  <si>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</si>
  <si>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</si>
  <si>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</si>
  <si>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</si>
  <si>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</si>
  <si>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</si>
  <si>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</si>
  <si>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</si>
  <si>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</si>
  <si>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</si>
  <si>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</si>
  <si>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</si>
  <si>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</si>
  <si>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</si>
  <si>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</si>
  <si>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</si>
  <si>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</si>
  <si>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</si>
  <si>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</si>
  <si>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</si>
  <si>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</si>
  <si>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</si>
  <si>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</si>
  <si>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</si>
  <si>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</si>
  <si>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</si>
  <si>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</si>
  <si>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</si>
  <si>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</si>
  <si>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</si>
  <si>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</si>
  <si>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</si>
  <si>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</si>
  <si>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</si>
  <si>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</si>
  <si>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</si>
  <si>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</si>
  <si>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</si>
  <si>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</si>
  <si>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</si>
  <si>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</si>
  <si>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</si>
  <si>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</si>
  <si>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</si>
  <si>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</si>
  <si>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</si>
  <si>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</si>
  <si>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</si>
  <si>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</si>
  <si>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</si>
  <si>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</si>
  <si>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</si>
  <si>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</si>
  <si>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</si>
  <si>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</si>
  <si>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</si>
  <si>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</si>
  <si>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</si>
  <si>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</si>
  <si>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</si>
  <si>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</si>
  <si>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</si>
  <si>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</si>
  <si>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</si>
  <si>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</si>
  <si>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</si>
  <si>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</si>
  <si>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</si>
  <si>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</si>
  <si>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</si>
  <si>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</si>
  <si>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</si>
  <si>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</si>
  <si>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</si>
  <si>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</si>
  <si>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</si>
  <si>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</si>
  <si>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</si>
  <si>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</si>
  <si>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</si>
  <si>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</si>
  <si>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</si>
  <si>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</si>
  <si>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</si>
  <si>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</si>
  <si>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</si>
  <si>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</si>
  <si>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</si>
  <si>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</si>
  <si>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</si>
  <si>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</si>
  <si>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</si>
  <si>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</si>
  <si>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</si>
  <si>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</si>
  <si>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</si>
  <si>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</si>
  <si>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</si>
  <si>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</si>
  <si>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</si>
  <si>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</si>
  <si>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</si>
  <si>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</si>
  <si>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</si>
  <si>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</si>
  <si>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</si>
  <si>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</si>
  <si>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</si>
  <si>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</si>
  <si>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</si>
  <si>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</si>
  <si>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</si>
  <si>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</si>
  <si>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</si>
  <si>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</si>
  <si>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</si>
  <si>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</si>
  <si>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</si>
  <si>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</si>
  <si>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</si>
  <si>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</si>
  <si>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</si>
  <si>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</si>
  <si>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</si>
  <si>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</si>
  <si>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</si>
  <si>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</si>
  <si>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</si>
  <si>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</si>
  <si>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</si>
  <si>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</si>
  <si>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</si>
  <si>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</si>
  <si>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</si>
  <si>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</si>
  <si>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</si>
  <si>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</si>
  <si>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</si>
  <si>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</si>
  <si>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</si>
  <si>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</si>
  <si>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</si>
  <si>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</si>
  <si>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</si>
  <si>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</si>
  <si>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</si>
  <si>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</si>
  <si>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</si>
  <si>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</si>
  <si>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</si>
  <si>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</si>
  <si>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</si>
  <si>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</si>
  <si>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</si>
  <si>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</si>
  <si>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</si>
  <si>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</si>
  <si>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</si>
  <si>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</si>
  <si>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</si>
  <si>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</si>
  <si>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</si>
  <si>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</si>
  <si>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</si>
  <si>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</si>
  <si>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</si>
  <si>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</si>
  <si>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</si>
  <si>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</si>
  <si>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</si>
  <si>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</si>
  <si>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</si>
  <si>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</si>
  <si>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</si>
  <si>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</si>
  <si>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</si>
  <si>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</si>
  <si>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</si>
  <si>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</si>
  <si>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</si>
  <si>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</si>
  <si>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</si>
  <si>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</si>
  <si>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</si>
  <si>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</si>
  <si>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</si>
  <si>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</si>
  <si>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</si>
  <si>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</si>
  <si>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</si>
  <si>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</si>
  <si>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</si>
  <si>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</si>
  <si>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</si>
  <si>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</si>
  <si>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</si>
  <si>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</si>
  <si>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</si>
  <si>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</si>
  <si>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</si>
  <si>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</si>
  <si>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</si>
  <si>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</si>
  <si>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</si>
  <si>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</si>
  <si>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</si>
  <si>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</si>
  <si>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</si>
  <si>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</si>
  <si>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</si>
  <si>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</si>
  <si>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</si>
  <si>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</si>
  <si>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</si>
  <si>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</si>
  <si>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</si>
  <si>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</si>
  <si>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</si>
  <si>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</si>
  <si>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</si>
  <si>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</si>
  <si>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</si>
  <si>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</si>
  <si>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</si>
  <si>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</si>
  <si>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</si>
  <si>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</si>
  <si>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</si>
  <si>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</si>
  <si>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</si>
  <si>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</si>
  <si>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</si>
  <si>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</si>
  <si>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</si>
  <si>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</si>
  <si>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</si>
  <si>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</si>
  <si>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</si>
  <si>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</si>
  <si>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</si>
  <si>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</si>
  <si>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</si>
  <si>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</si>
  <si>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</si>
  <si>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</si>
  <si>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</si>
  <si>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</si>
  <si>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</si>
  <si>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</si>
  <si>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</si>
  <si>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</si>
  <si>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</si>
  <si>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</si>
  <si>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</si>
  <si>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</si>
  <si>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</si>
  <si>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</si>
  <si>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</si>
  <si>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</si>
  <si>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</si>
  <si>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</si>
  <si>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</si>
  <si>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</si>
  <si>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</si>
  <si>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</si>
  <si>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</si>
  <si>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</si>
  <si>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</si>
  <si>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</si>
  <si>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</si>
  <si>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</si>
  <si>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</si>
  <si>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</si>
  <si>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</si>
  <si>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</si>
  <si>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</si>
  <si>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</si>
  <si>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</si>
  <si>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</si>
  <si>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</si>
  <si>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</si>
  <si>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</si>
  <si>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</si>
  <si>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</si>
  <si>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</si>
  <si>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</si>
  <si>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</si>
  <si>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</si>
  <si>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</si>
  <si>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</si>
  <si>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</si>
  <si>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</si>
  <si>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</si>
  <si>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</si>
  <si>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</si>
  <si>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</si>
  <si>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</si>
  <si>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</si>
  <si>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</si>
  <si>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</si>
  <si>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</si>
  <si>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</si>
  <si>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</si>
  <si>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</si>
  <si>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</si>
  <si>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</si>
  <si>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</si>
  <si>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</si>
  <si>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</si>
  <si>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</si>
  <si>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</si>
  <si>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</si>
  <si>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</si>
  <si>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</si>
  <si>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</si>
  <si>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</si>
  <si>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</si>
  <si>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</si>
  <si>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</si>
  <si>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</si>
  <si>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</si>
  <si>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</si>
  <si>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</si>
  <si>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</si>
  <si>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</si>
  <si>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</si>
  <si>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</si>
  <si>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</si>
  <si>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</si>
  <si>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</si>
  <si>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</si>
  <si>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</si>
  <si>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</si>
  <si>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</si>
  <si>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</si>
  <si>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</si>
  <si>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</si>
  <si>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</si>
  <si>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</si>
  <si>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</si>
  <si>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</si>
  <si>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</si>
  <si>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</si>
  <si>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</si>
  <si>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</si>
  <si>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</si>
  <si>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</si>
  <si>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</si>
  <si>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</si>
  <si>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</si>
  <si>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</si>
  <si>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</si>
  <si>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</si>
  <si>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</si>
  <si>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</si>
  <si>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</si>
  <si>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</si>
  <si>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</si>
  <si>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</si>
  <si>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</si>
  <si>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</si>
  <si>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</si>
  <si>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</si>
  <si>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</si>
  <si>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</si>
  <si>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</si>
  <si>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</si>
  <si>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</si>
  <si>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</si>
  <si>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</si>
  <si>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</si>
  <si>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</si>
  <si>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</si>
  <si>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</si>
  <si>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</si>
  <si>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</si>
  <si>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</si>
  <si>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</si>
  <si>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</si>
  <si>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</si>
  <si>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</si>
  <si>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</si>
  <si>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</si>
  <si>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</si>
  <si>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</si>
  <si>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</si>
  <si>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</si>
  <si>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</si>
  <si>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</si>
  <si>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</si>
  <si>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</si>
  <si>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</si>
  <si>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</si>
  <si>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</si>
  <si>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</si>
  <si>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</si>
  <si>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</si>
  <si>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</si>
  <si>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</si>
  <si>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</si>
  <si>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</si>
  <si>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</si>
  <si>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</si>
  <si>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</si>
  <si>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</si>
  <si>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</si>
  <si>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</si>
  <si>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</si>
  <si>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</si>
  <si>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</si>
  <si>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</si>
  <si>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</si>
  <si>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</si>
  <si>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</si>
  <si>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</si>
  <si>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</si>
  <si>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</si>
  <si>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</si>
  <si>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</si>
  <si>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</si>
  <si>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</si>
  <si>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</si>
  <si>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</si>
  <si>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</si>
  <si>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</si>
  <si>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</si>
  <si>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</si>
  <si>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</si>
  <si>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</si>
  <si>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</si>
  <si>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</si>
  <si>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</si>
  <si>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</si>
  <si>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</si>
  <si>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</si>
  <si>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</si>
  <si>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</si>
  <si>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</si>
  <si>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</si>
  <si>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</si>
  <si>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</si>
  <si>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</si>
  <si>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</si>
  <si>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</si>
  <si>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</si>
  <si>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</si>
  <si>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</si>
  <si>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</si>
  <si>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</si>
  <si>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</si>
  <si>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</si>
  <si>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</si>
  <si>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</si>
  <si>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</si>
  <si>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</si>
  <si>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</si>
  <si>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</si>
  <si>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</si>
  <si>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</si>
  <si>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</si>
  <si>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</si>
  <si>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</si>
  <si>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</si>
  <si>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</si>
  <si>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</si>
  <si>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</si>
  <si>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</si>
  <si>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</si>
  <si>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</si>
  <si>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</si>
  <si>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</si>
  <si>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</si>
  <si>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</si>
  <si>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</si>
  <si>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</si>
  <si>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</si>
  <si>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</si>
  <si>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</si>
  <si>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</si>
  <si>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</si>
  <si>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</si>
  <si>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</si>
  <si>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</si>
  <si>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</si>
  <si>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</si>
  <si>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</si>
  <si>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</si>
  <si>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</si>
  <si>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</si>
  <si>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</si>
  <si>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</si>
  <si>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</si>
  <si>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</si>
  <si>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</si>
  <si>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</si>
  <si>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</si>
  <si>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</si>
  <si>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</si>
  <si>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</si>
  <si>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</si>
  <si>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</si>
  <si>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</si>
  <si>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</si>
  <si>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</si>
  <si>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</si>
  <si>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</si>
  <si>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</si>
  <si>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</si>
  <si>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</si>
  <si>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</si>
  <si>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</si>
  <si>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</si>
  <si>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</si>
  <si>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</si>
  <si>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</si>
  <si>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</si>
  <si>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</si>
  <si>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</si>
  <si>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</si>
  <si>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</si>
  <si>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</si>
  <si>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</si>
  <si>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</si>
  <si>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</si>
  <si>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</si>
  <si>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</si>
  <si>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</si>
  <si>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</si>
  <si>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</si>
  <si>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</si>
  <si>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</si>
  <si>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</si>
  <si>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</si>
  <si>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</si>
  <si>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</si>
  <si>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</si>
  <si>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</si>
  <si>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</si>
  <si>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</si>
  <si>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</si>
  <si>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</si>
  <si>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</si>
  <si>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</si>
  <si>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</si>
  <si>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</si>
  <si>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</si>
  <si>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</si>
  <si>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</si>
  <si>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</si>
  <si>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</si>
  <si>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</si>
  <si>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</si>
  <si>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</si>
  <si>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</si>
  <si>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</si>
  <si>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</si>
  <si>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</si>
  <si>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</si>
  <si>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</si>
  <si>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</si>
  <si>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</si>
  <si>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</si>
  <si>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</si>
  <si>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</si>
  <si>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</si>
  <si>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</si>
  <si>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</si>
  <si>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</si>
  <si>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</si>
  <si>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</si>
  <si>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</si>
  <si>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</si>
  <si>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</si>
  <si>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</si>
  <si>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</si>
  <si>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</si>
  <si>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</si>
  <si>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</si>
  <si>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</si>
  <si>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</si>
  <si>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</si>
  <si>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</si>
  <si>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</si>
  <si>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</si>
  <si>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</si>
  <si>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</si>
  <si>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</si>
  <si>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</si>
  <si>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</si>
  <si>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</si>
  <si>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</si>
  <si>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</si>
  <si>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</si>
  <si>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</si>
  <si>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</si>
  <si>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</si>
  <si>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</si>
  <si>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</si>
  <si>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</si>
  <si>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</si>
  <si>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</si>
  <si>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</si>
  <si>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</si>
  <si>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</si>
  <si>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</si>
  <si>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</si>
  <si>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</si>
  <si>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</si>
  <si>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</si>
  <si>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</si>
  <si>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</si>
  <si>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</si>
  <si>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</si>
  <si>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</si>
  <si>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</si>
  <si>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</si>
  <si>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</si>
  <si>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</si>
  <si>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</si>
  <si>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</si>
  <si>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</si>
  <si>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</si>
  <si>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</si>
  <si>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</si>
  <si>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</si>
  <si>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</si>
  <si>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</si>
  <si>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</si>
  <si>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</si>
  <si>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</si>
  <si>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</si>
  <si>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</si>
  <si>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</si>
  <si>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</si>
  <si>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</si>
  <si>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</si>
  <si>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</si>
  <si>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</si>
  <si>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</si>
  <si>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</si>
  <si>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</si>
  <si>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</si>
  <si>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</si>
  <si>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</si>
  <si>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</si>
  <si>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</si>
  <si>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</si>
  <si>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</si>
  <si>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</si>
  <si>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</si>
  <si>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</si>
  <si>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</si>
  <si>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</si>
  <si>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</si>
  <si>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</si>
  <si>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</si>
  <si>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</si>
  <si>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</si>
  <si>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</si>
  <si>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</si>
  <si>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</si>
  <si>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</si>
  <si>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</si>
  <si>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</si>
  <si>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</si>
  <si>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</si>
  <si>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</si>
  <si>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</si>
  <si>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</si>
  <si>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</si>
  <si>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</si>
  <si>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</si>
  <si>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</si>
  <si>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</si>
  <si>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</si>
  <si>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</si>
  <si>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</si>
  <si>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</si>
  <si>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</si>
  <si>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</si>
  <si>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</si>
  <si>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</si>
  <si>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</si>
  <si>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</si>
  <si>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</si>
  <si>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</si>
  <si>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</si>
  <si>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</si>
  <si>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</si>
  <si>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</si>
  <si>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</si>
  <si>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</si>
  <si>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</si>
  <si>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</si>
  <si>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</si>
  <si>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</si>
  <si>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</si>
  <si>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</si>
  <si>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</si>
  <si>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</si>
  <si>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</si>
  <si>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</si>
  <si>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</si>
  <si>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</si>
  <si>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</si>
  <si>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</si>
  <si>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</si>
  <si>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</si>
  <si>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</si>
  <si>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</si>
  <si>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</si>
  <si>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</si>
  <si>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</si>
  <si>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</si>
  <si>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</si>
  <si>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</si>
  <si>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</si>
  <si>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</si>
  <si>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</si>
  <si>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</si>
  <si>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</si>
  <si>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</si>
  <si>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</si>
  <si>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</si>
  <si>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</si>
  <si>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</si>
  <si>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</si>
  <si>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</si>
  <si>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</si>
  <si>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</si>
  <si>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</si>
  <si>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</si>
  <si>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</si>
  <si>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</si>
  <si>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</si>
  <si>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</si>
  <si>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</si>
  <si>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</si>
  <si>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</si>
  <si>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</si>
  <si>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</si>
  <si>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</si>
  <si>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</si>
  <si>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</si>
  <si>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</si>
  <si>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</si>
  <si>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</si>
  <si>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</si>
  <si>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</si>
  <si>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</si>
  <si>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</si>
  <si>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</si>
  <si>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</si>
  <si>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</si>
  <si>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</si>
  <si>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</si>
  <si>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</si>
  <si>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</si>
  <si>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</si>
  <si>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</si>
  <si>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</si>
  <si>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</si>
  <si>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</si>
  <si>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</si>
  <si>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</si>
  <si>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</si>
  <si>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</si>
  <si>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</si>
  <si>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</si>
  <si>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</si>
  <si>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</si>
  <si>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</si>
  <si>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</si>
  <si>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</si>
  <si>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</si>
  <si>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</si>
  <si>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</si>
  <si>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</si>
  <si>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</si>
  <si>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</si>
  <si>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</si>
  <si>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</si>
  <si>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</si>
  <si>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</si>
  <si>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</si>
  <si>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</si>
  <si>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</si>
  <si>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</si>
  <si>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</si>
  <si>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</si>
  <si>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</si>
  <si>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</si>
  <si>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</si>
  <si>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</si>
  <si>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</si>
  <si>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</si>
  <si>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</si>
  <si>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</si>
  <si>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</si>
  <si>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</si>
  <si>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</si>
  <si>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</si>
  <si>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</si>
  <si>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</si>
  <si>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</si>
  <si>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</si>
  <si>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</si>
  <si>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</si>
  <si>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</si>
  <si>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</si>
  <si>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</si>
  <si>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</si>
  <si>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</si>
  <si>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</si>
  <si>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</si>
  <si>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</si>
  <si>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</si>
  <si>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</si>
  <si>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</si>
  <si>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</si>
  <si>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</si>
  <si>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</si>
  <si>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</si>
  <si>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</si>
  <si>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</si>
  <si>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</si>
  <si>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</si>
  <si>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</si>
  <si>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</si>
  <si>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</si>
  <si>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</si>
  <si>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</si>
  <si>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</si>
  <si>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</si>
  <si>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</si>
  <si>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</si>
  <si>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</si>
  <si>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</si>
  <si>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</si>
  <si>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</si>
  <si>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</si>
  <si>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</si>
  <si>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</si>
  <si>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</si>
  <si>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</si>
  <si>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</si>
  <si>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</si>
  <si>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</si>
  <si>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</si>
  <si>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</si>
  <si>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</si>
  <si>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</si>
  <si>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</si>
  <si>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</si>
  <si>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</si>
  <si>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</si>
  <si>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</si>
  <si>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</si>
  <si>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</si>
  <si>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</si>
  <si>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</si>
  <si>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</si>
  <si>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</si>
  <si>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</si>
  <si>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</si>
  <si>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</si>
  <si>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</si>
  <si>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</si>
  <si>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</si>
  <si>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</si>
  <si>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</si>
  <si>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</si>
  <si>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</si>
  <si>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</si>
  <si>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</si>
  <si>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</si>
  <si>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</si>
  <si>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</si>
  <si>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</si>
  <si>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</si>
  <si>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</si>
  <si>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</si>
  <si>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</si>
  <si>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</si>
  <si>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</si>
  <si>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</si>
  <si>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</si>
  <si>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</si>
  <si>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</si>
  <si>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</si>
  <si>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</si>
  <si>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</si>
  <si>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</si>
  <si>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</si>
  <si>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</si>
  <si>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</si>
  <si>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</si>
  <si>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</si>
  <si>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</si>
  <si>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</si>
  <si>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</si>
  <si>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</si>
  <si>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</si>
  <si>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</si>
  <si>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</si>
  <si>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</si>
  <si>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</si>
  <si>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</si>
  <si>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</si>
  <si>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</si>
  <si>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</si>
  <si>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</si>
  <si>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</si>
  <si>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</si>
  <si>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</si>
  <si>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</si>
  <si>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</si>
  <si>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</si>
  <si>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</si>
  <si>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</si>
  <si>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</si>
  <si>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</si>
  <si>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</si>
  <si>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</si>
  <si>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</si>
  <si>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</si>
  <si>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</si>
  <si>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</si>
  <si>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</si>
  <si>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</si>
  <si>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</si>
  <si>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</si>
  <si>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</si>
  <si>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</si>
  <si>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</si>
  <si>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</si>
  <si>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</si>
  <si>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</si>
  <si>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</si>
  <si>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</si>
  <si>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</si>
  <si>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</si>
  <si>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</si>
  <si>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</si>
  <si>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</si>
  <si>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</si>
  <si>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</si>
  <si>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</si>
  <si>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</si>
  <si>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</si>
  <si>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</si>
  <si>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</si>
  <si>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</si>
  <si>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</si>
  <si>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</si>
  <si>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</si>
  <si>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</si>
  <si>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</si>
  <si>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</si>
  <si>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</si>
  <si>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</si>
  <si>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</si>
  <si>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</si>
  <si>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</si>
  <si>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</si>
  <si>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</si>
  <si>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</si>
  <si>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</si>
  <si>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</si>
  <si>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</si>
  <si>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</si>
  <si>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</si>
  <si>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</si>
  <si>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</si>
  <si>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</si>
  <si>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</si>
  <si>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</si>
  <si>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</si>
  <si>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</si>
  <si>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</si>
  <si>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</si>
  <si>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</si>
  <si>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</si>
  <si>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</si>
  <si>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</si>
  <si>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</si>
  <si>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</si>
  <si>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</si>
  <si>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</si>
  <si>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</si>
  <si>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</si>
  <si>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</si>
  <si>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</si>
  <si>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</si>
  <si>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</si>
  <si>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</si>
  <si>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</si>
  <si>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</si>
  <si>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</si>
  <si>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</si>
  <si>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</si>
  <si>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</si>
  <si>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</si>
  <si>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</si>
  <si>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</si>
  <si>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</si>
  <si>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</si>
  <si>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</si>
  <si>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</si>
  <si>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</si>
  <si>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</si>
  <si>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</si>
  <si>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</si>
  <si>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</si>
  <si>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</si>
  <si>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</si>
  <si>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</si>
  <si>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</si>
  <si>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</si>
  <si>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</si>
  <si>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</si>
  <si>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</si>
  <si>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</si>
  <si>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</si>
  <si>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</si>
  <si>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</si>
  <si>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</si>
  <si>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</si>
  <si>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</si>
  <si>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</si>
  <si>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</si>
  <si>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</si>
  <si>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</si>
  <si>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</si>
  <si>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</si>
  <si>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</si>
  <si>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</si>
  <si>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</si>
  <si>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</si>
  <si>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</si>
  <si>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</si>
  <si>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</si>
  <si>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</si>
  <si>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</si>
  <si>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</si>
  <si>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</si>
  <si>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</si>
  <si>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</si>
  <si>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</si>
  <si>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</si>
  <si>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</si>
  <si>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</si>
  <si>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</si>
  <si>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</si>
  <si>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</si>
  <si>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</si>
  <si>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</si>
  <si>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</si>
  <si>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</si>
  <si>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</si>
  <si>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</si>
  <si>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</si>
  <si>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</si>
  <si>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</si>
  <si>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</si>
  <si>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</si>
  <si>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</si>
  <si>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</si>
  <si>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</si>
  <si>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</si>
  <si>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</si>
  <si>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</si>
  <si>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</si>
  <si>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</si>
  <si>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</si>
  <si>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</si>
  <si>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</si>
  <si>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</si>
  <si>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</si>
  <si>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</si>
  <si>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</si>
  <si>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</si>
  <si>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</si>
  <si>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</si>
  <si>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</si>
  <si>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</si>
  <si>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</si>
  <si>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</si>
  <si>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</si>
  <si>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</si>
  <si>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</si>
  <si>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</si>
  <si>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</si>
  <si>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</si>
  <si>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</si>
  <si>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</si>
  <si>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</si>
  <si>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</si>
  <si>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</si>
  <si>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</si>
  <si>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</si>
  <si>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</si>
  <si>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</si>
  <si>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</si>
  <si>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</si>
  <si>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</si>
  <si>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</si>
  <si>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</si>
  <si>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</si>
  <si>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</si>
  <si>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</si>
  <si>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</si>
  <si>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</si>
  <si>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</si>
  <si>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</si>
  <si>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</si>
  <si>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</si>
  <si>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</si>
  <si>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</si>
  <si>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</si>
  <si>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</si>
  <si>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</si>
  <si>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</si>
  <si>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</si>
  <si>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</si>
  <si>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</si>
  <si>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</si>
  <si>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</si>
  <si>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</si>
  <si>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</si>
  <si>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</si>
  <si>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</si>
  <si>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</si>
  <si>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</si>
  <si>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</si>
  <si>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</si>
  <si>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</si>
  <si>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</si>
  <si>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</si>
  <si>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</si>
  <si>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</si>
  <si>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</si>
  <si>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</si>
  <si>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</si>
  <si>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</si>
  <si>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</si>
  <si>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</si>
  <si>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</si>
  <si>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</si>
  <si>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</si>
  <si>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</si>
  <si>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</si>
  <si>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</si>
  <si>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</si>
  <si>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</si>
  <si>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</si>
  <si>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</si>
  <si>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</si>
  <si>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</si>
  <si>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</si>
  <si>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</si>
  <si>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</si>
  <si>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</si>
  <si>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</si>
  <si>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</si>
  <si>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</si>
  <si>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</si>
  <si>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</si>
  <si>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</si>
  <si>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</si>
  <si>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</si>
  <si>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</si>
  <si>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</si>
  <si>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</si>
  <si>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</si>
  <si>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</si>
  <si>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</si>
  <si>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</si>
  <si>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</si>
  <si>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</si>
  <si>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</si>
  <si>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</si>
  <si>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</si>
  <si>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</si>
  <si>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</si>
  <si>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</si>
  <si>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</si>
  <si>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</si>
  <si>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</si>
  <si>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</si>
  <si>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</si>
  <si>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</si>
  <si>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</si>
  <si>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</si>
  <si>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</si>
  <si>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</si>
  <si>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</si>
  <si>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</si>
  <si>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</si>
  <si>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</si>
  <si>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</si>
  <si>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</si>
  <si>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</si>
  <si>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</si>
  <si>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</si>
  <si>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</si>
  <si>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</si>
  <si>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</si>
  <si>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</si>
  <si>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</si>
  <si>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</si>
  <si>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</si>
  <si>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</si>
  <si>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</si>
  <si>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</si>
  <si>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</si>
  <si>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</si>
  <si>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</si>
  <si>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</si>
  <si>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</si>
  <si>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</si>
  <si>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</si>
  <si>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</si>
  <si>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</si>
  <si>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</si>
  <si>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</si>
  <si>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</si>
  <si>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</si>
  <si>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</si>
  <si>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</si>
  <si>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</si>
  <si>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</si>
  <si>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</si>
  <si>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</si>
  <si>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</si>
  <si>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</si>
  <si>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</si>
  <si>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</si>
  <si>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</si>
  <si>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</si>
  <si>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</si>
  <si>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</si>
  <si>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</si>
  <si>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</si>
  <si>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</si>
  <si>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</si>
  <si>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</si>
  <si>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</si>
  <si>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</si>
  <si>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</si>
  <si>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</si>
  <si>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</si>
  <si>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</si>
  <si>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</si>
  <si>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</si>
  <si>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</si>
  <si>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</si>
  <si>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</si>
  <si>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</si>
  <si>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</si>
  <si>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</si>
  <si>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</si>
  <si>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</si>
  <si>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</si>
  <si>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</si>
  <si>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</si>
  <si>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</si>
  <si>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</si>
  <si>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</si>
  <si>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</si>
  <si>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</si>
  <si>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</si>
  <si>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</si>
  <si>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</si>
  <si>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</si>
  <si>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</si>
  <si>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</si>
  <si>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</si>
  <si>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</si>
  <si>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</si>
  <si>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</si>
  <si>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</si>
  <si>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</si>
  <si>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</si>
  <si>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</si>
  <si>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</si>
  <si>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</si>
  <si>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</si>
  <si>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</si>
  <si>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</si>
  <si>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</si>
  <si>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</si>
  <si>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</si>
  <si>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</si>
  <si>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</si>
  <si>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</si>
  <si>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</si>
  <si>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</si>
  <si>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</si>
  <si>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</si>
  <si>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</si>
  <si>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</si>
  <si>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</si>
  <si>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</si>
  <si>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</si>
  <si>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</si>
  <si>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</si>
  <si>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</si>
  <si>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</si>
  <si>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</si>
  <si>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</si>
  <si>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</si>
  <si>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</si>
  <si>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</si>
  <si>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</si>
  <si>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</si>
  <si>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</si>
  <si>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</si>
  <si>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</si>
  <si>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</si>
  <si>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</si>
  <si>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</si>
  <si>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</si>
  <si>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</si>
  <si>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</si>
  <si>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</si>
  <si>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</si>
  <si>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</si>
  <si>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</si>
  <si>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</si>
  <si>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</si>
  <si>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</si>
  <si>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</si>
  <si>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</si>
  <si>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</si>
  <si>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</si>
  <si>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</si>
  <si>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</si>
  <si>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</si>
  <si>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</si>
  <si>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</si>
  <si>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</si>
  <si>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</si>
  <si>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</si>
  <si>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</si>
  <si>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</si>
  <si>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</si>
  <si>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</si>
  <si>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</si>
  <si>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</si>
  <si>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</si>
  <si>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</si>
  <si>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</si>
  <si>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</si>
  <si>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</si>
  <si>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</si>
  <si>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</si>
  <si>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</si>
  <si>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</si>
  <si>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</si>
  <si>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</si>
  <si>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</si>
  <si>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</si>
  <si>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</si>
  <si>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</si>
  <si>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</si>
  <si>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</si>
  <si>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</si>
  <si>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</si>
  <si>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</si>
  <si>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</si>
  <si>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</si>
  <si>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</si>
  <si>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</si>
  <si>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</si>
  <si>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</si>
  <si>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</si>
  <si>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</si>
  <si>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</si>
  <si>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</si>
  <si>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</si>
  <si>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</si>
  <si>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</si>
  <si>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</si>
  <si>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</si>
  <si>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</si>
  <si>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</si>
  <si>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</si>
  <si>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</si>
  <si>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</si>
  <si>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</si>
  <si>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</si>
  <si>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</si>
  <si>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</si>
  <si>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</si>
  <si>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</si>
  <si>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</si>
  <si>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</si>
  <si>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</si>
  <si>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</si>
  <si>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</si>
  <si>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</si>
  <si>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</si>
  <si>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</si>
  <si>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</si>
  <si>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</si>
  <si>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</si>
  <si>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</si>
  <si>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</si>
  <si>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</si>
  <si>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</si>
  <si>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</si>
  <si>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</si>
  <si>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</si>
  <si>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</si>
  <si>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</si>
  <si>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</si>
  <si>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</si>
  <si>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</si>
  <si>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</si>
  <si>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</si>
  <si>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</si>
  <si>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</si>
  <si>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</si>
  <si>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</si>
  <si>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</si>
  <si>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</si>
  <si>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</si>
  <si>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</si>
  <si>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</si>
  <si>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</si>
  <si>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</si>
  <si>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</si>
  <si>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</si>
  <si>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</si>
  <si>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</si>
  <si>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</si>
  <si>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</si>
  <si>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</si>
  <si>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</si>
  <si>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</si>
  <si>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</si>
  <si>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</si>
  <si>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</si>
  <si>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</si>
  <si>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</si>
  <si>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</si>
  <si>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</si>
  <si>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</si>
  <si>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</si>
  <si>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</si>
  <si>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</si>
  <si>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</si>
  <si>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</si>
  <si>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</si>
  <si>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</si>
  <si>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</si>
  <si>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</si>
  <si>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</si>
  <si>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</si>
  <si>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</si>
  <si>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</si>
  <si>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</si>
  <si>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</si>
  <si>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</si>
  <si>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</si>
  <si>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</si>
  <si>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</si>
  <si>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</si>
  <si>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</si>
  <si>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</si>
  <si>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</si>
  <si>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</si>
  <si>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</si>
  <si>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</si>
  <si>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</si>
  <si>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</si>
  <si>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</si>
  <si>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</si>
  <si>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</si>
  <si>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</si>
  <si>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</si>
  <si>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</si>
  <si>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</si>
  <si>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</si>
  <si>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</si>
  <si>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</si>
  <si>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</si>
  <si>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</si>
  <si>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</si>
  <si>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</si>
  <si>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</si>
  <si>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</si>
  <si>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</si>
  <si>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</si>
  <si>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</si>
  <si>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</si>
  <si>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</si>
  <si>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</si>
  <si>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</si>
  <si>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</si>
  <si>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</si>
  <si>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</si>
  <si>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</si>
  <si>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</si>
  <si>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</si>
  <si>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</si>
  <si>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</si>
  <si>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</si>
  <si>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</si>
  <si>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</si>
  <si>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</si>
  <si>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</si>
  <si>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</si>
  <si>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</si>
  <si>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</si>
  <si>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</si>
  <si>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</si>
  <si>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</si>
  <si>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</si>
  <si>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</si>
  <si>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</si>
  <si>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</si>
  <si>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</si>
  <si>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</si>
  <si>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</si>
  <si>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</si>
  <si>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</si>
  <si>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</si>
  <si>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</si>
  <si>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</si>
  <si>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</si>
  <si>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</si>
  <si>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</si>
  <si>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</si>
  <si>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</si>
  <si>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</si>
  <si>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</si>
  <si>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</si>
  <si>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</si>
  <si>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</si>
  <si>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</si>
  <si>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</si>
  <si>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</si>
  <si>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</si>
  <si>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</si>
  <si>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</si>
  <si>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</si>
  <si>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</si>
  <si>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</si>
  <si>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</si>
  <si>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</si>
  <si>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</si>
  <si>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</si>
  <si>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</si>
  <si>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</si>
  <si>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</si>
  <si>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</si>
  <si>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</si>
  <si>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</si>
  <si>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</si>
  <si>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</si>
  <si>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</si>
  <si>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</si>
  <si>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</si>
  <si>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</si>
  <si>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</si>
  <si>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</si>
  <si>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</si>
  <si>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</si>
  <si>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</si>
  <si>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</si>
  <si>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</si>
  <si>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</si>
  <si>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</si>
  <si>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</si>
  <si>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</si>
  <si>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</si>
  <si>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</si>
  <si>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</si>
  <si>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</si>
  <si>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</si>
  <si>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</si>
  <si>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</si>
  <si>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</si>
  <si>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</si>
  <si>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</si>
  <si>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</si>
  <si>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</si>
  <si>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</si>
  <si>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</si>
  <si>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</si>
  <si>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</si>
  <si>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</si>
  <si>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</si>
  <si>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</si>
  <si>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</si>
  <si>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</si>
  <si>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</si>
  <si>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</si>
  <si>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</si>
  <si>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</si>
  <si>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</si>
  <si>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</si>
  <si>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</si>
  <si>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</si>
  <si>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</si>
  <si>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</si>
  <si>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</si>
  <si>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</si>
  <si>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</si>
  <si>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</si>
  <si>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</si>
  <si>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</si>
  <si>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</si>
  <si>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</si>
  <si>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</si>
  <si>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</si>
  <si>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</si>
  <si>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</si>
  <si>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</si>
  <si>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</si>
  <si>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</si>
  <si>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</si>
  <si>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</si>
  <si>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</si>
  <si>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</si>
  <si>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</si>
  <si>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</si>
  <si>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</si>
  <si>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</si>
  <si>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</si>
  <si>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</si>
  <si>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</si>
  <si>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</si>
  <si>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</si>
  <si>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</si>
  <si>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</si>
  <si>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</si>
  <si>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</si>
  <si>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</si>
  <si>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</si>
  <si>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</si>
  <si>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</si>
  <si>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</si>
  <si>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</si>
  <si>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</si>
  <si>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</si>
  <si>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</si>
  <si>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</si>
  <si>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</si>
  <si>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</si>
  <si>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</si>
  <si>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</si>
  <si>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</si>
  <si>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</si>
  <si>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</si>
  <si>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</si>
  <si>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</si>
  <si>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</si>
  <si>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</si>
  <si>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</si>
  <si>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</si>
  <si>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</si>
  <si>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</si>
  <si>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</si>
  <si>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</si>
  <si>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</si>
  <si>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</si>
  <si>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</si>
  <si>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</si>
  <si>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</si>
  <si>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</si>
  <si>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</si>
  <si>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</si>
  <si>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</si>
  <si>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</si>
  <si>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</si>
  <si>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</si>
  <si>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</si>
  <si>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</si>
  <si>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</si>
  <si>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</si>
  <si>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</si>
  <si>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</si>
  <si>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</si>
  <si>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</si>
  <si>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</si>
  <si>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</si>
  <si>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</si>
  <si>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</si>
  <si>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</si>
  <si>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</si>
  <si>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</si>
  <si>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</si>
  <si>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</si>
  <si>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</si>
  <si>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</si>
  <si>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</si>
  <si>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</si>
  <si>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</si>
  <si>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</si>
  <si>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</si>
  <si>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</si>
  <si>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</si>
  <si>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</si>
  <si>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</si>
  <si>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</si>
  <si>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</si>
  <si>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</si>
  <si>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</si>
  <si>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</si>
  <si>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</si>
  <si>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</si>
  <si>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</si>
  <si>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</si>
  <si>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</si>
  <si>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</si>
  <si>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</si>
  <si>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</si>
  <si>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</si>
  <si>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</si>
  <si>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</si>
  <si>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</si>
  <si>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</si>
  <si>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</si>
  <si>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</si>
  <si>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</si>
  <si>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</si>
  <si>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</si>
  <si>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</si>
  <si>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</si>
  <si>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</si>
  <si>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</si>
  <si>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</si>
  <si>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</si>
  <si>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</si>
  <si>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</si>
  <si>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</si>
  <si>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</si>
  <si>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</si>
  <si>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</si>
  <si>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</si>
  <si>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</si>
  <si>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</si>
  <si>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</si>
  <si>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</si>
  <si>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</si>
  <si>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</si>
  <si>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</si>
  <si>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</si>
  <si>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</si>
  <si>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</si>
  <si>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</si>
  <si>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</si>
  <si>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</si>
  <si>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</si>
  <si>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</si>
  <si>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</si>
  <si>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</si>
  <si>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</si>
  <si>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</si>
  <si>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</si>
  <si>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</si>
  <si>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</si>
  <si>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</si>
  <si>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</si>
  <si>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</si>
  <si>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</si>
  <si>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</si>
  <si>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</si>
  <si>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</si>
  <si>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</si>
  <si>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</si>
  <si>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</si>
  <si>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</si>
  <si>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</si>
  <si>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</si>
  <si>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</si>
  <si>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</si>
  <si>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</si>
  <si>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</si>
  <si>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</si>
  <si>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</si>
  <si>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</si>
  <si>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</si>
  <si>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</si>
  <si>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</si>
  <si>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</si>
  <si>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</si>
  <si>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</si>
  <si>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</si>
  <si>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</si>
  <si>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</si>
  <si>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</si>
  <si>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</si>
  <si>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</si>
  <si>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</si>
  <si>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</si>
  <si>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</si>
  <si>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</si>
  <si>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</si>
  <si>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</si>
  <si>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</si>
  <si>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</si>
  <si>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</si>
  <si>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</si>
  <si>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</si>
  <si>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</si>
  <si>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</si>
  <si>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</si>
  <si>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</si>
  <si>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</si>
  <si>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</si>
  <si>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</si>
  <si>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</si>
  <si>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</si>
  <si>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</si>
  <si>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</si>
  <si>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</si>
  <si>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</si>
  <si>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</si>
  <si>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</si>
  <si>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</si>
  <si>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</si>
  <si>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</si>
  <si>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</si>
  <si>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</si>
  <si>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</si>
  <si>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</si>
  <si>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</si>
  <si>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</si>
  <si>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</si>
  <si>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</si>
  <si>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</si>
  <si>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</si>
  <si>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</si>
  <si>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</si>
  <si>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</si>
  <si>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</si>
  <si>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</si>
  <si>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</si>
  <si>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</si>
  <si>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</si>
  <si>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</si>
  <si>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</si>
  <si>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</si>
  <si>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</si>
  <si>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</si>
  <si>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</si>
  <si>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</si>
  <si>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</si>
  <si>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</si>
  <si>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</si>
  <si>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</si>
  <si>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</si>
  <si>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</si>
  <si>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</si>
  <si>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</si>
  <si>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</si>
  <si>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</si>
  <si>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</si>
  <si>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</si>
  <si>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</si>
  <si>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</si>
  <si>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</si>
  <si>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</si>
  <si>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</si>
  <si>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</si>
  <si>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</si>
  <si>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</si>
  <si>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</si>
  <si>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</si>
  <si>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</si>
  <si>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</si>
  <si>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</si>
  <si>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</si>
  <si>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</si>
  <si>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</si>
  <si>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</si>
  <si>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</si>
  <si>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</si>
  <si>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</si>
  <si>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</si>
  <si>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</si>
  <si>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</si>
  <si>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</si>
  <si>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</si>
  <si>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</si>
  <si>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</si>
  <si>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</si>
  <si>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</si>
  <si>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</si>
  <si>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</si>
  <si>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</si>
  <si>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</si>
  <si>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</si>
  <si>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</si>
  <si>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</si>
  <si>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</si>
  <si>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</si>
  <si>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</si>
  <si>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</si>
  <si>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</si>
  <si>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</si>
  <si>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</si>
  <si>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</si>
  <si>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</si>
  <si>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</si>
  <si>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</si>
  <si>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</si>
  <si>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</si>
  <si>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</si>
  <si>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</si>
  <si>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</si>
  <si>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</si>
  <si>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</si>
  <si>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</si>
  <si>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</si>
  <si>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</si>
  <si>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</si>
  <si>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</si>
  <si>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</si>
  <si>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</si>
  <si>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</si>
  <si>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</si>
  <si>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</si>
  <si>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</si>
  <si>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</si>
  <si>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</si>
  <si>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</si>
  <si>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</si>
  <si>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</si>
  <si>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</si>
  <si>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</si>
  <si>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</si>
  <si>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</si>
  <si>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</si>
  <si>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</si>
  <si>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</si>
  <si>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</si>
  <si>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</si>
  <si>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</si>
  <si>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</si>
  <si>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</si>
  <si>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</si>
  <si>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</si>
  <si>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</si>
  <si>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</si>
  <si>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</si>
  <si>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</si>
  <si>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</si>
  <si>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</si>
  <si>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</si>
  <si>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 xml:space="preserve"> </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</si>
  <si>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</si>
  <si>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</si>
  <si>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</si>
  <si>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</si>
  <si>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</si>
  <si>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</si>
  <si>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</si>
  <si>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</si>
  <si>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</si>
  <si>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</si>
  <si>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</si>
  <si>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</si>
  <si>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</si>
  <si>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</si>
  <si>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</si>
  <si>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</si>
  <si>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</si>
  <si>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</si>
  <si>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</si>
  <si>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</si>
  <si>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</si>
  <si>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</si>
  <si>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</si>
  <si>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</si>
  <si>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</si>
  <si>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</si>
  <si>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</si>
  <si>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</si>
  <si>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</si>
  <si>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</si>
  <si>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</si>
  <si>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</si>
  <si>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</si>
  <si>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</si>
  <si>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</si>
  <si>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</si>
  <si>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</si>
  <si>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</si>
  <si>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</si>
  <si>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</si>
  <si>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</si>
  <si>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</si>
  <si>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</si>
  <si>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</si>
  <si>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</si>
  <si>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</si>
  <si>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</si>
  <si>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</si>
  <si>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</si>
  <si>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</si>
  <si>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</si>
  <si>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</si>
  <si>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</si>
  <si>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</si>
  <si>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</si>
  <si>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</si>
  <si>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</si>
  <si>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</si>
  <si>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</si>
  <si>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</si>
  <si>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</si>
  <si>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</si>
  <si>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</si>
  <si>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</si>
  <si>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</si>
  <si>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</si>
  <si>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</si>
  <si>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</si>
  <si>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</si>
  <si>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</si>
  <si>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</si>
  <si>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</si>
  <si>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</si>
  <si>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</si>
  <si>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</si>
  <si>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</si>
  <si>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</si>
  <si>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</si>
  <si>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</si>
  <si>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</si>
  <si>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</si>
  <si>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</si>
  <si>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</si>
  <si>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</si>
  <si>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</si>
  <si>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</si>
  <si>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</si>
  <si>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</si>
  <si>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</si>
  <si>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</si>
  <si>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</si>
  <si>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</si>
  <si>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</si>
  <si>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</si>
  <si>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</si>
  <si>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</si>
  <si>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</si>
  <si>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</si>
  <si>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</si>
  <si>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</si>
  <si>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</si>
  <si>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</si>
  <si>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</si>
  <si>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</si>
  <si>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</si>
  <si>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</si>
  <si>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</si>
  <si>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</si>
  <si>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</si>
  <si>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</si>
  <si>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</si>
  <si>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</si>
  <si>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</si>
  <si>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</si>
  <si>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</si>
  <si>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</si>
  <si>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</si>
  <si>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</si>
  <si>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</si>
  <si>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</si>
  <si>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</si>
  <si>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</si>
  <si>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</si>
  <si>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</si>
  <si>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</si>
  <si>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</si>
  <si>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</si>
  <si>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</si>
  <si>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</si>
  <si>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</si>
  <si>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</si>
  <si>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</si>
  <si>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</si>
  <si>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</si>
  <si>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</si>
  <si>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</si>
  <si>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</si>
  <si>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</si>
  <si>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</si>
  <si>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</si>
  <si>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</si>
  <si>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</si>
  <si>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</si>
  <si>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</si>
  <si>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</si>
  <si>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</si>
  <si>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</si>
  <si>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</si>
  <si>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</si>
  <si>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</si>
  <si>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</si>
  <si>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</si>
  <si>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</si>
  <si>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</si>
  <si>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</si>
  <si>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</si>
  <si>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</si>
  <si>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</si>
  <si>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</si>
  <si>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</si>
  <si>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</si>
  <si>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</si>
  <si>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</si>
  <si>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</si>
  <si>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</si>
  <si>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</si>
  <si>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</si>
  <si>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</si>
  <si>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</si>
  <si>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</si>
  <si>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</si>
  <si>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</si>
  <si>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</si>
  <si>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</si>
  <si>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</si>
  <si>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</si>
  <si>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</si>
  <si>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</si>
  <si>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</si>
  <si>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</si>
  <si>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</si>
  <si>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</si>
  <si>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</si>
  <si>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</si>
  <si>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</si>
  <si>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</si>
  <si>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</si>
  <si>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</si>
  <si>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</si>
  <si>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</si>
  <si>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</si>
  <si>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</si>
  <si>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</si>
  <si>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</si>
  <si>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</si>
  <si>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</si>
  <si>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</si>
  <si>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</si>
  <si>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</si>
  <si>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</si>
  <si>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</si>
  <si>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</si>
  <si>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</si>
  <si>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</si>
  <si>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</si>
  <si>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</si>
  <si>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</si>
  <si>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</si>
  <si>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</si>
  <si>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</si>
  <si>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</si>
  <si>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</si>
  <si>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</si>
  <si>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</si>
  <si>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</si>
  <si>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</si>
  <si>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</si>
  <si>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</si>
  <si>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</si>
  <si>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</si>
  <si>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</si>
  <si>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</si>
  <si>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</si>
  <si>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</si>
  <si>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</si>
  <si>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</si>
  <si>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</si>
  <si>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</si>
  <si>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</si>
  <si>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</si>
  <si>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</si>
  <si>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</si>
  <si>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</si>
  <si>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</si>
  <si>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</si>
  <si>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</si>
  <si>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</si>
  <si>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</si>
  <si>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</si>
  <si>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</si>
  <si>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</si>
  <si>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</si>
  <si>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</si>
  <si>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</si>
  <si>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</si>
  <si>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</si>
  <si>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</si>
  <si>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</si>
  <si>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</si>
  <si>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</si>
  <si>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</si>
  <si>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</si>
  <si>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</si>
  <si>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</si>
  <si>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</si>
  <si>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</si>
  <si>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</si>
  <si>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</si>
  <si>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</si>
  <si>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</si>
  <si>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</si>
  <si>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</si>
  <si>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</si>
  <si>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</si>
  <si>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</si>
  <si>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</si>
  <si>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</si>
  <si>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</si>
  <si>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</si>
  <si>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</si>
  <si>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</si>
  <si>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</si>
  <si>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</si>
  <si>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</si>
  <si>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</si>
  <si>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</si>
  <si>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</si>
  <si>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</si>
  <si>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</si>
  <si>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</si>
  <si>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</si>
  <si>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</si>
  <si>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</si>
  <si>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</si>
  <si>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</si>
  <si>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</si>
  <si>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</si>
  <si>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</si>
  <si>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</si>
  <si>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</si>
  <si>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</si>
  <si>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</si>
  <si>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</si>
  <si>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</si>
  <si>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</si>
  <si>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</si>
  <si>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</si>
  <si>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</si>
  <si>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</si>
  <si>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</si>
  <si>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</si>
  <si>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</si>
  <si>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</si>
  <si>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</si>
  <si>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</si>
  <si>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</si>
  <si>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</si>
  <si>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</si>
  <si>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</si>
  <si>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</si>
  <si>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</si>
  <si>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</si>
  <si>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</si>
  <si>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</si>
  <si>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</si>
  <si>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</si>
  <si>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</si>
  <si>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</si>
  <si>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</si>
  <si>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</si>
  <si>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</si>
  <si>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</si>
  <si>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</si>
  <si>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</si>
  <si>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</si>
  <si>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</si>
  <si>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</si>
  <si>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</si>
  <si>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</si>
  <si>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</si>
  <si>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</si>
  <si>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</si>
  <si>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</si>
  <si>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</si>
  <si>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</si>
  <si>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</si>
  <si>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</si>
  <si>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</si>
  <si>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</si>
  <si>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</si>
  <si>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</si>
  <si>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</si>
  <si>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</si>
  <si>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</si>
  <si>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</si>
  <si>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</si>
  <si>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</si>
  <si>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</si>
  <si>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</si>
  <si>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</si>
  <si>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</si>
  <si>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</si>
  <si>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</si>
  <si>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</si>
  <si>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</si>
  <si>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</si>
  <si>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</si>
  <si>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</si>
  <si>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</si>
  <si>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</si>
  <si>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</si>
  <si>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</si>
  <si>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</si>
  <si>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</si>
  <si>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</si>
  <si>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</si>
  <si>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</si>
  <si>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</si>
  <si>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</si>
  <si>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</si>
  <si>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</si>
  <si>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</si>
  <si>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</si>
  <si>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</si>
  <si>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</si>
  <si>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</si>
  <si>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</si>
  <si>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</si>
  <si>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</si>
  <si>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</si>
  <si>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</si>
  <si>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</si>
  <si>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</si>
  <si>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</si>
  <si>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</si>
  <si>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</si>
  <si>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</si>
  <si>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</si>
  <si>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</si>
  <si>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</si>
  <si>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</si>
  <si>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</si>
  <si>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</si>
  <si>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</si>
  <si>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</si>
  <si>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</si>
  <si>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</si>
  <si>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</si>
  <si>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</si>
  <si>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</si>
  <si>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</si>
  <si>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</si>
  <si>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</si>
  <si>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</si>
  <si>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</si>
  <si>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</si>
  <si>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</si>
  <si>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</si>
  <si>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</si>
  <si>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</si>
  <si>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</si>
  <si>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</si>
  <si>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</si>
  <si>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</si>
  <si>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</si>
  <si>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</si>
  <si>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</si>
  <si>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</si>
  <si>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</si>
  <si>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</si>
  <si>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</si>
  <si>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</si>
  <si>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</si>
  <si>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</si>
  <si>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</si>
  <si>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</si>
  <si>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</si>
  <si>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</si>
  <si>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</si>
  <si>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</si>
  <si>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</si>
  <si>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</si>
  <si>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</si>
  <si>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</si>
  <si>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</si>
  <si>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</si>
  <si>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</si>
  <si>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</si>
  <si>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</si>
  <si>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</si>
  <si>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</si>
  <si>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</si>
  <si>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</si>
  <si>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</si>
  <si>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</si>
  <si>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</si>
  <si>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</si>
  <si>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</si>
  <si>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</si>
  <si>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</si>
  <si>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</si>
  <si>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</si>
  <si>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</si>
  <si>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</si>
  <si>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</si>
  <si>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</si>
  <si>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</si>
  <si>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</si>
  <si>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</si>
  <si>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</si>
  <si>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</si>
  <si>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</si>
  <si>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</si>
  <si>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</si>
  <si>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</si>
  <si>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</si>
  <si>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</si>
  <si>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</si>
  <si>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</si>
  <si>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</si>
  <si>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</si>
  <si>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</si>
  <si>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</si>
  <si>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</si>
  <si>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</si>
  <si>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</si>
  <si>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</si>
  <si>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</si>
  <si>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</si>
  <si>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</si>
  <si>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</si>
  <si>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</si>
  <si>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</si>
  <si>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</si>
  <si>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</si>
  <si>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</si>
  <si>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</si>
  <si>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</si>
  <si>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</si>
  <si>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</si>
  <si>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</si>
  <si>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</si>
  <si>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</si>
  <si>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</si>
  <si>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</si>
  <si>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</si>
  <si>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</si>
  <si>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</si>
  <si>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</si>
  <si>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</si>
  <si>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</si>
  <si>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</si>
  <si>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</si>
  <si>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</si>
  <si>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</si>
  <si>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</si>
  <si>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</si>
  <si>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</si>
  <si>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</si>
  <si>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</si>
  <si>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</si>
  <si>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</si>
  <si>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</si>
  <si>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</si>
  <si>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</si>
  <si>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</si>
  <si>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</si>
  <si>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</si>
  <si>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</si>
  <si>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</si>
  <si>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</si>
  <si>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</si>
  <si>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</si>
  <si>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</si>
  <si>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</si>
  <si>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</si>
  <si>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</si>
  <si>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</si>
  <si>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</si>
  <si>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</si>
  <si>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</si>
  <si>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</si>
  <si>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</si>
  <si>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</si>
  <si>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</si>
  <si>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</si>
  <si>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</si>
  <si>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</si>
  <si>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</si>
  <si>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</si>
  <si>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</si>
  <si>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</si>
  <si>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</si>
  <si>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</si>
  <si>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</si>
  <si>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</si>
  <si>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</si>
  <si>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</si>
  <si>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</si>
  <si>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</si>
  <si>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</si>
  <si>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</si>
  <si>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</si>
  <si>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</si>
  <si>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</si>
  <si>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</si>
  <si>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</si>
  <si>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</si>
  <si>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</si>
  <si>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</si>
  <si>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</si>
  <si>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</si>
  <si>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</si>
  <si>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</si>
  <si>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</si>
  <si>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</si>
  <si>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</si>
  <si>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</si>
  <si>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</si>
  <si>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</si>
  <si>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</si>
  <si>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</si>
  <si>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</si>
  <si>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</si>
  <si>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</si>
  <si>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</si>
  <si>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</si>
  <si>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</si>
  <si>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</si>
  <si>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</si>
  <si>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</si>
  <si>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</si>
  <si>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</si>
  <si>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</si>
  <si>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</si>
  <si>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</si>
  <si>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</si>
  <si>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</si>
  <si>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</si>
  <si>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</si>
  <si>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</si>
  <si>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</si>
  <si>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</si>
  <si>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</si>
  <si>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</si>
  <si>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</si>
  <si>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</si>
  <si>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</si>
  <si>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</si>
  <si>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</si>
  <si>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</si>
  <si>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</si>
  <si>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</si>
  <si>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</si>
  <si>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</si>
  <si>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</si>
  <si>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</si>
  <si>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</si>
  <si>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</si>
  <si>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</si>
  <si>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</si>
  <si>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</si>
  <si>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</si>
  <si>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</si>
  <si>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</si>
  <si>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</si>
  <si>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</si>
  <si>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</si>
  <si>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</si>
  <si>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</si>
  <si>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</si>
  <si>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</si>
  <si>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</si>
  <si>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</si>
  <si>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</si>
  <si>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</si>
  <si>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</si>
  <si>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</si>
  <si>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</si>
  <si>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</si>
  <si>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</si>
  <si>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</si>
  <si>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</si>
  <si>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</si>
  <si>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</si>
  <si>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</si>
  <si>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</si>
  <si>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</si>
  <si>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</si>
  <si>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</si>
  <si>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</si>
  <si>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</si>
  <si>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</si>
  <si>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</si>
  <si>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</si>
  <si>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</si>
  <si>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</si>
  <si>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</si>
  <si>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</si>
  <si>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</si>
  <si>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</si>
  <si>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</si>
  <si>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</si>
  <si>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</si>
  <si>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</si>
  <si>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</si>
  <si>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</si>
  <si>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</si>
  <si>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</si>
  <si>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</si>
  <si>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</si>
  <si>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</si>
  <si>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</si>
  <si>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</si>
  <si>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</si>
  <si>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</si>
  <si>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</si>
  <si>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</si>
  <si>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</si>
  <si>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</si>
  <si>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</si>
  <si>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</si>
  <si>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</si>
  <si>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</si>
  <si>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</si>
  <si>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</si>
  <si>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</si>
  <si>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</si>
  <si>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</si>
  <si>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</si>
  <si>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</si>
  <si>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</si>
  <si>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</si>
  <si>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</si>
  <si>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</si>
  <si>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</si>
  <si>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</si>
  <si>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</si>
  <si>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</si>
  <si>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</si>
  <si>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</si>
  <si>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</si>
  <si>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</si>
  <si>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</si>
  <si>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</si>
  <si>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</si>
  <si>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</si>
  <si>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</si>
  <si>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</si>
  <si>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</si>
  <si>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</si>
  <si>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</si>
  <si>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</si>
  <si>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</si>
  <si>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</si>
  <si>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</si>
  <si>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</si>
  <si>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</si>
  <si>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</si>
  <si>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</si>
  <si>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</si>
  <si>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</si>
  <si>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</si>
  <si>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</si>
  <si>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</si>
  <si>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</si>
  <si>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</si>
  <si>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</si>
  <si>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</si>
  <si>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</si>
  <si>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</si>
  <si>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</si>
  <si>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</si>
  <si>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</si>
  <si>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</si>
  <si>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</si>
  <si>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</si>
  <si>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</si>
  <si>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</si>
  <si>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</si>
  <si>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</si>
  <si>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</si>
  <si>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</si>
  <si>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</si>
  <si>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</si>
  <si>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</si>
  <si>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</si>
  <si>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</si>
  <si>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</si>
  <si>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</si>
  <si>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</si>
  <si>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</si>
  <si>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</si>
  <si>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</si>
  <si>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</si>
  <si>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</si>
  <si>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</si>
  <si>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</si>
  <si>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</si>
  <si>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</si>
  <si>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</si>
  <si>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</si>
  <si>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</si>
  <si>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</si>
  <si>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</si>
  <si>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</si>
  <si>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</si>
  <si>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</si>
  <si>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</si>
  <si>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</si>
  <si>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</si>
  <si>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</si>
  <si>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</si>
  <si>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</si>
  <si>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</si>
  <si>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</si>
  <si>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</si>
  <si>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</si>
  <si>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</si>
  <si>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</si>
  <si>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</si>
  <si>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</si>
  <si>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</si>
  <si>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</si>
  <si>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</si>
  <si>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</si>
  <si>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</si>
  <si>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</si>
  <si>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</si>
  <si>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</si>
  <si>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</si>
  <si>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</si>
  <si>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</si>
  <si>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</si>
  <si>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</si>
  <si>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</si>
  <si>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</si>
  <si>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</si>
  <si>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</si>
  <si>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</si>
  <si>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</si>
  <si>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</si>
  <si>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</si>
  <si>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</si>
  <si>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</si>
  <si>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</si>
  <si>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</si>
  <si>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</si>
  <si>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</si>
  <si>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</si>
  <si>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</si>
  <si>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</si>
  <si>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</si>
  <si>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</si>
  <si>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</si>
  <si>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</si>
  <si>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</si>
  <si>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</si>
  <si>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</si>
  <si>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</si>
  <si>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</si>
  <si>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</si>
  <si>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</si>
  <si>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</si>
  <si>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</si>
  <si>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</si>
  <si>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</si>
  <si>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</si>
  <si>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</si>
  <si>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</si>
  <si>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</si>
  <si>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</si>
  <si>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</si>
  <si>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</si>
  <si>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</si>
  <si>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</si>
  <si>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</si>
  <si>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</si>
  <si>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</si>
  <si>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</si>
  <si>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</si>
  <si>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</si>
  <si>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</si>
  <si>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</si>
  <si>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</si>
  <si>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</si>
  <si>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</si>
  <si>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</si>
  <si>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</si>
  <si>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</si>
  <si>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</si>
  <si>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</si>
  <si>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</si>
  <si>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</si>
  <si>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</si>
  <si>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</si>
  <si>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</si>
  <si>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</si>
  <si>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</si>
  <si>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</si>
  <si>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</si>
  <si>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</si>
  <si>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</si>
  <si>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</si>
  <si>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</si>
  <si>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</si>
  <si>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</si>
  <si>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</si>
  <si>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</si>
  <si>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</si>
  <si>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</si>
  <si>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</si>
  <si>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</si>
  <si>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</si>
  <si>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</si>
  <si>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</si>
  <si>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</si>
  <si>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</si>
  <si>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</si>
  <si>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</si>
  <si>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</si>
  <si>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</si>
  <si>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</si>
  <si>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</si>
  <si>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</si>
  <si>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</si>
  <si>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</si>
  <si>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</si>
  <si>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</si>
  <si>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</si>
  <si>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</si>
  <si>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</si>
  <si>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</si>
  <si>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</si>
  <si>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</si>
  <si>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</si>
  <si>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</si>
  <si>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</si>
  <si>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</si>
  <si>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</si>
  <si>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</si>
  <si>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</si>
  <si>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</si>
  <si>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</si>
  <si>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</si>
  <si>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</si>
  <si>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</si>
  <si>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</si>
  <si>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</si>
  <si>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</si>
  <si>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</si>
  <si>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</si>
  <si>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</si>
  <si>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</si>
  <si>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</si>
  <si>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</si>
  <si>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</si>
  <si>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</si>
  <si>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</si>
  <si>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</si>
  <si>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</si>
  <si>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</si>
  <si>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</si>
  <si>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</si>
  <si>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</si>
  <si>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</si>
  <si>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</si>
  <si>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</si>
  <si>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</si>
  <si>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</si>
  <si>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</si>
  <si>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</si>
  <si>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</si>
  <si>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</si>
  <si>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</si>
  <si>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</si>
  <si>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</si>
  <si>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</si>
  <si>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</si>
  <si>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</si>
  <si>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</si>
  <si>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</si>
  <si>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</si>
  <si>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</si>
  <si>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</si>
  <si>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</si>
  <si>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</si>
  <si>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</si>
  <si>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</si>
  <si>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</si>
  <si>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</si>
  <si>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</si>
  <si>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</si>
  <si>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</si>
  <si>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</si>
  <si>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</si>
  <si>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</si>
  <si>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</si>
  <si>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</si>
  <si>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</si>
  <si>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</si>
  <si>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</si>
  <si>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</si>
  <si>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</si>
  <si>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</si>
  <si>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</si>
  <si>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</si>
  <si>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</si>
  <si>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</si>
  <si>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</si>
  <si>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</si>
  <si>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</si>
  <si>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</si>
  <si>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</si>
  <si>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</si>
  <si>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</si>
  <si>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</si>
  <si>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</si>
  <si>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</si>
  <si>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</si>
  <si>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</si>
  <si>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</si>
  <si>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</si>
  <si>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</si>
  <si>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</si>
  <si>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</si>
  <si>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</si>
  <si>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</si>
  <si>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</si>
  <si>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</si>
  <si>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</si>
  <si>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</si>
  <si>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</si>
  <si>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</si>
  <si>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</si>
  <si>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</si>
  <si>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</si>
  <si>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</si>
  <si>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</si>
  <si>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</si>
  <si>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</si>
  <si>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</si>
  <si>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</si>
  <si>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</si>
  <si>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</si>
  <si>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</si>
  <si>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</si>
  <si>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</si>
  <si>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</si>
  <si>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</si>
  <si>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</si>
  <si>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</si>
  <si>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</si>
  <si>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</si>
  <si>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</si>
  <si>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</si>
  <si>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</si>
  <si>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</si>
  <si>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</si>
  <si>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</si>
  <si>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</si>
  <si>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</si>
  <si>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</si>
  <si>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</si>
  <si>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</si>
  <si>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</si>
  <si>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</si>
  <si>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</si>
  <si>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</si>
  <si>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</si>
  <si>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</si>
  <si>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</si>
  <si>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</si>
  <si>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</si>
  <si>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</si>
  <si>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</si>
  <si>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</si>
  <si>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</si>
  <si>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</si>
  <si>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</si>
  <si>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</si>
  <si>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</si>
  <si>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</si>
  <si>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</si>
  <si>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</si>
  <si>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</si>
  <si>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</si>
  <si>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</si>
  <si>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</si>
  <si>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</si>
  <si>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</si>
  <si>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</si>
  <si>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</si>
  <si>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</si>
  <si>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</si>
  <si>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</si>
  <si>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</si>
  <si>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</si>
  <si>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</si>
  <si>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</si>
  <si>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</si>
  <si>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</si>
  <si>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</si>
  <si>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</si>
  <si>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</si>
  <si>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</si>
  <si>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</si>
  <si>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</si>
  <si>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</si>
  <si>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</si>
  <si>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</si>
  <si>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</si>
  <si>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</si>
  <si>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</si>
  <si>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</si>
  <si>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</si>
  <si>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</si>
  <si>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</si>
  <si>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</si>
  <si>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</si>
  <si>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</si>
  <si>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</si>
  <si>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</si>
  <si>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</si>
  <si>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</si>
  <si>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</si>
  <si>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</si>
  <si>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</si>
  <si>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</si>
  <si>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</si>
  <si>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</si>
  <si>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</si>
  <si>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</si>
  <si>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</si>
  <si>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</si>
  <si>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</si>
  <si>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</si>
  <si>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</si>
  <si>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</si>
  <si>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</si>
  <si>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</si>
  <si>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</si>
  <si>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</si>
  <si>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</si>
  <si>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</si>
  <si>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</si>
  <si>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</si>
  <si>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</si>
  <si>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</si>
  <si>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</si>
  <si>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</si>
  <si>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</si>
  <si>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</si>
  <si>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</si>
  <si>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</si>
  <si>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</si>
  <si>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</si>
  <si>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</si>
  <si>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</si>
  <si>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</si>
  <si>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</si>
  <si>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</si>
  <si>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</si>
  <si>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</si>
  <si>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</si>
  <si>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</si>
  <si>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</si>
  <si>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</si>
  <si>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</si>
  <si>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</si>
  <si>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</si>
  <si>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</si>
  <si>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</si>
  <si>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</si>
  <si>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</si>
  <si>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</si>
  <si>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</si>
  <si>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</si>
  <si>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</si>
  <si>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</si>
  <si>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</si>
  <si>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</si>
  <si>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</si>
  <si>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</si>
  <si>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</si>
  <si>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</si>
  <si>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</si>
  <si>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</si>
  <si>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</si>
  <si>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</si>
  <si>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</si>
  <si>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</si>
  <si>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</si>
  <si>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</si>
  <si>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</si>
  <si>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</si>
  <si>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</si>
  <si>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</si>
  <si>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</si>
  <si>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</si>
  <si>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</si>
  <si>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</si>
  <si>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</si>
  <si>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</si>
  <si>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</si>
  <si>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</si>
  <si>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</si>
  <si>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</si>
  <si>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</si>
  <si>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</si>
  <si>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</si>
  <si>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</si>
  <si>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</si>
  <si>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</si>
  <si>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</si>
  <si>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</si>
  <si>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</si>
  <si>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</si>
  <si>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</si>
  <si>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</si>
  <si>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</si>
  <si>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</si>
  <si>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</si>
  <si>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</si>
  <si>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</si>
  <si>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</si>
  <si>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</si>
  <si>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</si>
  <si>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</si>
  <si>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Return on Equity (ROE)</t>
  </si>
  <si>
    <t>Average Shareholder Equity</t>
  </si>
  <si>
    <t>Return on Equity</t>
  </si>
  <si>
    <t>ROE - Dupont Equation</t>
  </si>
  <si>
    <t>Revenue</t>
  </si>
  <si>
    <t>Net Profit Margin (A)</t>
  </si>
  <si>
    <t>Average Total Asset</t>
  </si>
  <si>
    <t>Asset Turnover Ratio (B)</t>
  </si>
  <si>
    <t>Equity Multiplier (C)</t>
  </si>
  <si>
    <t>Return on Equity (A*B*C)</t>
  </si>
  <si>
    <t>Return on Asset</t>
  </si>
  <si>
    <t>ROA - Dupont Equation</t>
  </si>
  <si>
    <t>Return on Asset (A*B)</t>
  </si>
  <si>
    <t xml:space="preserve">  INR 403</t>
  </si>
  <si>
    <t xml:space="preserve">   52 Week (High - INR 528 &amp; Low - 390)</t>
  </si>
  <si>
    <t>Dupont Summary</t>
  </si>
  <si>
    <t>Recent Updates</t>
  </si>
  <si>
    <t>What is Altman Z Score?</t>
  </si>
  <si>
    <t>It is a model that measures financial stability and solvency strength of the business</t>
  </si>
  <si>
    <t>The chances of business going bankrupt in the next 12 months</t>
  </si>
  <si>
    <t>Ratio</t>
  </si>
  <si>
    <t>Working Capital/Total Assets</t>
  </si>
  <si>
    <t>Retained Earnings/Total Assets</t>
  </si>
  <si>
    <t>EBIT/Total Assets</t>
  </si>
  <si>
    <t>EBIT(Operating Profit)/Total Assets</t>
  </si>
  <si>
    <t>Market Cap/Long-term Liabilities</t>
  </si>
  <si>
    <t>Sales/Total Assets</t>
  </si>
  <si>
    <t>Weight</t>
  </si>
  <si>
    <t>Less than 1.81</t>
  </si>
  <si>
    <t>1.81 - 3.0</t>
  </si>
  <si>
    <t>More than 3.0</t>
  </si>
  <si>
    <t>Financially Strong</t>
  </si>
  <si>
    <t>Grey Zone</t>
  </si>
  <si>
    <t>Distressed Zone</t>
  </si>
  <si>
    <t>i</t>
  </si>
  <si>
    <t>ii</t>
  </si>
  <si>
    <t>iii</t>
  </si>
  <si>
    <t>iv</t>
  </si>
  <si>
    <t>v</t>
  </si>
  <si>
    <t>Analysis</t>
  </si>
  <si>
    <t>Does the business have a huge portion of total assets as liquidable assets (WC)</t>
  </si>
  <si>
    <t>Infra</t>
  </si>
  <si>
    <t>FMCG</t>
  </si>
  <si>
    <t>Wine</t>
  </si>
  <si>
    <t>Rice</t>
  </si>
  <si>
    <t>Company has high liquid component in the total ssets</t>
  </si>
  <si>
    <t>Retained Earnings are those earnings that left after the shareholders have taken their dividend and rest is left for company for:</t>
  </si>
  <si>
    <t>Expansion</t>
  </si>
  <si>
    <t>Buy-back</t>
  </si>
  <si>
    <t>Reserves for later</t>
  </si>
  <si>
    <t>Profit that I earned solely from the business</t>
  </si>
  <si>
    <t>the internal ability of the business to fight insolvency</t>
  </si>
  <si>
    <t>How much times is the value of the company of the amount that it has to repay in the coming years</t>
  </si>
  <si>
    <t>Working Capital / Total Assets</t>
  </si>
  <si>
    <t>Working Capital</t>
  </si>
  <si>
    <t>Retained Earnings / Total Assets</t>
  </si>
  <si>
    <t>Market Cap / Long term Liabilities</t>
  </si>
  <si>
    <t xml:space="preserve">Market Cap </t>
  </si>
  <si>
    <t>Long Term Liabilities</t>
  </si>
  <si>
    <t>Market Cap/Long term Liabilities</t>
  </si>
  <si>
    <t>Revenue / Total Assets</t>
  </si>
  <si>
    <t>Total Asset Turnover Ratio</t>
  </si>
  <si>
    <t>Altman's Z Score</t>
  </si>
  <si>
    <t>Final Score</t>
  </si>
  <si>
    <t>Financial Stability</t>
  </si>
  <si>
    <t>Altman's Z Score Analysis Summary</t>
  </si>
  <si>
    <t>Investment in group cos/subsid</t>
  </si>
  <si>
    <t>Ratio Analysis</t>
  </si>
  <si>
    <t>Industry Avg</t>
  </si>
  <si>
    <t>Forecasts</t>
  </si>
  <si>
    <t>Post Covid-19 Years</t>
  </si>
  <si>
    <t>Expected Sector EBIT Growth</t>
  </si>
  <si>
    <t>Terminal Growth Rate (GDP)</t>
  </si>
  <si>
    <t>CAPEX</t>
  </si>
  <si>
    <t>Net CAPEX/Reinvestment</t>
  </si>
  <si>
    <t>Sanity Check for Terminal Growth Rate &gt; Sector Growth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</si>
</sst>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 #,##0.00_ ;_ * \-#,##0.00_ ;_ * &quot;-&quot;??_ ;_ @_ "/>
    <numFmt numFmtId="164" formatCode="[$-409]mmm\-yy;@"/>
    <numFmt numFmtId="165" formatCode="_(* #,##0.00_);_(* \(#,##0.00\);_(* &quot;-&quot;??_);_(@_)"/>
    <numFmt numFmtId="166" formatCode="&quot;₹&quot;\ #,##0.0;\(&quot;₹&quot;\ #,##0.0\)"/>
    <numFmt numFmtId="167" formatCode="0.00&quot;x&quot;"/>
    <numFmt numFmtId="168" formatCode="yyyy&quot;A&quot;"/>
    <numFmt numFmtId="169" formatCode="#,##0.0;\(#,##0.0\)"/>
    <numFmt numFmtId="170" formatCode="yyyy&quot;E&quot;"/>
    <numFmt numFmtId="171" formatCode="0.0"/>
    <numFmt numFmtId="172" formatCode="#,##0.0"/>
    <numFmt numFmtId="173" formatCode="0.000000000000000%"/>
    <numFmt numFmtId="174" formatCode="#,##0.0;\(#,##0.0\);\-"/>
    <numFmt numFmtId="175" formatCode="mmm/yy&quot;A&quot;"/>
    <numFmt numFmtId="176" formatCode="mmm/yy&quot;F&quot;"/>
    <numFmt numFmtId="177" formatCode="_ * #,##0.0_ ;_ * \-#,##0.0_ ;_ * &quot;-&quot;??_ ;_ @_ "/>
    <numFmt numFmtId="178" formatCode="0.000"/>
    <numFmt numFmtId="179" formatCode="0.00\x"/>
    <numFmt numFmtId="180" formatCode="&quot;$&quot;#,##0.00"/>
    <numFmt numFmtId="181" formatCode="0.0%"/>
    <numFmt numFmtId="182" formatCode="0.0\x"/>
    <numFmt numFmtId="183" formatCode="0.000\x"/>
    <numFmt numFmtId="184" formatCode="[$-F800]dddd\,\ mmmm\ dd\,\ yyyy"/>
  </numFmts>
  <fonts count="52">
    <font>
      <sz val="11"/>
      <color theme="1"/>
      <name val="Calibri"/>
      <family val="2"/>
    </font>
    <font>
      <sz val="11"/>
      <color theme="1"/>
      <name val="Calibri"/>
      <family val="2"/>
    </font>
    <font>
      <b/>
      <sz val="11"/>
      <color theme="0"/>
      <name val="Calibri"/>
      <family val="2"/>
    </font>
    <font>
      <b/>
      <sz val="11"/>
      <color theme="1"/>
      <name val="Calibri"/>
      <family val="2"/>
    </font>
    <font>
      <sz val="11"/>
      <color theme="0"/>
      <name val="Calibri"/>
      <family val="2"/>
    </font>
    <font>
      <sz val="11"/>
      <color theme="1"/>
      <name val="Calibri"/>
      <family val="2"/>
      <scheme val="minor"/>
    </font>
    <font>
      <b/>
      <sz val="11"/>
      <color theme="1"/>
      <name val="Calibri"/>
      <family val="2"/>
      <scheme val="minor"/>
    </font>
    <font>
      <u/>
      <sz val="11"/>
      <color theme="10"/>
      <name val="Calibri"/>
      <family val="2"/>
    </font>
    <font>
      <sz val="11"/>
      <color theme="0"/>
      <name val="Calibri"/>
      <family val="2"/>
      <scheme val="minor"/>
    </font>
    <font>
      <b/>
      <sz val="11"/>
      <color theme="0"/>
      <name val="Calibri"/>
      <family val="2"/>
      <scheme val="minor"/>
    </font>
    <font>
      <sz val="11"/>
      <name val="Calibri"/>
      <family val="2"/>
      <scheme val="minor"/>
    </font>
    <font>
      <i/>
      <sz val="11"/>
      <color theme="2" tint="-0.249977111117893"/>
      <name val="Calibri"/>
      <family val="2"/>
      <scheme val="minor"/>
    </font>
    <font>
      <b/>
      <sz val="14"/>
      <color theme="0"/>
      <name val="Calibri"/>
      <family val="2"/>
    </font>
    <font>
      <i/>
      <sz val="11"/>
      <color theme="0"/>
      <name val="Calibri"/>
      <family val="2"/>
    </font>
    <font>
      <i/>
      <sz val="10"/>
      <color theme="1"/>
      <name val="Calibri"/>
      <family val="2"/>
    </font>
    <font>
      <vertAlign val="superscript"/>
      <sz val="11"/>
      <color theme="1"/>
      <name val="Calibri"/>
      <family val="2"/>
    </font>
    <font>
      <sz val="11"/>
      <color rgb="FF3333FF"/>
      <name val="calibri"/>
      <family val="2"/>
    </font>
    <font>
      <sz val="11"/>
      <name val="Calibri"/>
      <family val="2"/>
    </font>
    <font>
      <b/>
      <sz val="11"/>
      <color theme="2"/>
      <name val="Calibri"/>
      <family val="2"/>
    </font>
    <font>
      <i/>
      <sz val="11"/>
      <color theme="1"/>
      <name val="Calibri"/>
      <family val="2"/>
    </font>
    <font>
      <b/>
      <sz val="11"/>
      <name val="Calibri"/>
      <family val="2"/>
    </font>
    <font>
      <b/>
      <sz val="16"/>
      <color theme="1"/>
      <name val="calibri"/>
      <family val="2"/>
    </font>
    <font>
      <b/>
      <sz val="11"/>
      <color theme="0"/>
      <name val="Calibri "/>
    </font>
    <font>
      <sz val="11"/>
      <name val="Calibri "/>
    </font>
    <font>
      <sz val="11"/>
      <color theme="1"/>
      <name val="Calibri "/>
    </font>
    <font>
      <b/>
      <sz val="11"/>
      <name val="Calibri "/>
    </font>
    <font>
      <b/>
      <sz val="11"/>
      <color theme="1"/>
      <name val="Calibri "/>
    </font>
    <font>
      <sz val="11"/>
      <color rgb="FF0000FF"/>
      <name val="Calibri"/>
      <family val="2"/>
      <scheme val="minor"/>
    </font>
    <font>
      <i/>
      <sz val="9"/>
      <color theme="2" tint="-0.249977111117893"/>
      <name val="Calibri"/>
      <family val="2"/>
    </font>
    <font>
      <sz val="11"/>
      <color rgb="FF0000FF"/>
      <name val="Calibri"/>
      <family val="2"/>
    </font>
    <font>
      <b/>
      <sz val="11"/>
      <color theme="2" tint="-0.499984740745262"/>
      <name val="Calibri"/>
      <family val="2"/>
    </font>
    <font>
      <i/>
      <sz val="11"/>
      <color theme="2" tint="-0.499984740745262"/>
      <name val="Calibri"/>
      <family val="2"/>
    </font>
    <font>
      <sz val="11"/>
      <color rgb="FF9C6500"/>
      <name val="Calibri"/>
      <family val="2"/>
    </font>
    <font>
      <i/>
      <sz val="11"/>
      <name val="Calibri"/>
      <family val="2"/>
    </font>
    <font>
      <b/>
      <i/>
      <sz val="11"/>
      <color theme="1"/>
      <name val="Calibri"/>
      <family val="2"/>
    </font>
    <font>
      <i/>
      <sz val="11"/>
      <color theme="1"/>
      <name val="Calibri"/>
      <family val="2"/>
      <scheme val="minor"/>
    </font>
    <font>
      <b/>
      <i/>
      <sz val="11"/>
      <color rgb="FF002060"/>
      <name val="Calibri"/>
      <family val="2"/>
    </font>
    <font>
      <i/>
      <sz val="11"/>
      <color theme="2" tint="-9.9978637043366805E-2"/>
      <name val="Calibri"/>
      <family val="2"/>
      <scheme val="minor"/>
    </font>
    <font>
      <i/>
      <sz val="11"/>
      <color theme="0" tint="-0.34998626667073579"/>
      <name val="calibri"/>
      <family val="2"/>
    </font>
    <font>
      <i/>
      <sz val="10"/>
      <color theme="2" tint="-0.249977111117893"/>
      <name val="Calibri"/>
      <family val="2"/>
      <scheme val="minor"/>
    </font>
    <font>
      <i/>
      <sz val="10"/>
      <color theme="2" tint="-0.249977111117893"/>
      <name val="Calibri"/>
      <family val="2"/>
    </font>
    <font>
      <i/>
      <sz val="11"/>
      <color theme="1" tint="0.249977111117893"/>
      <name val="Calibri"/>
      <family val="2"/>
      <scheme val="minor"/>
    </font>
    <font>
      <i/>
      <sz val="11"/>
      <color theme="8" tint="0.39997558519241921"/>
      <name val="Calibri"/>
      <family val="2"/>
    </font>
    <font>
      <b/>
      <vertAlign val="superscript"/>
      <sz val="11"/>
      <color theme="1"/>
      <name val="Calibri"/>
      <family val="2"/>
    </font>
    <font>
      <sz val="12"/>
      <color theme="1"/>
      <name val="calibri"/>
      <family val="2"/>
    </font>
    <font>
      <b/>
      <sz val="12"/>
      <color theme="0"/>
      <name val="calibri"/>
      <family val="2"/>
    </font>
    <font>
      <b/>
      <sz val="22"/>
      <color rgb="FF002060"/>
      <name val="calibri"/>
      <family val="2"/>
    </font>
    <font>
      <b/>
      <sz val="14"/>
      <color rgb="FF002060"/>
      <name val="calibri"/>
      <family val="2"/>
    </font>
    <font>
      <sz val="11"/>
      <color rgb="FF006100"/>
      <name val="Calibri"/>
      <family val="2"/>
    </font>
    <font>
      <sz val="11"/>
      <color rgb="FF9C0006"/>
      <name val="Calibri"/>
      <family val="2"/>
    </font>
    <font>
      <b/>
      <sz val="11"/>
      <color rgb="FF002060"/>
      <name val="Calibri"/>
      <family val="2"/>
    </font>
    <font>
      <i/>
      <sz val="11"/>
      <color theme="1" tint="0.249977111117893"/>
      <name val="Calibri"/>
      <family val="2"/>
    </font>
  </fonts>
  <fills count="19">
    <fill>
      <patternFill patternType="none"/>
    </fill>
    <fill>
      <patternFill patternType="gray125"/>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EB9C"/>
      </patternFill>
    </fill>
    <fill>
      <patternFill patternType="solid">
        <fgColor theme="4" tint="0.79998168889431442"/>
        <bgColor rgb="FFF2F2F2"/>
      </patternFill>
    </fill>
    <fill>
      <patternFill patternType="solid">
        <fgColor theme="0"/>
        <bgColor rgb="FFF2F2F2"/>
      </patternFill>
    </fill>
    <fill>
      <patternFill patternType="solid">
        <fgColor theme="2"/>
        <bgColor indexed="64"/>
      </patternFill>
    </fill>
    <fill>
      <patternFill patternType="solid">
        <fgColor theme="8" tint="0.59999389629810485"/>
        <bgColor indexed="64"/>
      </patternFill>
    </fill>
    <fill>
      <patternFill patternType="solid">
        <fgColor rgb="FFC6EFCE"/>
      </patternFill>
    </fill>
    <fill>
      <patternFill patternType="solid">
        <fgColor rgb="FFFFC7CE"/>
      </patternFill>
    </fill>
  </fills>
  <borders count="23">
    <border>
      <left/>
      <right/>
      <top/>
      <bottom/>
      <diagonal/>
    </border>
    <border>
      <left/>
      <right/>
      <top style="dashed">
        <color auto="1"/>
      </top>
      <bottom style="dashed">
        <color auto="1"/>
      </bottom>
      <diagonal/>
    </border>
    <border>
      <left/>
      <right/>
      <top/>
      <bottom style="thin">
        <color rgb="FF002060"/>
      </bottom>
      <diagonal/>
    </border>
    <border>
      <left/>
      <right/>
      <top style="thin">
        <color rgb="FF002060"/>
      </top>
      <bottom/>
      <diagonal/>
    </border>
    <border>
      <left/>
      <right/>
      <top style="thin">
        <color rgb="FF000000"/>
      </top>
      <bottom/>
      <diagonal/>
    </border>
    <border>
      <left/>
      <right/>
      <top/>
      <bottom style="thin">
        <color rgb="FF000000"/>
      </bottom>
      <diagonal/>
    </border>
    <border>
      <left/>
      <right/>
      <top style="hair">
        <color rgb="FF000000"/>
      </top>
      <bottom/>
      <diagonal/>
    </border>
    <border>
      <left/>
      <right/>
      <top/>
      <bottom style="hair">
        <color rgb="FF000000"/>
      </bottom>
      <diagonal/>
    </border>
    <border>
      <left/>
      <right/>
      <top/>
      <bottom style="thin">
        <color theme="8" tint="-0.499984740745262"/>
      </bottom>
      <diagonal/>
    </border>
    <border>
      <left/>
      <right/>
      <top style="medium">
        <color indexed="64"/>
      </top>
      <bottom style="thin">
        <color indexed="64"/>
      </bottom>
      <diagonal/>
    </border>
    <border>
      <left/>
      <right/>
      <top/>
      <bottom style="medium">
        <color indexed="64"/>
      </bottom>
      <diagonal/>
    </border>
    <border>
      <left/>
      <right/>
      <top style="thin">
        <color indexed="64"/>
      </top>
      <bottom style="thin">
        <color indexed="64"/>
      </bottom>
      <diagonal/>
    </border>
    <border>
      <left/>
      <right/>
      <top style="thin">
        <color auto="1"/>
      </top>
      <bottom/>
      <diagonal/>
    </border>
    <border>
      <left/>
      <right/>
      <top/>
      <bottom style="thin">
        <color auto="1"/>
      </bottom>
      <diagonal/>
    </border>
    <border>
      <left/>
      <right/>
      <top style="hair">
        <color rgb="FF002060"/>
      </top>
      <bottom style="hair">
        <color rgb="FF002060"/>
      </bottom>
      <diagonal/>
    </border>
    <border>
      <left/>
      <right/>
      <top style="thin">
        <color rgb="FF002060"/>
      </top>
      <bottom style="medium">
        <color rgb="FF002060"/>
      </bottom>
      <diagonal/>
    </border>
    <border>
      <left/>
      <right/>
      <top style="hair">
        <color rgb="FF002060"/>
      </top>
      <bottom/>
      <diagonal/>
    </border>
    <border>
      <left/>
      <right/>
      <top style="medium">
        <color rgb="FF002060"/>
      </top>
      <bottom style="hair">
        <color rgb="FF002060"/>
      </bottom>
      <diagonal/>
    </border>
    <border>
      <left/>
      <right/>
      <top style="hair">
        <color rgb="FF002060"/>
      </top>
      <bottom style="medium">
        <color rgb="FF002060"/>
      </bottom>
      <diagonal/>
    </border>
    <border>
      <left/>
      <right/>
      <top style="medium">
        <color rgb="FF002060"/>
      </top>
      <bottom/>
      <diagonal/>
    </border>
    <border>
      <left/>
      <right/>
      <top style="hair">
        <color theme="2" tint="-0.499984740745262"/>
      </top>
      <bottom style="hair">
        <color theme="2" tint="-0.499984740745262"/>
      </bottom>
      <diagonal/>
    </border>
    <border>
      <left/>
      <right/>
      <top/>
      <bottom style="hair">
        <color theme="2" tint="-0.499984740745262"/>
      </bottom>
      <diagonal/>
    </border>
    <border>
      <left/>
      <right/>
      <top/>
      <bottom style="thin">
        <color theme="0" tint="-4.9989318521683403E-2"/>
      </bottom>
      <diagonal/>
    </border>
  </borders>
  <cellStyleXfs count="12">
    <xf numFmtId="0" fontId="0" fillId="0" borderId="0"/>
    <xf numFmtId="9" fontId="1" fillId="0" borderId="0" applyFont="0" applyFill="0" applyBorder="0" applyAlignment="0" applyProtection="0"/>
    <xf numFmtId="43" fontId="5" fillId="0" borderId="0" applyFont="0" applyFill="0" applyBorder="0" applyAlignment="0" applyProtection="0"/>
    <xf numFmtId="0" fontId="7" fillId="0" borderId="0" applyNumberFormat="0" applyFill="0" applyBorder="0" applyAlignment="0" applyProtection="0">
      <alignment vertical="top"/>
      <protection locked="0"/>
    </xf>
    <xf numFmtId="0" fontId="8" fillId="2" borderId="0" applyNumberFormat="0" applyBorder="0" applyAlignment="0" applyProtection="0"/>
    <xf numFmtId="0" fontId="5" fillId="0" borderId="0"/>
    <xf numFmtId="9" fontId="1" fillId="0" borderId="0" applyFont="0" applyFill="0" applyBorder="0" applyAlignment="0" applyProtection="0"/>
    <xf numFmtId="0" fontId="1" fillId="0" borderId="0"/>
    <xf numFmtId="0" fontId="32" fillId="12" borderId="0" applyNumberFormat="0" applyBorder="0" applyAlignment="0" applyProtection="0"/>
    <xf numFmtId="0" fontId="5" fillId="0" borderId="0"/>
    <xf numFmtId="0" fontId="48" fillId="17" borderId="0" applyNumberFormat="0" applyBorder="0" applyAlignment="0" applyProtection="0"/>
    <xf numFmtId="0" fontId="49" fillId="18" borderId="0" applyNumberFormat="0" applyBorder="0" applyAlignment="0" applyProtection="0"/>
  </cellStyleXfs>
  <cellXfs count="333">
    <xf numFmtId="0" fontId="0" fillId="0" borderId="0" xfId="0"/>
    <xf numFmtId="43" fontId="6" fillId="0" borderId="0" xfId="2" applyFont="1" applyBorder="1"/>
    <xf numFmtId="43" fontId="0" fillId="0" borderId="0" xfId="2" applyFont="1" applyBorder="1"/>
    <xf numFmtId="0" fontId="5" fillId="0" borderId="0" xfId="5"/>
    <xf numFmtId="164" fontId="9" fillId="3" borderId="0" xfId="2" applyNumberFormat="1" applyFont="1" applyFill="1" applyBorder="1"/>
    <xf numFmtId="164" fontId="9" fillId="3" borderId="0" xfId="5" applyNumberFormat="1" applyFont="1" applyFill="1" applyAlignment="1">
      <alignment horizontal="center"/>
    </xf>
    <xf numFmtId="164" fontId="10" fillId="0" borderId="0" xfId="2" applyNumberFormat="1" applyFont="1" applyFill="1" applyBorder="1"/>
    <xf numFmtId="43" fontId="5" fillId="0" borderId="0" xfId="2" applyFont="1" applyBorder="1"/>
    <xf numFmtId="165" fontId="0" fillId="0" borderId="0" xfId="2" applyNumberFormat="1" applyFont="1" applyBorder="1"/>
    <xf numFmtId="0" fontId="2" fillId="4" borderId="0" xfId="0" applyFont="1" applyFill="1"/>
    <xf numFmtId="17" fontId="2" fillId="4" borderId="0" xfId="0" applyNumberFormat="1" applyFont="1" applyFill="1" applyAlignment="1">
      <alignment horizontal="right"/>
    </xf>
    <xf numFmtId="0" fontId="6" fillId="5" borderId="0" xfId="0" applyFont="1" applyFill="1"/>
    <xf numFmtId="0" fontId="11" fillId="0" borderId="0" xfId="0" applyFont="1"/>
    <xf numFmtId="0" fontId="6" fillId="0" borderId="1" xfId="0" applyFont="1" applyBorder="1"/>
    <xf numFmtId="0" fontId="11" fillId="0" borderId="0" xfId="0" applyFont="1" applyAlignment="1">
      <alignment horizontal="right"/>
    </xf>
    <xf numFmtId="10" fontId="11" fillId="0" borderId="0" xfId="1" applyNumberFormat="1" applyFont="1" applyAlignment="1">
      <alignment horizontal="right"/>
    </xf>
    <xf numFmtId="0" fontId="11" fillId="0" borderId="0" xfId="0" applyFont="1" applyAlignment="1">
      <alignment horizontal="center"/>
    </xf>
    <xf numFmtId="0" fontId="6" fillId="0" borderId="0" xfId="0" applyFont="1"/>
    <xf numFmtId="0" fontId="12" fillId="4" borderId="0" xfId="5" applyFont="1" applyFill="1"/>
    <xf numFmtId="0" fontId="4" fillId="4" borderId="0" xfId="5" applyFont="1" applyFill="1"/>
    <xf numFmtId="43" fontId="13" fillId="4" borderId="0" xfId="5" applyNumberFormat="1" applyFont="1" applyFill="1"/>
    <xf numFmtId="43" fontId="3" fillId="0" borderId="0" xfId="5" applyNumberFormat="1" applyFont="1"/>
    <xf numFmtId="10" fontId="3" fillId="0" borderId="0" xfId="6" applyNumberFormat="1" applyFont="1"/>
    <xf numFmtId="43" fontId="5" fillId="0" borderId="0" xfId="5" applyNumberFormat="1"/>
    <xf numFmtId="10" fontId="0" fillId="0" borderId="0" xfId="6" applyNumberFormat="1" applyFont="1"/>
    <xf numFmtId="43" fontId="0" fillId="6" borderId="0" xfId="6" applyNumberFormat="1" applyFont="1" applyFill="1"/>
    <xf numFmtId="0" fontId="3" fillId="0" borderId="0" xfId="5" applyFont="1"/>
    <xf numFmtId="17" fontId="3" fillId="0" borderId="0" xfId="5" applyNumberFormat="1" applyFont="1"/>
    <xf numFmtId="10" fontId="3" fillId="0" borderId="0" xfId="6" applyNumberFormat="1" applyFont="1" applyBorder="1"/>
    <xf numFmtId="10" fontId="0" fillId="0" borderId="0" xfId="0" applyNumberFormat="1"/>
    <xf numFmtId="0" fontId="8" fillId="4" borderId="0" xfId="0" applyFont="1" applyFill="1" applyAlignment="1">
      <alignment horizontal="left"/>
    </xf>
    <xf numFmtId="0" fontId="8" fillId="4" borderId="0" xfId="0" applyFont="1" applyFill="1" applyAlignment="1">
      <alignment horizontal="right"/>
    </xf>
    <xf numFmtId="0" fontId="0" fillId="0" borderId="0" xfId="0" applyAlignment="1">
      <alignment horizontal="left"/>
    </xf>
    <xf numFmtId="168" fontId="0" fillId="0" borderId="0" xfId="0" applyNumberFormat="1"/>
    <xf numFmtId="169" fontId="0" fillId="0" borderId="0" xfId="0" applyNumberFormat="1"/>
    <xf numFmtId="0" fontId="0" fillId="0" borderId="0" xfId="0" applyAlignment="1">
      <alignment horizontal="right"/>
    </xf>
    <xf numFmtId="10" fontId="0" fillId="0" borderId="0" xfId="1" applyNumberFormat="1" applyFont="1"/>
    <xf numFmtId="10" fontId="0" fillId="0" borderId="0" xfId="1" applyNumberFormat="1" applyFont="1" applyAlignment="1"/>
    <xf numFmtId="171" fontId="0" fillId="0" borderId="0" xfId="0" applyNumberFormat="1"/>
    <xf numFmtId="0" fontId="14" fillId="0" borderId="0" xfId="5" applyFont="1"/>
    <xf numFmtId="0" fontId="1" fillId="0" borderId="0" xfId="5" applyFont="1"/>
    <xf numFmtId="0" fontId="1" fillId="0" borderId="0" xfId="5" applyFont="1" applyAlignment="1">
      <alignment vertical="top"/>
    </xf>
    <xf numFmtId="0" fontId="1" fillId="0" borderId="0" xfId="5" applyFont="1" applyAlignment="1">
      <alignment horizontal="right" vertical="top"/>
    </xf>
    <xf numFmtId="0" fontId="16" fillId="0" borderId="0" xfId="5" applyFont="1" applyAlignment="1">
      <alignment horizontal="left"/>
    </xf>
    <xf numFmtId="0" fontId="16" fillId="0" borderId="0" xfId="5" applyFont="1" applyAlignment="1">
      <alignment horizontal="right"/>
    </xf>
    <xf numFmtId="172" fontId="17" fillId="0" borderId="0" xfId="5" applyNumberFormat="1" applyFont="1"/>
    <xf numFmtId="10" fontId="16" fillId="0" borderId="0" xfId="5" applyNumberFormat="1" applyFont="1" applyAlignment="1">
      <alignment vertical="top"/>
    </xf>
    <xf numFmtId="10" fontId="17" fillId="6" borderId="0" xfId="5" applyNumberFormat="1" applyFont="1" applyFill="1" applyAlignment="1">
      <alignment vertical="top"/>
    </xf>
    <xf numFmtId="2" fontId="17" fillId="0" borderId="0" xfId="5" applyNumberFormat="1" applyFont="1"/>
    <xf numFmtId="2" fontId="5" fillId="6" borderId="0" xfId="5" applyNumberFormat="1" applyFill="1"/>
    <xf numFmtId="0" fontId="16" fillId="0" borderId="0" xfId="5" applyFont="1"/>
    <xf numFmtId="0" fontId="3" fillId="0" borderId="4" xfId="5" applyFont="1" applyBorder="1"/>
    <xf numFmtId="10" fontId="1" fillId="0" borderId="4" xfId="5" applyNumberFormat="1" applyFont="1" applyBorder="1"/>
    <xf numFmtId="0" fontId="3" fillId="0" borderId="5" xfId="5" applyFont="1" applyBorder="1"/>
    <xf numFmtId="10" fontId="1" fillId="0" borderId="5" xfId="5" applyNumberFormat="1" applyFont="1" applyBorder="1"/>
    <xf numFmtId="2" fontId="1" fillId="0" borderId="0" xfId="5" applyNumberFormat="1" applyFont="1"/>
    <xf numFmtId="10" fontId="1" fillId="0" borderId="0" xfId="5" applyNumberFormat="1" applyFont="1"/>
    <xf numFmtId="10" fontId="16" fillId="0" borderId="0" xfId="5" applyNumberFormat="1" applyFont="1"/>
    <xf numFmtId="10" fontId="17" fillId="0" borderId="0" xfId="5" applyNumberFormat="1" applyFont="1"/>
    <xf numFmtId="0" fontId="1" fillId="0" borderId="6" xfId="5" applyFont="1" applyBorder="1"/>
    <xf numFmtId="0" fontId="3" fillId="0" borderId="5" xfId="5" applyFont="1" applyBorder="1" applyAlignment="1">
      <alignment horizontal="right"/>
    </xf>
    <xf numFmtId="172" fontId="1" fillId="0" borderId="6" xfId="5" applyNumberFormat="1" applyFont="1" applyBorder="1"/>
    <xf numFmtId="10" fontId="1" fillId="0" borderId="6" xfId="5" applyNumberFormat="1" applyFont="1" applyBorder="1"/>
    <xf numFmtId="2" fontId="5" fillId="0" borderId="0" xfId="5" applyNumberFormat="1"/>
    <xf numFmtId="0" fontId="3" fillId="0" borderId="8" xfId="5" applyFont="1" applyBorder="1" applyAlignment="1">
      <alignment horizontal="left"/>
    </xf>
    <xf numFmtId="0" fontId="3" fillId="0" borderId="8" xfId="5" applyFont="1" applyBorder="1" applyAlignment="1">
      <alignment horizontal="right"/>
    </xf>
    <xf numFmtId="0" fontId="1" fillId="0" borderId="0" xfId="5" applyFont="1" applyAlignment="1">
      <alignment horizontal="left"/>
    </xf>
    <xf numFmtId="172" fontId="5" fillId="0" borderId="0" xfId="5" applyNumberFormat="1"/>
    <xf numFmtId="0" fontId="5" fillId="6" borderId="0" xfId="5" applyFill="1"/>
    <xf numFmtId="0" fontId="3" fillId="6" borderId="0" xfId="5" applyFont="1" applyFill="1"/>
    <xf numFmtId="2" fontId="3" fillId="6" borderId="0" xfId="5" applyNumberFormat="1" applyFont="1" applyFill="1"/>
    <xf numFmtId="0" fontId="0" fillId="0" borderId="10" xfId="0" applyBorder="1"/>
    <xf numFmtId="14" fontId="0" fillId="0" borderId="0" xfId="0" applyNumberFormat="1"/>
    <xf numFmtId="4" fontId="0" fillId="0" borderId="0" xfId="0" applyNumberFormat="1"/>
    <xf numFmtId="0" fontId="18" fillId="8" borderId="0" xfId="0" applyFont="1" applyFill="1"/>
    <xf numFmtId="0" fontId="19" fillId="0" borderId="9" xfId="0" applyFont="1" applyBorder="1" applyAlignment="1">
      <alignment horizontal="center"/>
    </xf>
    <xf numFmtId="0" fontId="19" fillId="0" borderId="9" xfId="0" applyFont="1" applyBorder="1" applyAlignment="1">
      <alignment horizontal="centerContinuous"/>
    </xf>
    <xf numFmtId="0" fontId="4" fillId="7" borderId="0" xfId="0" applyFont="1" applyFill="1"/>
    <xf numFmtId="0" fontId="2" fillId="7" borderId="0" xfId="0" applyFont="1" applyFill="1" applyAlignment="1">
      <alignment horizontal="center"/>
    </xf>
    <xf numFmtId="10" fontId="5" fillId="0" borderId="0" xfId="5" applyNumberFormat="1"/>
    <xf numFmtId="10" fontId="5" fillId="0" borderId="0" xfId="5" applyNumberFormat="1" applyAlignment="1">
      <alignment horizontal="right"/>
    </xf>
    <xf numFmtId="10" fontId="3" fillId="6" borderId="0" xfId="5" applyNumberFormat="1" applyFont="1" applyFill="1"/>
    <xf numFmtId="2" fontId="17" fillId="0" borderId="12" xfId="5" applyNumberFormat="1" applyFont="1" applyBorder="1"/>
    <xf numFmtId="2" fontId="17" fillId="0" borderId="13" xfId="5" applyNumberFormat="1" applyFont="1" applyBorder="1"/>
    <xf numFmtId="10" fontId="0" fillId="0" borderId="6" xfId="5" applyNumberFormat="1" applyFont="1" applyBorder="1"/>
    <xf numFmtId="10" fontId="3" fillId="0" borderId="7" xfId="5" applyNumberFormat="1" applyFont="1" applyBorder="1"/>
    <xf numFmtId="0" fontId="3" fillId="0" borderId="7" xfId="5" applyFont="1" applyBorder="1"/>
    <xf numFmtId="17" fontId="0" fillId="0" borderId="0" xfId="0" applyNumberFormat="1"/>
    <xf numFmtId="3" fontId="0" fillId="0" borderId="0" xfId="0" applyNumberFormat="1"/>
    <xf numFmtId="0" fontId="3" fillId="0" borderId="0" xfId="0" applyFont="1"/>
    <xf numFmtId="3" fontId="3" fillId="0" borderId="0" xfId="0" applyNumberFormat="1" applyFont="1"/>
    <xf numFmtId="17" fontId="3" fillId="0" borderId="0" xfId="0" applyNumberFormat="1" applyFont="1"/>
    <xf numFmtId="3" fontId="3" fillId="0" borderId="12" xfId="0" applyNumberFormat="1" applyFont="1" applyBorder="1"/>
    <xf numFmtId="0" fontId="3" fillId="0" borderId="11" xfId="0" applyFont="1" applyBorder="1"/>
    <xf numFmtId="3" fontId="3" fillId="0" borderId="11" xfId="0" applyNumberFormat="1" applyFont="1" applyBorder="1"/>
    <xf numFmtId="17" fontId="2" fillId="7" borderId="0" xfId="0" applyNumberFormat="1" applyFont="1" applyFill="1"/>
    <xf numFmtId="17" fontId="4" fillId="7" borderId="0" xfId="0" applyNumberFormat="1" applyFont="1" applyFill="1"/>
    <xf numFmtId="0" fontId="2" fillId="4" borderId="0" xfId="5" applyFont="1" applyFill="1"/>
    <xf numFmtId="17" fontId="2" fillId="4" borderId="0" xfId="5" applyNumberFormat="1" applyFont="1" applyFill="1"/>
    <xf numFmtId="0" fontId="5" fillId="0" borderId="14" xfId="5" applyBorder="1"/>
    <xf numFmtId="174" fontId="5" fillId="0" borderId="14" xfId="5" applyNumberFormat="1" applyBorder="1"/>
    <xf numFmtId="174" fontId="5" fillId="0" borderId="0" xfId="5" applyNumberFormat="1"/>
    <xf numFmtId="0" fontId="3" fillId="0" borderId="3" xfId="5" applyFont="1" applyBorder="1"/>
    <xf numFmtId="0" fontId="5" fillId="0" borderId="3" xfId="5" applyBorder="1"/>
    <xf numFmtId="174" fontId="3" fillId="0" borderId="3" xfId="5" applyNumberFormat="1" applyFont="1" applyBorder="1"/>
    <xf numFmtId="0" fontId="3" fillId="0" borderId="15" xfId="5" applyFont="1" applyBorder="1"/>
    <xf numFmtId="174" fontId="3" fillId="0" borderId="15" xfId="5" applyNumberFormat="1" applyFont="1" applyBorder="1"/>
    <xf numFmtId="174" fontId="3" fillId="0" borderId="0" xfId="5" applyNumberFormat="1" applyFont="1"/>
    <xf numFmtId="0" fontId="5" fillId="0" borderId="15" xfId="5" applyBorder="1"/>
    <xf numFmtId="10" fontId="3" fillId="0" borderId="15" xfId="6" applyNumberFormat="1" applyFont="1" applyBorder="1"/>
    <xf numFmtId="10" fontId="16" fillId="0" borderId="14" xfId="5" applyNumberFormat="1" applyFont="1" applyBorder="1"/>
    <xf numFmtId="174" fontId="17" fillId="0" borderId="14" xfId="5" applyNumberFormat="1" applyFont="1" applyBorder="1"/>
    <xf numFmtId="3" fontId="5" fillId="0" borderId="0" xfId="5" applyNumberFormat="1"/>
    <xf numFmtId="10" fontId="5" fillId="0" borderId="14" xfId="5" applyNumberFormat="1" applyBorder="1"/>
    <xf numFmtId="10" fontId="3" fillId="0" borderId="15" xfId="5" applyNumberFormat="1" applyFont="1" applyBorder="1"/>
    <xf numFmtId="173" fontId="5" fillId="0" borderId="0" xfId="5" applyNumberFormat="1"/>
    <xf numFmtId="0" fontId="6" fillId="0" borderId="0" xfId="0" applyFont="1" applyAlignment="1">
      <alignment horizontal="right"/>
    </xf>
    <xf numFmtId="3" fontId="0" fillId="0" borderId="0" xfId="0" applyNumberFormat="1" applyAlignment="1">
      <alignment horizontal="right"/>
    </xf>
    <xf numFmtId="0" fontId="3" fillId="0" borderId="12" xfId="0" applyFont="1" applyBorder="1"/>
    <xf numFmtId="17" fontId="20" fillId="9" borderId="0" xfId="0" applyNumberFormat="1" applyFont="1" applyFill="1"/>
    <xf numFmtId="0" fontId="5" fillId="4" borderId="0" xfId="5" applyFill="1"/>
    <xf numFmtId="175" fontId="2" fillId="4" borderId="0" xfId="5" applyNumberFormat="1" applyFont="1" applyFill="1"/>
    <xf numFmtId="176" fontId="2" fillId="4" borderId="0" xfId="5" applyNumberFormat="1" applyFont="1" applyFill="1"/>
    <xf numFmtId="177" fontId="5" fillId="6" borderId="14" xfId="5" applyNumberFormat="1" applyFill="1" applyBorder="1"/>
    <xf numFmtId="177" fontId="5" fillId="0" borderId="14" xfId="5" applyNumberFormat="1" applyBorder="1"/>
    <xf numFmtId="10" fontId="16" fillId="6" borderId="14" xfId="5" applyNumberFormat="1" applyFont="1" applyFill="1" applyBorder="1"/>
    <xf numFmtId="43" fontId="5" fillId="6" borderId="14" xfId="5" applyNumberFormat="1" applyFill="1" applyBorder="1"/>
    <xf numFmtId="43" fontId="5" fillId="0" borderId="14" xfId="5" applyNumberFormat="1" applyBorder="1"/>
    <xf numFmtId="10" fontId="5" fillId="6" borderId="14" xfId="5" applyNumberFormat="1" applyFill="1" applyBorder="1"/>
    <xf numFmtId="0" fontId="5" fillId="6" borderId="14" xfId="5" applyFill="1" applyBorder="1"/>
    <xf numFmtId="0" fontId="16" fillId="0" borderId="14" xfId="5" applyFont="1" applyBorder="1"/>
    <xf numFmtId="178" fontId="5" fillId="0" borderId="14" xfId="5" applyNumberFormat="1" applyBorder="1"/>
    <xf numFmtId="0" fontId="3" fillId="6" borderId="15" xfId="5" applyFont="1" applyFill="1" applyBorder="1"/>
    <xf numFmtId="43" fontId="3" fillId="0" borderId="15" xfId="5" applyNumberFormat="1" applyFont="1" applyBorder="1"/>
    <xf numFmtId="10" fontId="16" fillId="6" borderId="0" xfId="5" applyNumberFormat="1" applyFont="1" applyFill="1"/>
    <xf numFmtId="43" fontId="4" fillId="0" borderId="0" xfId="5" applyNumberFormat="1" applyFont="1"/>
    <xf numFmtId="9" fontId="3" fillId="0" borderId="0" xfId="5" applyNumberFormat="1" applyFont="1"/>
    <xf numFmtId="43" fontId="1" fillId="0" borderId="0" xfId="5" applyNumberFormat="1" applyFont="1"/>
    <xf numFmtId="179" fontId="0" fillId="0" borderId="0" xfId="6" applyNumberFormat="1" applyFont="1" applyFill="1"/>
    <xf numFmtId="0" fontId="21" fillId="0" borderId="0" xfId="0" applyFont="1"/>
    <xf numFmtId="0" fontId="22" fillId="4" borderId="0" xfId="5" applyFont="1" applyFill="1" applyAlignment="1">
      <alignment horizontal="left" wrapText="1"/>
    </xf>
    <xf numFmtId="0" fontId="22" fillId="4" borderId="0" xfId="0" applyFont="1" applyFill="1" applyAlignment="1">
      <alignment horizontal="left" wrapText="1"/>
    </xf>
    <xf numFmtId="0" fontId="23" fillId="0" borderId="14" xfId="5" applyFont="1" applyBorder="1"/>
    <xf numFmtId="0" fontId="23" fillId="0" borderId="14" xfId="5" applyFont="1" applyBorder="1" applyAlignment="1">
      <alignment horizontal="center"/>
    </xf>
    <xf numFmtId="180" fontId="23" fillId="0" borderId="14" xfId="5" applyNumberFormat="1" applyFont="1" applyBorder="1" applyAlignment="1">
      <alignment horizontal="left"/>
    </xf>
    <xf numFmtId="10" fontId="23" fillId="0" borderId="14" xfId="5" applyNumberFormat="1" applyFont="1" applyBorder="1" applyAlignment="1">
      <alignment horizontal="left"/>
    </xf>
    <xf numFmtId="2" fontId="23" fillId="0" borderId="14" xfId="5" applyNumberFormat="1" applyFont="1" applyBorder="1" applyAlignment="1">
      <alignment horizontal="left"/>
    </xf>
    <xf numFmtId="10" fontId="24" fillId="0" borderId="14" xfId="1" applyNumberFormat="1" applyFont="1" applyFill="1" applyBorder="1" applyAlignment="1">
      <alignment horizontal="left"/>
    </xf>
    <xf numFmtId="10" fontId="24" fillId="0" borderId="14" xfId="1" applyNumberFormat="1" applyFont="1" applyBorder="1" applyAlignment="1">
      <alignment horizontal="left"/>
    </xf>
    <xf numFmtId="0" fontId="23" fillId="0" borderId="16" xfId="5" applyFont="1" applyBorder="1"/>
    <xf numFmtId="0" fontId="23" fillId="0" borderId="16" xfId="5" applyFont="1" applyBorder="1" applyAlignment="1">
      <alignment horizontal="center"/>
    </xf>
    <xf numFmtId="180" fontId="23" fillId="0" borderId="16" xfId="5" applyNumberFormat="1" applyFont="1" applyBorder="1" applyAlignment="1">
      <alignment horizontal="left"/>
    </xf>
    <xf numFmtId="10" fontId="23" fillId="0" borderId="16" xfId="5" applyNumberFormat="1" applyFont="1" applyBorder="1" applyAlignment="1">
      <alignment horizontal="left"/>
    </xf>
    <xf numFmtId="2" fontId="23" fillId="0" borderId="16" xfId="5" applyNumberFormat="1" applyFont="1" applyBorder="1" applyAlignment="1">
      <alignment horizontal="left"/>
    </xf>
    <xf numFmtId="10" fontId="24" fillId="0" borderId="16" xfId="1" applyNumberFormat="1" applyFont="1" applyFill="1" applyBorder="1" applyAlignment="1">
      <alignment horizontal="left"/>
    </xf>
    <xf numFmtId="10" fontId="24" fillId="0" borderId="16" xfId="1" applyNumberFormat="1" applyFont="1" applyBorder="1" applyAlignment="1">
      <alignment horizontal="left"/>
    </xf>
    <xf numFmtId="0" fontId="25" fillId="0" borderId="17" xfId="5" applyFont="1" applyBorder="1"/>
    <xf numFmtId="0" fontId="25" fillId="0" borderId="17" xfId="5" applyFont="1" applyBorder="1" applyAlignment="1">
      <alignment horizontal="center"/>
    </xf>
    <xf numFmtId="180" fontId="25" fillId="0" borderId="17" xfId="5" applyNumberFormat="1" applyFont="1" applyBorder="1" applyAlignment="1">
      <alignment horizontal="left"/>
    </xf>
    <xf numFmtId="10" fontId="25" fillId="0" borderId="17" xfId="5" applyNumberFormat="1" applyFont="1" applyBorder="1" applyAlignment="1">
      <alignment horizontal="left"/>
    </xf>
    <xf numFmtId="2" fontId="25" fillId="0" borderId="17" xfId="5" applyNumberFormat="1" applyFont="1" applyBorder="1" applyAlignment="1">
      <alignment horizontal="left"/>
    </xf>
    <xf numFmtId="10" fontId="26" fillId="0" borderId="17" xfId="1" applyNumberFormat="1" applyFont="1" applyFill="1" applyBorder="1" applyAlignment="1">
      <alignment horizontal="left"/>
    </xf>
    <xf numFmtId="10" fontId="26" fillId="0" borderId="17" xfId="1" applyNumberFormat="1" applyFont="1" applyBorder="1" applyAlignment="1">
      <alignment horizontal="left"/>
    </xf>
    <xf numFmtId="0" fontId="25" fillId="0" borderId="18" xfId="5" applyFont="1" applyBorder="1"/>
    <xf numFmtId="0" fontId="25" fillId="0" borderId="18" xfId="5" applyFont="1" applyBorder="1" applyAlignment="1">
      <alignment horizontal="center"/>
    </xf>
    <xf numFmtId="180" fontId="25" fillId="0" borderId="18" xfId="5" applyNumberFormat="1" applyFont="1" applyBorder="1" applyAlignment="1">
      <alignment horizontal="left"/>
    </xf>
    <xf numFmtId="10" fontId="25" fillId="0" borderId="18" xfId="5" applyNumberFormat="1" applyFont="1" applyBorder="1" applyAlignment="1">
      <alignment horizontal="left"/>
    </xf>
    <xf numFmtId="2" fontId="25" fillId="0" borderId="18" xfId="5" applyNumberFormat="1" applyFont="1" applyBorder="1" applyAlignment="1">
      <alignment horizontal="left"/>
    </xf>
    <xf numFmtId="10" fontId="26" fillId="0" borderId="18" xfId="1" applyNumberFormat="1" applyFont="1" applyFill="1" applyBorder="1" applyAlignment="1">
      <alignment horizontal="left"/>
    </xf>
    <xf numFmtId="10" fontId="26" fillId="0" borderId="18" xfId="1" applyNumberFormat="1" applyFont="1" applyBorder="1" applyAlignment="1">
      <alignment horizontal="left"/>
    </xf>
    <xf numFmtId="0" fontId="11" fillId="0" borderId="0" xfId="5" applyFont="1"/>
    <xf numFmtId="0" fontId="27" fillId="0" borderId="0" xfId="5" applyFont="1"/>
    <xf numFmtId="0" fontId="1" fillId="0" borderId="0" xfId="7" applyAlignment="1">
      <alignment wrapText="1"/>
    </xf>
    <xf numFmtId="0" fontId="1" fillId="0" borderId="0" xfId="7"/>
    <xf numFmtId="0" fontId="2" fillId="4" borderId="0" xfId="7" applyFont="1" applyFill="1"/>
    <xf numFmtId="0" fontId="1" fillId="4" borderId="0" xfId="7" applyFill="1"/>
    <xf numFmtId="0" fontId="28" fillId="0" borderId="0" xfId="7" applyFont="1" applyAlignment="1">
      <alignment vertical="center"/>
    </xf>
    <xf numFmtId="177" fontId="5" fillId="0" borderId="0" xfId="5" applyNumberFormat="1"/>
    <xf numFmtId="171" fontId="29" fillId="0" borderId="0" xfId="7" applyNumberFormat="1" applyFont="1"/>
    <xf numFmtId="171" fontId="1" fillId="0" borderId="0" xfId="7" applyNumberFormat="1"/>
    <xf numFmtId="0" fontId="3" fillId="0" borderId="0" xfId="7" applyFont="1" applyAlignment="1">
      <alignment horizontal="center"/>
    </xf>
    <xf numFmtId="0" fontId="3" fillId="0" borderId="0" xfId="7" applyFont="1"/>
    <xf numFmtId="17" fontId="2" fillId="4" borderId="0" xfId="0" applyNumberFormat="1" applyFont="1" applyFill="1" applyAlignment="1">
      <alignment horizontal="center"/>
    </xf>
    <xf numFmtId="0" fontId="30" fillId="0" borderId="0" xfId="0" applyFont="1"/>
    <xf numFmtId="43" fontId="6" fillId="6" borderId="0" xfId="5" applyNumberFormat="1" applyFont="1" applyFill="1"/>
    <xf numFmtId="9" fontId="29" fillId="0" borderId="0" xfId="1" applyFont="1"/>
    <xf numFmtId="10" fontId="19" fillId="11" borderId="4" xfId="5" applyNumberFormat="1" applyFont="1" applyFill="1" applyBorder="1"/>
    <xf numFmtId="10" fontId="33" fillId="11" borderId="0" xfId="5" applyNumberFormat="1" applyFont="1" applyFill="1"/>
    <xf numFmtId="10" fontId="19" fillId="13" borderId="0" xfId="5" applyNumberFormat="1" applyFont="1" applyFill="1"/>
    <xf numFmtId="0" fontId="0" fillId="0" borderId="6" xfId="5" applyFont="1" applyBorder="1"/>
    <xf numFmtId="0" fontId="0" fillId="0" borderId="0" xfId="5" applyFont="1"/>
    <xf numFmtId="0" fontId="31" fillId="0" borderId="0" xfId="5" applyFont="1"/>
    <xf numFmtId="2" fontId="19" fillId="10" borderId="6" xfId="5" applyNumberFormat="1" applyFont="1" applyFill="1" applyBorder="1"/>
    <xf numFmtId="2" fontId="19" fillId="10" borderId="0" xfId="5" applyNumberFormat="1" applyFont="1" applyFill="1"/>
    <xf numFmtId="10" fontId="3" fillId="14" borderId="6" xfId="5" applyNumberFormat="1" applyFont="1" applyFill="1" applyBorder="1"/>
    <xf numFmtId="10" fontId="27" fillId="0" borderId="0" xfId="5" applyNumberFormat="1" applyFont="1"/>
    <xf numFmtId="10" fontId="29" fillId="0" borderId="0" xfId="1" applyNumberFormat="1" applyFont="1"/>
    <xf numFmtId="10" fontId="19" fillId="11" borderId="0" xfId="5" applyNumberFormat="1" applyFont="1" applyFill="1"/>
    <xf numFmtId="10" fontId="34" fillId="13" borderId="0" xfId="5" applyNumberFormat="1" applyFont="1" applyFill="1"/>
    <xf numFmtId="10" fontId="3" fillId="14" borderId="0" xfId="5" applyNumberFormat="1" applyFont="1" applyFill="1"/>
    <xf numFmtId="177" fontId="36" fillId="5" borderId="0" xfId="8" applyNumberFormat="1" applyFont="1" applyFill="1"/>
    <xf numFmtId="10" fontId="34" fillId="0" borderId="0" xfId="5" applyNumberFormat="1" applyFont="1"/>
    <xf numFmtId="0" fontId="37" fillId="0" borderId="0" xfId="5" applyFont="1"/>
    <xf numFmtId="0" fontId="38" fillId="0" borderId="0" xfId="5" applyFont="1"/>
    <xf numFmtId="0" fontId="35" fillId="9" borderId="14" xfId="5" applyFont="1" applyFill="1" applyBorder="1"/>
    <xf numFmtId="0" fontId="35" fillId="9" borderId="0" xfId="5" applyFont="1" applyFill="1"/>
    <xf numFmtId="174" fontId="35" fillId="9" borderId="14" xfId="5" applyNumberFormat="1" applyFont="1" applyFill="1" applyBorder="1"/>
    <xf numFmtId="171" fontId="17" fillId="9" borderId="0" xfId="7" applyNumberFormat="1" applyFont="1" applyFill="1"/>
    <xf numFmtId="171" fontId="17" fillId="0" borderId="0" xfId="7" applyNumberFormat="1" applyFont="1"/>
    <xf numFmtId="181" fontId="3" fillId="0" borderId="0" xfId="5" applyNumberFormat="1" applyFont="1"/>
    <xf numFmtId="0" fontId="6" fillId="6" borderId="0" xfId="5" applyFont="1" applyFill="1"/>
    <xf numFmtId="0" fontId="39" fillId="0" borderId="14" xfId="5" applyFont="1" applyBorder="1" applyAlignment="1">
      <alignment horizontal="center"/>
    </xf>
    <xf numFmtId="0" fontId="39" fillId="0" borderId="0" xfId="5" applyFont="1" applyAlignment="1">
      <alignment horizontal="center"/>
    </xf>
    <xf numFmtId="0" fontId="40" fillId="0" borderId="15" xfId="5" applyFont="1" applyBorder="1" applyAlignment="1">
      <alignment horizontal="center"/>
    </xf>
    <xf numFmtId="0" fontId="5" fillId="15" borderId="0" xfId="5" applyFill="1"/>
    <xf numFmtId="0" fontId="6" fillId="15" borderId="0" xfId="5" applyFont="1" applyFill="1"/>
    <xf numFmtId="0" fontId="41" fillId="15" borderId="0" xfId="5" applyFont="1" applyFill="1" applyAlignment="1">
      <alignment horizontal="right"/>
    </xf>
    <xf numFmtId="10" fontId="17" fillId="6" borderId="0" xfId="5" applyNumberFormat="1" applyFont="1" applyFill="1"/>
    <xf numFmtId="10" fontId="5" fillId="6" borderId="0" xfId="5" applyNumberFormat="1" applyFill="1"/>
    <xf numFmtId="0" fontId="42" fillId="4" borderId="0" xfId="5" applyFont="1" applyFill="1"/>
    <xf numFmtId="0" fontId="3" fillId="0" borderId="2" xfId="5" applyFont="1" applyBorder="1" applyAlignment="1">
      <alignment vertical="top"/>
    </xf>
    <xf numFmtId="0" fontId="3" fillId="0" borderId="2" xfId="5" applyFont="1" applyBorder="1" applyAlignment="1">
      <alignment horizontal="right" vertical="top"/>
    </xf>
    <xf numFmtId="0" fontId="0" fillId="16" borderId="10" xfId="0" applyFill="1" applyBorder="1"/>
    <xf numFmtId="0" fontId="5" fillId="16" borderId="0" xfId="5" applyFill="1"/>
    <xf numFmtId="2" fontId="5" fillId="16" borderId="0" xfId="5" applyNumberFormat="1" applyFill="1"/>
    <xf numFmtId="0" fontId="2" fillId="4" borderId="0" xfId="0" applyFont="1" applyFill="1" applyAlignment="1">
      <alignment horizontal="right"/>
    </xf>
    <xf numFmtId="0" fontId="5" fillId="0" borderId="0" xfId="9"/>
    <xf numFmtId="0" fontId="0" fillId="0" borderId="0" xfId="0" applyAlignment="1">
      <alignment wrapText="1"/>
    </xf>
    <xf numFmtId="172" fontId="0" fillId="0" borderId="0" xfId="0" applyNumberFormat="1"/>
    <xf numFmtId="0" fontId="0" fillId="4" borderId="0" xfId="0" applyFill="1"/>
    <xf numFmtId="0" fontId="0" fillId="0" borderId="19" xfId="0" applyBorder="1" applyAlignment="1">
      <alignment wrapText="1"/>
    </xf>
    <xf numFmtId="0" fontId="0" fillId="0" borderId="19" xfId="0" applyBorder="1"/>
    <xf numFmtId="43" fontId="46" fillId="0" borderId="0" xfId="0" applyNumberFormat="1" applyFont="1" applyAlignment="1">
      <alignment horizontal="left"/>
    </xf>
    <xf numFmtId="0" fontId="47" fillId="0" borderId="0" xfId="0" applyFont="1" applyAlignment="1">
      <alignment horizontal="left"/>
    </xf>
    <xf numFmtId="0" fontId="47" fillId="0" borderId="19" xfId="0" applyFont="1" applyBorder="1"/>
    <xf numFmtId="0" fontId="3" fillId="5" borderId="0" xfId="0" applyFont="1" applyFill="1"/>
    <xf numFmtId="10" fontId="3" fillId="5" borderId="0" xfId="1" applyNumberFormat="1" applyFont="1" applyFill="1"/>
    <xf numFmtId="182" fontId="3" fillId="5" borderId="0" xfId="1" applyNumberFormat="1" applyFont="1" applyFill="1"/>
    <xf numFmtId="183" fontId="3" fillId="5" borderId="0" xfId="1" applyNumberFormat="1" applyFont="1" applyFill="1"/>
    <xf numFmtId="0" fontId="3" fillId="0" borderId="0" xfId="0" applyFont="1" applyAlignment="1">
      <alignment horizontal="right"/>
    </xf>
    <xf numFmtId="0" fontId="0" fillId="0" borderId="0" xfId="0" applyAlignment="1">
      <alignment horizontal="center"/>
    </xf>
    <xf numFmtId="9" fontId="3" fillId="5" borderId="0" xfId="1" applyFont="1" applyFill="1"/>
    <xf numFmtId="0" fontId="45" fillId="9" borderId="19" xfId="0" applyFont="1" applyFill="1" applyBorder="1" applyAlignment="1">
      <alignment horizontal="center"/>
    </xf>
    <xf numFmtId="172" fontId="3" fillId="5" borderId="0" xfId="0" applyNumberFormat="1" applyFont="1" applyFill="1"/>
    <xf numFmtId="172" fontId="33" fillId="0" borderId="0" xfId="0" applyNumberFormat="1" applyFont="1" applyAlignment="1">
      <alignment horizontal="right"/>
    </xf>
    <xf numFmtId="184" fontId="4" fillId="0" borderId="0" xfId="0" applyNumberFormat="1" applyFont="1"/>
    <xf numFmtId="0" fontId="0" fillId="9" borderId="0" xfId="0" applyFill="1"/>
    <xf numFmtId="0" fontId="0" fillId="9" borderId="21" xfId="0" applyFill="1" applyBorder="1"/>
    <xf numFmtId="10" fontId="0" fillId="9" borderId="21" xfId="1" applyNumberFormat="1" applyFont="1" applyFill="1" applyBorder="1"/>
    <xf numFmtId="0" fontId="0" fillId="9" borderId="20" xfId="0" applyFill="1" applyBorder="1"/>
    <xf numFmtId="167" fontId="0" fillId="9" borderId="20" xfId="0" applyNumberFormat="1" applyFill="1" applyBorder="1"/>
    <xf numFmtId="167" fontId="0" fillId="9" borderId="21" xfId="0" applyNumberFormat="1" applyFill="1" applyBorder="1"/>
    <xf numFmtId="1" fontId="0" fillId="9" borderId="21" xfId="0" applyNumberFormat="1" applyFill="1" applyBorder="1"/>
    <xf numFmtId="10" fontId="0" fillId="9" borderId="20" xfId="1" applyNumberFormat="1" applyFont="1" applyFill="1" applyBorder="1"/>
    <xf numFmtId="10" fontId="0" fillId="9" borderId="20" xfId="0" applyNumberFormat="1" applyFill="1" applyBorder="1"/>
    <xf numFmtId="1" fontId="0" fillId="9" borderId="20" xfId="0" applyNumberFormat="1" applyFill="1" applyBorder="1"/>
    <xf numFmtId="0" fontId="50" fillId="0" borderId="0" xfId="0" applyFont="1"/>
    <xf numFmtId="0" fontId="50" fillId="9" borderId="0" xfId="0" applyFont="1" applyFill="1"/>
    <xf numFmtId="10" fontId="51" fillId="9" borderId="21" xfId="0" applyNumberFormat="1" applyFont="1" applyFill="1" applyBorder="1"/>
    <xf numFmtId="10" fontId="51" fillId="9" borderId="20" xfId="0" applyNumberFormat="1" applyFont="1" applyFill="1" applyBorder="1"/>
    <xf numFmtId="0" fontId="51" fillId="9" borderId="0" xfId="0" applyFont="1" applyFill="1"/>
    <xf numFmtId="167" fontId="51" fillId="9" borderId="20" xfId="0" applyNumberFormat="1" applyFont="1" applyFill="1" applyBorder="1"/>
    <xf numFmtId="10" fontId="51" fillId="9" borderId="0" xfId="0" applyNumberFormat="1" applyFont="1" applyFill="1"/>
    <xf numFmtId="167" fontId="51" fillId="9" borderId="21" xfId="0" applyNumberFormat="1" applyFont="1" applyFill="1" applyBorder="1"/>
    <xf numFmtId="1" fontId="51" fillId="9" borderId="21" xfId="0" applyNumberFormat="1" applyFont="1" applyFill="1" applyBorder="1"/>
    <xf numFmtId="1" fontId="51" fillId="9" borderId="20" xfId="0" applyNumberFormat="1" applyFont="1" applyFill="1" applyBorder="1"/>
    <xf numFmtId="0" fontId="2" fillId="4" borderId="0" xfId="0" applyFont="1" applyFill="1" applyAlignment="1">
      <alignment wrapText="1"/>
    </xf>
    <xf numFmtId="181" fontId="0" fillId="0" borderId="0" xfId="0" applyNumberFormat="1" applyAlignment="1">
      <alignment wrapText="1"/>
    </xf>
    <xf numFmtId="1" fontId="20" fillId="9" borderId="20" xfId="0" applyNumberFormat="1" applyFont="1" applyFill="1" applyBorder="1"/>
    <xf numFmtId="1" fontId="17" fillId="9" borderId="20" xfId="0" applyNumberFormat="1" applyFont="1" applyFill="1" applyBorder="1"/>
    <xf numFmtId="0" fontId="51" fillId="0" borderId="20" xfId="0" quotePrefix="1" applyFont="1" applyBorder="1" applyAlignment="1">
      <alignment horizontal="right" wrapText="1"/>
    </xf>
    <xf numFmtId="167" fontId="51" fillId="9" borderId="21" xfId="0" quotePrefix="1" applyNumberFormat="1" applyFont="1" applyFill="1" applyBorder="1" applyAlignment="1">
      <alignment horizontal="right"/>
    </xf>
    <xf numFmtId="10" fontId="49" fillId="18" borderId="21" xfId="11" applyNumberFormat="1" applyBorder="1"/>
    <xf numFmtId="10" fontId="48" fillId="17" borderId="20" xfId="10" applyNumberFormat="1" applyBorder="1"/>
    <xf numFmtId="10" fontId="17" fillId="9" borderId="20" xfId="0" applyNumberFormat="1" applyFont="1" applyFill="1" applyBorder="1"/>
    <xf numFmtId="0" fontId="17" fillId="9" borderId="0" xfId="0" applyFont="1" applyFill="1"/>
    <xf numFmtId="10" fontId="17" fillId="9" borderId="21" xfId="0" applyNumberFormat="1" applyFont="1" applyFill="1" applyBorder="1"/>
    <xf numFmtId="167" fontId="17" fillId="9" borderId="20" xfId="0" applyNumberFormat="1" applyFont="1" applyFill="1" applyBorder="1"/>
    <xf numFmtId="10" fontId="17" fillId="9" borderId="0" xfId="0" applyNumberFormat="1" applyFont="1" applyFill="1"/>
    <xf numFmtId="167" fontId="17" fillId="9" borderId="21" xfId="0" applyNumberFormat="1" applyFont="1" applyFill="1" applyBorder="1"/>
    <xf numFmtId="1" fontId="17" fillId="9" borderId="21" xfId="0" applyNumberFormat="1" applyFont="1" applyFill="1" applyBorder="1"/>
    <xf numFmtId="10" fontId="49" fillId="18" borderId="20" xfId="11" applyNumberFormat="1" applyBorder="1"/>
    <xf numFmtId="181" fontId="51" fillId="0" borderId="21" xfId="0" applyNumberFormat="1" applyFont="1" applyBorder="1" applyAlignment="1">
      <alignment horizontal="right" wrapText="1"/>
    </xf>
    <xf numFmtId="181" fontId="51" fillId="0" borderId="20" xfId="0" quotePrefix="1" applyNumberFormat="1" applyFont="1" applyBorder="1" applyAlignment="1">
      <alignment horizontal="right" wrapText="1"/>
    </xf>
    <xf numFmtId="181" fontId="51" fillId="0" borderId="20" xfId="0" applyNumberFormat="1" applyFont="1" applyBorder="1" applyAlignment="1">
      <alignment horizontal="right" wrapText="1"/>
    </xf>
    <xf numFmtId="181" fontId="51" fillId="0" borderId="20" xfId="1" quotePrefix="1" applyNumberFormat="1" applyFont="1" applyBorder="1" applyAlignment="1">
      <alignment horizontal="right" wrapText="1"/>
    </xf>
    <xf numFmtId="167" fontId="48" fillId="17" borderId="20" xfId="10" applyNumberFormat="1" applyBorder="1"/>
    <xf numFmtId="167" fontId="49" fillId="18" borderId="21" xfId="11" applyNumberFormat="1" applyBorder="1"/>
    <xf numFmtId="167" fontId="32" fillId="12" borderId="20" xfId="8" applyNumberFormat="1" applyBorder="1"/>
    <xf numFmtId="1" fontId="49" fillId="18" borderId="21" xfId="11" applyNumberFormat="1" applyBorder="1"/>
    <xf numFmtId="1" fontId="48" fillId="17" borderId="20" xfId="10" applyNumberFormat="1" applyBorder="1"/>
    <xf numFmtId="1" fontId="32" fillId="12" borderId="20" xfId="8" applyNumberFormat="1" applyBorder="1"/>
    <xf numFmtId="9" fontId="2" fillId="4" borderId="0" xfId="1" applyFont="1" applyFill="1" applyAlignment="1">
      <alignment horizontal="right"/>
    </xf>
    <xf numFmtId="10" fontId="17" fillId="9" borderId="21" xfId="1" applyNumberFormat="1" applyFont="1" applyFill="1" applyBorder="1"/>
    <xf numFmtId="10" fontId="17" fillId="9" borderId="20" xfId="1" applyNumberFormat="1" applyFont="1" applyFill="1" applyBorder="1"/>
    <xf numFmtId="167" fontId="20" fillId="9" borderId="20" xfId="0" applyNumberFormat="1" applyFont="1" applyFill="1" applyBorder="1"/>
    <xf numFmtId="167" fontId="20" fillId="9" borderId="21" xfId="0" applyNumberFormat="1" applyFont="1" applyFill="1" applyBorder="1"/>
    <xf numFmtId="10" fontId="20" fillId="9" borderId="20" xfId="1" applyNumberFormat="1" applyFont="1" applyFill="1" applyBorder="1"/>
    <xf numFmtId="1" fontId="20" fillId="9" borderId="21" xfId="0" applyNumberFormat="1" applyFont="1" applyFill="1" applyBorder="1"/>
    <xf numFmtId="10" fontId="20" fillId="9" borderId="21" xfId="1" applyNumberFormat="1" applyFont="1" applyFill="1" applyBorder="1"/>
    <xf numFmtId="0" fontId="19" fillId="6" borderId="0" xfId="0" applyFont="1" applyFill="1" applyAlignment="1">
      <alignment horizontal="left"/>
    </xf>
    <xf numFmtId="170" fontId="19" fillId="6" borderId="0" xfId="0" applyNumberFormat="1" applyFont="1" applyFill="1"/>
    <xf numFmtId="169" fontId="19" fillId="6" borderId="0" xfId="0" applyNumberFormat="1" applyFont="1" applyFill="1"/>
    <xf numFmtId="10" fontId="19" fillId="6" borderId="0" xfId="1" applyNumberFormat="1" applyFont="1" applyFill="1"/>
    <xf numFmtId="0" fontId="19" fillId="0" borderId="0" xfId="0" applyFont="1"/>
    <xf numFmtId="170" fontId="19" fillId="6" borderId="0" xfId="0" applyNumberFormat="1" applyFont="1" applyFill="1" applyAlignment="1">
      <alignment horizontal="right"/>
    </xf>
    <xf numFmtId="2" fontId="19" fillId="6" borderId="0" xfId="0" applyNumberFormat="1" applyFont="1" applyFill="1"/>
    <xf numFmtId="10" fontId="19" fillId="6" borderId="0" xfId="1" applyNumberFormat="1" applyFont="1" applyFill="1" applyAlignment="1"/>
    <xf numFmtId="0" fontId="6" fillId="5" borderId="0" xfId="0" applyFont="1" applyFill="1" applyAlignment="1">
      <alignment horizontal="right"/>
    </xf>
    <xf numFmtId="166" fontId="0" fillId="0" borderId="0" xfId="0" applyNumberFormat="1" applyAlignment="1">
      <alignment horizontal="right"/>
    </xf>
    <xf numFmtId="166" fontId="6" fillId="0" borderId="1" xfId="0" applyNumberFormat="1" applyFont="1" applyBorder="1" applyAlignment="1">
      <alignment horizontal="right"/>
    </xf>
    <xf numFmtId="0" fontId="0" fillId="0" borderId="0" xfId="0" quotePrefix="1" applyAlignment="1">
      <alignment horizontal="right"/>
    </xf>
    <xf numFmtId="10" fontId="10" fillId="0" borderId="0" xfId="1" applyNumberFormat="1" applyFont="1" applyAlignment="1">
      <alignment horizontal="right"/>
    </xf>
    <xf numFmtId="0" fontId="0" fillId="5" borderId="0" xfId="0" applyFill="1" applyAlignment="1">
      <alignment horizontal="right"/>
    </xf>
    <xf numFmtId="166" fontId="6" fillId="0" borderId="0" xfId="0" applyNumberFormat="1" applyFont="1" applyAlignment="1">
      <alignment horizontal="right"/>
    </xf>
    <xf numFmtId="0" fontId="3" fillId="0" borderId="0" xfId="5" applyFont="1" applyAlignment="1">
      <alignment horizontal="right"/>
    </xf>
    <xf numFmtId="0" fontId="3" fillId="15" borderId="0" xfId="5" applyFont="1" applyFill="1"/>
    <xf numFmtId="10" fontId="3" fillId="15" borderId="0" xfId="5" applyNumberFormat="1" applyFont="1" applyFill="1"/>
    <xf numFmtId="43" fontId="13" fillId="9" borderId="0" xfId="5" applyNumberFormat="1" applyFont="1" applyFill="1"/>
    <xf numFmtId="0" fontId="2" fillId="9" borderId="0" xfId="0" applyFont="1" applyFill="1"/>
    <xf numFmtId="0" fontId="2" fillId="9" borderId="0" xfId="0" applyFont="1" applyFill="1" applyAlignment="1">
      <alignment wrapText="1"/>
    </xf>
    <xf numFmtId="0" fontId="2" fillId="4" borderId="0" xfId="5" applyFont="1" applyFill="1" applyAlignment="1">
      <alignment horizontal="center"/>
    </xf>
    <xf numFmtId="0" fontId="13" fillId="4" borderId="22" xfId="0" applyFont="1" applyFill="1" applyBorder="1" applyAlignment="1">
      <alignment horizontal="center"/>
    </xf>
    <xf numFmtId="0" fontId="6" fillId="0" borderId="0" xfId="5" applyFont="1" applyAlignment="1">
      <alignment horizontal="center"/>
    </xf>
    <xf numFmtId="0" fontId="48" fillId="17" borderId="0" xfId="10" applyAlignment="1">
      <alignment horizontal="center"/>
    </xf>
    <xf numFmtId="43" fontId="7" fillId="0" borderId="0" xfId="3" applyNumberFormat="1" applyBorder="1" applyAlignment="1" applyProtection="1">
      <alignment horizontal="center"/>
    </xf>
    <xf numFmtId="43" fontId="9" fillId="2" borderId="0" xfId="4" applyNumberFormat="1" applyFont="1" applyBorder="1" applyAlignment="1">
      <alignment horizontal="center"/>
    </xf>
    <xf numFmtId="0" fontId="9" fillId="4" borderId="0" xfId="0" applyFont="1" applyFill="1" applyAlignment="1">
      <alignment horizontal="center"/>
    </xf>
    <xf numFmtId="0" fontId="3" fillId="0" borderId="0" xfId="0" applyFont="1" applyAlignment="1">
      <alignment horizontal="center"/>
    </xf>
    <xf numFmtId="43" fontId="3" fillId="0" borderId="0" xfId="0" applyNumberFormat="1" applyFont="1" applyAlignment="1">
      <alignment horizontal="center"/>
    </xf>
    <xf numFmtId="0" fontId="45" fillId="4" borderId="0" xfId="0" applyFont="1" applyFill="1" applyAlignment="1">
      <alignment horizontal="center"/>
    </xf>
    <xf numFmtId="0" fontId="0" fillId="4" borderId="0" xfId="0" applyFill="1" applyAlignment="1">
      <alignment horizontal="center"/>
    </xf>
    <xf numFmtId="0" fontId="44" fillId="0" borderId="0" xfId="0" applyFont="1" applyAlignment="1">
      <alignment horizontal="left" vertical="center" wrapText="1"/>
    </xf>
  </cellXfs>
  <cellStyles count="12">
    <cellStyle name="Accent6 2" xfId="4" xr:uid="{00000000-0005-0000-0000-000001000000}"/>
    <cellStyle name="Bad" xfId="11" builtinId="27"/>
    <cellStyle name="Comma 2" xfId="2" xr:uid="{00000000-0005-0000-0000-000002000000}"/>
    <cellStyle name="Good" xfId="10" builtinId="26"/>
    <cellStyle name="Hyperlink" xfId="3" builtinId="8"/>
    <cellStyle name="Neutral" xfId="8" builtinId="28"/>
    <cellStyle name="Normal" xfId="0" builtinId="0"/>
    <cellStyle name="Normal 2" xfId="5" xr:uid="{00000000-0005-0000-0000-000006000000}"/>
    <cellStyle name="Normal 3" xfId="7" xr:uid="{00000000-0005-0000-0000-000007000000}"/>
    <cellStyle name="Normal 3 2" xfId="9" xr:uid="{00000000-0005-0000-0000-000008000000}"/>
    <cellStyle name="Percent" xfId="1" builtinId="5"/>
    <cellStyle name="Percent 2" xfId="6" xr:uid="{00000000-0005-0000-0000-00000A000000}"/>
  </cellStyles>
  <dxfs count="1">
    <dxf>
      <font>
        <b/>
        <i val="0"/>
        <color theme="0"/>
      </font>
      <fill>
        <patternFill>
          <bgColor theme="5"/>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002060"/>
                </a:solidFill>
              </a:rPr>
              <a:t>Football Field Analysis -</a:t>
            </a:r>
            <a:r>
              <a:rPr lang="en-IN" sz="1200" b="1" baseline="0">
                <a:solidFill>
                  <a:srgbClr val="002060"/>
                </a:solidFill>
              </a:rPr>
              <a:t> </a:t>
            </a:r>
            <a:r>
              <a:rPr lang="en-IN" sz="1200" b="1">
                <a:solidFill>
                  <a:srgbClr val="002060"/>
                </a:solidFill>
              </a:rPr>
              <a:t>Valuation Summary (Rs)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74332332169819"/>
          <c:y val="0.1736674812200199"/>
          <c:w val="0.86001612685012307"/>
          <c:h val="0.68757281201918719"/>
        </c:manualLayout>
      </c:layout>
      <c:stockChart>
        <c:ser>
          <c:idx val="0"/>
          <c:order val="0"/>
          <c:spPr>
            <a:ln w="19050" cap="rnd">
              <a:noFill/>
              <a:round/>
            </a:ln>
            <a:effectLst/>
          </c:spPr>
          <c:marker>
            <c:symbol val="none"/>
          </c:marker>
          <c:cat>
            <c:strRef>
              <c:f>'Football Field'!$J$8:$J$12</c:f>
              <c:strCache>
                <c:ptCount val="5"/>
                <c:pt idx="0">
                  <c:v>Comps</c:v>
                </c:pt>
                <c:pt idx="1">
                  <c:v>DCF Bear</c:v>
                </c:pt>
                <c:pt idx="2">
                  <c:v>DCF Base</c:v>
                </c:pt>
                <c:pt idx="3">
                  <c:v>DCF Bull</c:v>
                </c:pt>
                <c:pt idx="4">
                  <c:v>52W H/L</c:v>
                </c:pt>
              </c:strCache>
            </c:strRef>
          </c:cat>
          <c:val>
            <c:numRef>
              <c:f>'Football Field'!$L$8:$L$12</c:f>
              <c:numCache>
                <c:formatCode>0.0</c:formatCode>
                <c:ptCount val="5"/>
                <c:pt idx="0">
                  <c:v>365.6</c:v>
                </c:pt>
                <c:pt idx="1">
                  <c:v>180.59435610734761</c:v>
                </c:pt>
                <c:pt idx="2">
                  <c:v>207.22218315880815</c:v>
                </c:pt>
                <c:pt idx="3">
                  <c:v>231.18722750512271</c:v>
                </c:pt>
                <c:pt idx="4">
                  <c:v>390</c:v>
                </c:pt>
              </c:numCache>
            </c:numRef>
          </c:val>
          <c:smooth val="0"/>
          <c:extLst>
            <c:ext xmlns:c16="http://schemas.microsoft.com/office/drawing/2014/chart" uri="{C3380CC4-5D6E-409C-BE32-E72D297353CC}">
              <c16:uniqueId val="{00000000-EC9E-40E1-9CE8-047FB0C228A5}"/>
            </c:ext>
          </c:extLst>
        </c:ser>
        <c:ser>
          <c:idx val="1"/>
          <c:order val="1"/>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Field'!$J$8:$J$12</c:f>
              <c:strCache>
                <c:ptCount val="5"/>
                <c:pt idx="0">
                  <c:v>Comps</c:v>
                </c:pt>
                <c:pt idx="1">
                  <c:v>DCF Bear</c:v>
                </c:pt>
                <c:pt idx="2">
                  <c:v>DCF Base</c:v>
                </c:pt>
                <c:pt idx="3">
                  <c:v>DCF Bull</c:v>
                </c:pt>
                <c:pt idx="4">
                  <c:v>52W H/L</c:v>
                </c:pt>
              </c:strCache>
            </c:strRef>
          </c:cat>
          <c:val>
            <c:numRef>
              <c:f>'Football Field'!$M$8:$M$12</c:f>
              <c:numCache>
                <c:formatCode>0.0</c:formatCode>
                <c:ptCount val="5"/>
                <c:pt idx="0">
                  <c:v>365.6</c:v>
                </c:pt>
                <c:pt idx="1">
                  <c:v>180.59435610734761</c:v>
                </c:pt>
                <c:pt idx="2">
                  <c:v>207.22218315880815</c:v>
                </c:pt>
                <c:pt idx="3">
                  <c:v>231.18722750512271</c:v>
                </c:pt>
                <c:pt idx="4">
                  <c:v>390</c:v>
                </c:pt>
              </c:numCache>
            </c:numRef>
          </c:val>
          <c:smooth val="0"/>
          <c:extLst>
            <c:ext xmlns:c16="http://schemas.microsoft.com/office/drawing/2014/chart" uri="{C3380CC4-5D6E-409C-BE32-E72D297353CC}">
              <c16:uniqueId val="{00000001-EC9E-40E1-9CE8-047FB0C228A5}"/>
            </c:ext>
          </c:extLst>
        </c:ser>
        <c:ser>
          <c:idx val="2"/>
          <c:order val="2"/>
          <c:spPr>
            <a:ln w="19050" cap="rnd">
              <a:noFill/>
              <a:round/>
            </a:ln>
            <a:effectLst/>
          </c:spPr>
          <c:marker>
            <c:symbol val="none"/>
          </c:marker>
          <c:cat>
            <c:strRef>
              <c:f>'Football Field'!$J$8:$J$12</c:f>
              <c:strCache>
                <c:ptCount val="5"/>
                <c:pt idx="0">
                  <c:v>Comps</c:v>
                </c:pt>
                <c:pt idx="1">
                  <c:v>DCF Bear</c:v>
                </c:pt>
                <c:pt idx="2">
                  <c:v>DCF Base</c:v>
                </c:pt>
                <c:pt idx="3">
                  <c:v>DCF Bull</c:v>
                </c:pt>
                <c:pt idx="4">
                  <c:v>52W H/L</c:v>
                </c:pt>
              </c:strCache>
            </c:strRef>
          </c:cat>
          <c:val>
            <c:numRef>
              <c:f>'Football Field'!$N$8:$N$12</c:f>
              <c:numCache>
                <c:formatCode>0.0</c:formatCode>
                <c:ptCount val="5"/>
                <c:pt idx="0">
                  <c:v>534.29999999999995</c:v>
                </c:pt>
                <c:pt idx="1">
                  <c:v>281.78009890289775</c:v>
                </c:pt>
                <c:pt idx="2">
                  <c:v>426.33116003939796</c:v>
                </c:pt>
                <c:pt idx="3">
                  <c:v>686.52307008509842</c:v>
                </c:pt>
                <c:pt idx="4">
                  <c:v>495</c:v>
                </c:pt>
              </c:numCache>
            </c:numRef>
          </c:val>
          <c:smooth val="0"/>
          <c:extLst>
            <c:ext xmlns:c16="http://schemas.microsoft.com/office/drawing/2014/chart" uri="{C3380CC4-5D6E-409C-BE32-E72D297353CC}">
              <c16:uniqueId val="{00000002-EC9E-40E1-9CE8-047FB0C228A5}"/>
            </c:ext>
          </c:extLst>
        </c:ser>
        <c:ser>
          <c:idx val="3"/>
          <c:order val="3"/>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Field'!$J$8:$J$12</c:f>
              <c:strCache>
                <c:ptCount val="5"/>
                <c:pt idx="0">
                  <c:v>Comps</c:v>
                </c:pt>
                <c:pt idx="1">
                  <c:v>DCF Bear</c:v>
                </c:pt>
                <c:pt idx="2">
                  <c:v>DCF Base</c:v>
                </c:pt>
                <c:pt idx="3">
                  <c:v>DCF Bull</c:v>
                </c:pt>
                <c:pt idx="4">
                  <c:v>52W H/L</c:v>
                </c:pt>
              </c:strCache>
            </c:strRef>
          </c:cat>
          <c:val>
            <c:numRef>
              <c:f>'Football Field'!$O$8:$O$12</c:f>
              <c:numCache>
                <c:formatCode>0.0</c:formatCode>
                <c:ptCount val="5"/>
                <c:pt idx="0">
                  <c:v>534.29999999999995</c:v>
                </c:pt>
                <c:pt idx="1">
                  <c:v>281.78009890289775</c:v>
                </c:pt>
                <c:pt idx="2">
                  <c:v>426.33116003939796</c:v>
                </c:pt>
                <c:pt idx="3">
                  <c:v>686.52307008509842</c:v>
                </c:pt>
                <c:pt idx="4">
                  <c:v>495</c:v>
                </c:pt>
              </c:numCache>
            </c:numRef>
          </c:val>
          <c:smooth val="0"/>
          <c:extLst>
            <c:ext xmlns:c16="http://schemas.microsoft.com/office/drawing/2014/chart" uri="{C3380CC4-5D6E-409C-BE32-E72D297353CC}">
              <c16:uniqueId val="{00000003-EC9E-40E1-9CE8-047FB0C228A5}"/>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2060"/>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937652544"/>
        <c:axId val="937654344"/>
      </c:stockChart>
      <c:catAx>
        <c:axId val="9376525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654344"/>
        <c:crosses val="autoZero"/>
        <c:auto val="1"/>
        <c:lblAlgn val="ctr"/>
        <c:lblOffset val="100"/>
        <c:noMultiLvlLbl val="0"/>
      </c:catAx>
      <c:valAx>
        <c:axId val="937654344"/>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65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DCD8-441C-90FF-5D59447BE919}"/>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DCD8-441C-90FF-5D59447BE91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CD8-441C-90FF-5D59447BE91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E-DCD8-441C-90FF-5D59447BE91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Analysis'!$F$68:$I$68</c:f>
              <c:numCache>
                <c:formatCode>mmm\-yy</c:formatCode>
                <c:ptCount val="4"/>
                <c:pt idx="0">
                  <c:v>44651</c:v>
                </c:pt>
                <c:pt idx="1">
                  <c:v>45016</c:v>
                </c:pt>
                <c:pt idx="2">
                  <c:v>45382</c:v>
                </c:pt>
                <c:pt idx="3">
                  <c:v>45747</c:v>
                </c:pt>
              </c:numCache>
            </c:numRef>
          </c:cat>
          <c:val>
            <c:numRef>
              <c:f>'Dupont Analysis'!$F$70:$I$70</c:f>
              <c:numCache>
                <c:formatCode>#,##0.0</c:formatCode>
                <c:ptCount val="4"/>
                <c:pt idx="0">
                  <c:v>60644.54</c:v>
                </c:pt>
                <c:pt idx="1">
                  <c:v>70919.03</c:v>
                </c:pt>
                <c:pt idx="2">
                  <c:v>67931.94</c:v>
                </c:pt>
                <c:pt idx="3">
                  <c:v>75323.34</c:v>
                </c:pt>
              </c:numCache>
            </c:numRef>
          </c:val>
          <c:extLst>
            <c:ext xmlns:c16="http://schemas.microsoft.com/office/drawing/2014/chart" uri="{C3380CC4-5D6E-409C-BE32-E72D297353CC}">
              <c16:uniqueId val="{00000006-DCD8-441C-90FF-5D59447BE919}"/>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85E6-4578-8B70-8BFF718898EC}"/>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85E6-4578-8B70-8BFF718898E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85E6-4578-8B70-8BFF718898E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85E6-4578-8B70-8BFF718898EC}"/>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Analysis'!$F$68:$I$68</c:f>
              <c:numCache>
                <c:formatCode>mmm\-yy</c:formatCode>
                <c:ptCount val="4"/>
                <c:pt idx="0">
                  <c:v>44651</c:v>
                </c:pt>
                <c:pt idx="1">
                  <c:v>45016</c:v>
                </c:pt>
                <c:pt idx="2">
                  <c:v>45382</c:v>
                </c:pt>
                <c:pt idx="3">
                  <c:v>45747</c:v>
                </c:pt>
              </c:numCache>
            </c:numRef>
          </c:cat>
          <c:val>
            <c:numRef>
              <c:f>'Dupont Analysis'!$F$69:$I$69</c:f>
              <c:numCache>
                <c:formatCode>#,##0.0</c:formatCode>
                <c:ptCount val="4"/>
                <c:pt idx="0">
                  <c:v>15242.66</c:v>
                </c:pt>
                <c:pt idx="1">
                  <c:v>19191.66</c:v>
                </c:pt>
                <c:pt idx="2">
                  <c:v>20458.78</c:v>
                </c:pt>
                <c:pt idx="3">
                  <c:v>34746.629999999997</c:v>
                </c:pt>
              </c:numCache>
            </c:numRef>
          </c:val>
          <c:extLst>
            <c:ext xmlns:c16="http://schemas.microsoft.com/office/drawing/2014/chart" uri="{C3380CC4-5D6E-409C-BE32-E72D297353CC}">
              <c16:uniqueId val="{00000006-85E6-4578-8B70-8BFF718898EC}"/>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F8C8-4211-A580-B8E628119D16}"/>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F8C8-4211-A580-B8E628119D16}"/>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8C8-4211-A580-B8E628119D16}"/>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8C8-4211-A580-B8E628119D16}"/>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Analysis'!$F$68:$I$68</c:f>
              <c:numCache>
                <c:formatCode>mmm\-yy</c:formatCode>
                <c:ptCount val="4"/>
                <c:pt idx="0">
                  <c:v>44651</c:v>
                </c:pt>
                <c:pt idx="1">
                  <c:v>45016</c:v>
                </c:pt>
                <c:pt idx="2">
                  <c:v>45382</c:v>
                </c:pt>
                <c:pt idx="3">
                  <c:v>45747</c:v>
                </c:pt>
              </c:numCache>
            </c:numRef>
          </c:cat>
          <c:val>
            <c:numRef>
              <c:f>'Dupont Analysis'!$F$74:$I$74</c:f>
              <c:numCache>
                <c:formatCode>#,##0.0</c:formatCode>
                <c:ptCount val="4"/>
                <c:pt idx="0">
                  <c:v>75478.39</c:v>
                </c:pt>
                <c:pt idx="1">
                  <c:v>81513.490000000005</c:v>
                </c:pt>
                <c:pt idx="2">
                  <c:v>88792.464999999997</c:v>
                </c:pt>
                <c:pt idx="3">
                  <c:v>89878.334999999992</c:v>
                </c:pt>
              </c:numCache>
            </c:numRef>
          </c:val>
          <c:extLst>
            <c:ext xmlns:c16="http://schemas.microsoft.com/office/drawing/2014/chart" uri="{C3380CC4-5D6E-409C-BE32-E72D297353CC}">
              <c16:uniqueId val="{00000008-F8C8-4211-A580-B8E628119D16}"/>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975B-4AA9-BC87-0C2151EB19D6}"/>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975B-4AA9-BC87-0C2151EB19D6}"/>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5B-4AA9-BC87-0C2151EB19D6}"/>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5B-4AA9-BC87-0C2151EB19D6}"/>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Analysis'!$F$68:$I$68</c:f>
              <c:numCache>
                <c:formatCode>mmm\-yy</c:formatCode>
                <c:ptCount val="4"/>
                <c:pt idx="0">
                  <c:v>44651</c:v>
                </c:pt>
                <c:pt idx="1">
                  <c:v>45016</c:v>
                </c:pt>
                <c:pt idx="2">
                  <c:v>45382</c:v>
                </c:pt>
                <c:pt idx="3">
                  <c:v>45747</c:v>
                </c:pt>
              </c:numCache>
            </c:numRef>
          </c:cat>
          <c:val>
            <c:numRef>
              <c:f>'Dupont Analysis'!$F$81:$I$81</c:f>
              <c:numCache>
                <c:formatCode>0.00%</c:formatCode>
                <c:ptCount val="4"/>
                <c:pt idx="0">
                  <c:v>0.24824590883066205</c:v>
                </c:pt>
                <c:pt idx="1">
                  <c:v>0.29164256467343908</c:v>
                </c:pt>
                <c:pt idx="2">
                  <c:v>0.28481773849304615</c:v>
                </c:pt>
                <c:pt idx="3">
                  <c:v>0.48079893701995446</c:v>
                </c:pt>
              </c:numCache>
            </c:numRef>
          </c:val>
          <c:extLst>
            <c:ext xmlns:c16="http://schemas.microsoft.com/office/drawing/2014/chart" uri="{C3380CC4-5D6E-409C-BE32-E72D297353CC}">
              <c16:uniqueId val="{00000008-975B-4AA9-BC87-0C2151EB19D6}"/>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3BCF-42C0-ACB7-464475E14322}"/>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3BCF-42C0-ACB7-464475E14322}"/>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3BCF-42C0-ACB7-464475E14322}"/>
              </c:ext>
            </c:extLst>
          </c:dPt>
          <c:dPt>
            <c:idx val="3"/>
            <c:invertIfNegative val="0"/>
            <c:bubble3D val="0"/>
            <c:spPr>
              <a:solidFill>
                <a:schemeClr val="accent5">
                  <a:lumMod val="75000"/>
                </a:schemeClr>
              </a:solidFill>
              <a:ln>
                <a:solidFill>
                  <a:srgbClr val="028655"/>
                </a:solidFill>
              </a:ln>
              <a:effectLst/>
            </c:spPr>
            <c:extLst>
              <c:ext xmlns:c16="http://schemas.microsoft.com/office/drawing/2014/chart" uri="{C3380CC4-5D6E-409C-BE32-E72D297353CC}">
                <c16:uniqueId val="{00000007-3BCF-42C0-ACB7-464475E14322}"/>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Analysis'!$F$84:$I$84</c:f>
              <c:numCache>
                <c:formatCode>mmm\-yy</c:formatCode>
                <c:ptCount val="4"/>
                <c:pt idx="0">
                  <c:v>44651</c:v>
                </c:pt>
                <c:pt idx="1">
                  <c:v>45016</c:v>
                </c:pt>
                <c:pt idx="2">
                  <c:v>45382</c:v>
                </c:pt>
                <c:pt idx="3">
                  <c:v>45747</c:v>
                </c:pt>
              </c:numCache>
            </c:numRef>
          </c:cat>
          <c:val>
            <c:numRef>
              <c:f>'Dupont Analysis'!$F$87:$I$87</c:f>
              <c:numCache>
                <c:formatCode>0.00%</c:formatCode>
                <c:ptCount val="4"/>
                <c:pt idx="0">
                  <c:v>0.20194733883433391</c:v>
                </c:pt>
                <c:pt idx="1">
                  <c:v>0.23544152017046502</c:v>
                </c:pt>
                <c:pt idx="2">
                  <c:v>0.23041121788881522</c:v>
                </c:pt>
                <c:pt idx="3">
                  <c:v>0.38659628040506089</c:v>
                </c:pt>
              </c:numCache>
            </c:numRef>
          </c:val>
          <c:extLst>
            <c:ext xmlns:c16="http://schemas.microsoft.com/office/drawing/2014/chart" uri="{C3380CC4-5D6E-409C-BE32-E72D297353CC}">
              <c16:uniqueId val="{00000008-3BCF-42C0-ACB7-464475E14322}"/>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FBCB-409E-B903-7C56864A50F2}"/>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FBCB-409E-B903-7C56864A50F2}"/>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CB-409E-B903-7C56864A50F2}"/>
              </c:ext>
            </c:extLst>
          </c:dPt>
          <c:dPt>
            <c:idx val="3"/>
            <c:invertIfNegative val="0"/>
            <c:bubble3D val="0"/>
            <c:spPr>
              <a:solidFill>
                <a:schemeClr val="accent5">
                  <a:lumMod val="75000"/>
                </a:schemeClr>
              </a:solidFill>
              <a:ln>
                <a:solidFill>
                  <a:srgbClr val="028655"/>
                </a:solidFill>
              </a:ln>
              <a:effectLst/>
            </c:spPr>
            <c:extLst>
              <c:ext xmlns:c16="http://schemas.microsoft.com/office/drawing/2014/chart" uri="{C3380CC4-5D6E-409C-BE32-E72D297353CC}">
                <c16:uniqueId val="{00000007-FBCB-409E-B903-7C56864A50F2}"/>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Analysis'!$F$68:$I$68</c:f>
              <c:numCache>
                <c:formatCode>mmm\-yy</c:formatCode>
                <c:ptCount val="4"/>
                <c:pt idx="0">
                  <c:v>44651</c:v>
                </c:pt>
                <c:pt idx="1">
                  <c:v>45016</c:v>
                </c:pt>
                <c:pt idx="2">
                  <c:v>45382</c:v>
                </c:pt>
                <c:pt idx="3">
                  <c:v>45747</c:v>
                </c:pt>
              </c:numCache>
            </c:numRef>
          </c:cat>
          <c:val>
            <c:numRef>
              <c:f>'Dupont Analysis'!$F$79:$I$79</c:f>
              <c:numCache>
                <c:formatCode>0.000\x</c:formatCode>
                <c:ptCount val="4"/>
                <c:pt idx="0">
                  <c:v>1.2292606095409302</c:v>
                </c:pt>
                <c:pt idx="1">
                  <c:v>1.2387048998931167</c:v>
                </c:pt>
                <c:pt idx="2">
                  <c:v>1.2361279155708673</c:v>
                </c:pt>
                <c:pt idx="3">
                  <c:v>1.2436719166469774</c:v>
                </c:pt>
              </c:numCache>
            </c:numRef>
          </c:val>
          <c:extLst>
            <c:ext xmlns:c16="http://schemas.microsoft.com/office/drawing/2014/chart" uri="{C3380CC4-5D6E-409C-BE32-E72D297353CC}">
              <c16:uniqueId val="{00000008-FBCB-409E-B903-7C56864A50F2}"/>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0\x"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00CE-4CD0-9814-21F996E35FB7}"/>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00CE-4CD0-9814-21F996E35FB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00CE-4CD0-9814-21F996E35FB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00CE-4CD0-9814-21F996E35F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Score'!$F$62:$I$62</c:f>
              <c:numCache>
                <c:formatCode>mmm\-yy</c:formatCode>
                <c:ptCount val="4"/>
                <c:pt idx="0">
                  <c:v>44651</c:v>
                </c:pt>
                <c:pt idx="1">
                  <c:v>45016</c:v>
                </c:pt>
                <c:pt idx="2">
                  <c:v>45382</c:v>
                </c:pt>
                <c:pt idx="3">
                  <c:v>45747</c:v>
                </c:pt>
              </c:numCache>
            </c:numRef>
          </c:cat>
          <c:val>
            <c:numRef>
              <c:f>'Altman Z Score'!$F$65:$I$65</c:f>
              <c:numCache>
                <c:formatCode>0.00%</c:formatCode>
                <c:ptCount val="4"/>
                <c:pt idx="0">
                  <c:v>0.1348109656430474</c:v>
                </c:pt>
                <c:pt idx="1">
                  <c:v>0.13039245978374234</c:v>
                </c:pt>
                <c:pt idx="2">
                  <c:v>0.14185119183398823</c:v>
                </c:pt>
                <c:pt idx="3">
                  <c:v>0.14259801119738369</c:v>
                </c:pt>
              </c:numCache>
            </c:numRef>
          </c:val>
          <c:extLst>
            <c:ext xmlns:c16="http://schemas.microsoft.com/office/drawing/2014/chart" uri="{C3380CC4-5D6E-409C-BE32-E72D297353CC}">
              <c16:uniqueId val="{00000008-00CE-4CD0-9814-21F996E35FB7}"/>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F342-422C-BF21-93C6B695EDF6}"/>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F342-422C-BF21-93C6B695EDF6}"/>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342-422C-BF21-93C6B695EDF6}"/>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342-422C-BF21-93C6B695ED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Score'!$F$68:$I$68</c:f>
              <c:numCache>
                <c:formatCode>mmm\-yy</c:formatCode>
                <c:ptCount val="4"/>
                <c:pt idx="0">
                  <c:v>44651</c:v>
                </c:pt>
                <c:pt idx="1">
                  <c:v>45016</c:v>
                </c:pt>
                <c:pt idx="2">
                  <c:v>45382</c:v>
                </c:pt>
                <c:pt idx="3">
                  <c:v>45747</c:v>
                </c:pt>
              </c:numCache>
            </c:numRef>
          </c:cat>
          <c:val>
            <c:numRef>
              <c:f>'Altman Z Score'!$F$71:$I$71</c:f>
              <c:numCache>
                <c:formatCode>0.00%</c:formatCode>
                <c:ptCount val="4"/>
                <c:pt idx="0">
                  <c:v>1.957326124121455E-3</c:v>
                </c:pt>
                <c:pt idx="1">
                  <c:v>1.5642853277970083E-2</c:v>
                </c:pt>
                <c:pt idx="2">
                  <c:v>2.3355199267966996E-3</c:v>
                </c:pt>
                <c:pt idx="3">
                  <c:v>4.0832179215294813E-2</c:v>
                </c:pt>
              </c:numCache>
            </c:numRef>
          </c:val>
          <c:extLst>
            <c:ext xmlns:c16="http://schemas.microsoft.com/office/drawing/2014/chart" uri="{C3380CC4-5D6E-409C-BE32-E72D297353CC}">
              <c16:uniqueId val="{00000008-F342-422C-BF21-93C6B695EDF6}"/>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89F6-400D-B9AF-075E93E12D07}"/>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89F6-400D-B9AF-075E93E12D0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89F6-400D-B9AF-075E93E12D0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89F6-400D-B9AF-075E93E12D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Score'!$F$68:$I$68</c:f>
              <c:numCache>
                <c:formatCode>mmm\-yy</c:formatCode>
                <c:ptCount val="4"/>
                <c:pt idx="0">
                  <c:v>44651</c:v>
                </c:pt>
                <c:pt idx="1">
                  <c:v>45016</c:v>
                </c:pt>
                <c:pt idx="2">
                  <c:v>45382</c:v>
                </c:pt>
                <c:pt idx="3">
                  <c:v>45747</c:v>
                </c:pt>
              </c:numCache>
            </c:numRef>
          </c:cat>
          <c:val>
            <c:numRef>
              <c:f>'Altman Z Score'!$F$77:$I$77</c:f>
              <c:numCache>
                <c:formatCode>0.00%</c:formatCode>
                <c:ptCount val="4"/>
                <c:pt idx="0">
                  <c:v>0.26944990169182292</c:v>
                </c:pt>
                <c:pt idx="1">
                  <c:v>0.30283816002990055</c:v>
                </c:pt>
                <c:pt idx="2">
                  <c:v>0.29426443346266107</c:v>
                </c:pt>
                <c:pt idx="3">
                  <c:v>0.47712183830723381</c:v>
                </c:pt>
              </c:numCache>
            </c:numRef>
          </c:val>
          <c:extLst>
            <c:ext xmlns:c16="http://schemas.microsoft.com/office/drawing/2014/chart" uri="{C3380CC4-5D6E-409C-BE32-E72D297353CC}">
              <c16:uniqueId val="{00000008-89F6-400D-B9AF-075E93E12D07}"/>
            </c:ext>
          </c:extLst>
        </c:ser>
        <c:dLbls>
          <c:dLblPos val="outEnd"/>
          <c:showLegendKey val="0"/>
          <c:showVal val="1"/>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8C6A-4E1B-A2E8-17E46E88830D}"/>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8C6A-4E1B-A2E8-17E46E88830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8C6A-4E1B-A2E8-17E46E88830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8C6A-4E1B-A2E8-17E46E88830D}"/>
              </c:ext>
            </c:extLst>
          </c:dPt>
          <c:dLbls>
            <c:dLbl>
              <c:idx val="3"/>
              <c:layout>
                <c:manualLayout>
                  <c:x val="1.8505413440564351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910707994918562"/>
                      <c:h val="0.20567581958946426"/>
                    </c:manualLayout>
                  </c15:layout>
                </c:ext>
                <c:ext xmlns:c16="http://schemas.microsoft.com/office/drawing/2014/chart" uri="{C3380CC4-5D6E-409C-BE32-E72D297353CC}">
                  <c16:uniqueId val="{00000007-8C6A-4E1B-A2E8-17E46E8883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Score'!$F$80:$I$80</c:f>
              <c:numCache>
                <c:formatCode>mmm\-yy</c:formatCode>
                <c:ptCount val="4"/>
                <c:pt idx="0">
                  <c:v>44651</c:v>
                </c:pt>
                <c:pt idx="1">
                  <c:v>45016</c:v>
                </c:pt>
                <c:pt idx="2">
                  <c:v>45382</c:v>
                </c:pt>
                <c:pt idx="3">
                  <c:v>45747</c:v>
                </c:pt>
              </c:numCache>
            </c:numRef>
          </c:cat>
          <c:val>
            <c:numRef>
              <c:f>'Altman Z Score'!$F$83:$I$83</c:f>
              <c:numCache>
                <c:formatCode>0%</c:formatCode>
                <c:ptCount val="4"/>
                <c:pt idx="0">
                  <c:v>116.07890528975946</c:v>
                </c:pt>
                <c:pt idx="1">
                  <c:v>145.98575668906318</c:v>
                </c:pt>
                <c:pt idx="2">
                  <c:v>165.21047988003821</c:v>
                </c:pt>
                <c:pt idx="3">
                  <c:v>180.20877838844274</c:v>
                </c:pt>
              </c:numCache>
            </c:numRef>
          </c:val>
          <c:extLst>
            <c:ext xmlns:c16="http://schemas.microsoft.com/office/drawing/2014/chart" uri="{C3380CC4-5D6E-409C-BE32-E72D297353CC}">
              <c16:uniqueId val="{00000008-8C6A-4E1B-A2E8-17E46E88830D}"/>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A96D-42C7-9307-2731A0AA28F8}"/>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A96D-42C7-9307-2731A0AA28F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A96D-42C7-9307-2731A0AA28F8}"/>
              </c:ext>
            </c:extLst>
          </c:dPt>
          <c:dPt>
            <c:idx val="3"/>
            <c:invertIfNegative val="0"/>
            <c:bubble3D val="0"/>
            <c:spPr>
              <a:solidFill>
                <a:schemeClr val="accent5">
                  <a:lumMod val="75000"/>
                </a:schemeClr>
              </a:solidFill>
              <a:ln>
                <a:solidFill>
                  <a:srgbClr val="028655"/>
                </a:solidFill>
              </a:ln>
              <a:effectLst/>
            </c:spPr>
            <c:extLst>
              <c:ext xmlns:c16="http://schemas.microsoft.com/office/drawing/2014/chart" uri="{C3380CC4-5D6E-409C-BE32-E72D297353CC}">
                <c16:uniqueId val="{00000007-A96D-42C7-9307-2731A0AA28F8}"/>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Score'!$F$86:$I$86</c:f>
              <c:numCache>
                <c:formatCode>mmm\-yy</c:formatCode>
                <c:ptCount val="4"/>
                <c:pt idx="0">
                  <c:v>44651</c:v>
                </c:pt>
                <c:pt idx="1">
                  <c:v>45016</c:v>
                </c:pt>
                <c:pt idx="2">
                  <c:v>45382</c:v>
                </c:pt>
                <c:pt idx="3">
                  <c:v>45747</c:v>
                </c:pt>
              </c:numCache>
            </c:numRef>
          </c:cat>
          <c:val>
            <c:numRef>
              <c:f>'Altman Z Score'!$F$89:$I$89</c:f>
              <c:numCache>
                <c:formatCode>0.00%</c:formatCode>
                <c:ptCount val="4"/>
                <c:pt idx="0">
                  <c:v>0.78559153697302009</c:v>
                </c:pt>
                <c:pt idx="1">
                  <c:v>0.82626397281353947</c:v>
                </c:pt>
                <c:pt idx="2">
                  <c:v>0.74037058015037394</c:v>
                </c:pt>
                <c:pt idx="3">
                  <c:v>0.85592078424866513</c:v>
                </c:pt>
              </c:numCache>
            </c:numRef>
          </c:val>
          <c:extLst>
            <c:ext xmlns:c16="http://schemas.microsoft.com/office/drawing/2014/chart" uri="{C3380CC4-5D6E-409C-BE32-E72D297353CC}">
              <c16:uniqueId val="{00000008-A96D-42C7-9307-2731A0AA28F8}"/>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AE71-43E2-B82C-E37BDB4AB90B}"/>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AE71-43E2-B82C-E37BDB4AB90B}"/>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AE71-43E2-B82C-E37BDB4AB90B}"/>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AE71-43E2-B82C-E37BDB4AB9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Score'!$F$68:$I$68</c:f>
              <c:numCache>
                <c:formatCode>mmm\-yy</c:formatCode>
                <c:ptCount val="4"/>
                <c:pt idx="0">
                  <c:v>44651</c:v>
                </c:pt>
                <c:pt idx="1">
                  <c:v>45016</c:v>
                </c:pt>
                <c:pt idx="2">
                  <c:v>45382</c:v>
                </c:pt>
                <c:pt idx="3">
                  <c:v>45747</c:v>
                </c:pt>
              </c:numCache>
            </c:numRef>
          </c:cat>
          <c:val>
            <c:numRef>
              <c:f>'Altman Z Score'!$F$93:$I$93</c:f>
              <c:numCache>
                <c:formatCode>#,##0.0</c:formatCode>
                <c:ptCount val="4"/>
                <c:pt idx="0">
                  <c:v>71.486632801757139</c:v>
                </c:pt>
                <c:pt idx="1">
                  <c:v>89.595454860679766</c:v>
                </c:pt>
                <c:pt idx="2">
                  <c:v>101.01122229669836</c:v>
                </c:pt>
                <c:pt idx="3">
                  <c:v>110.78397254806646</c:v>
                </c:pt>
              </c:numCache>
            </c:numRef>
          </c:val>
          <c:extLst>
            <c:ext xmlns:c16="http://schemas.microsoft.com/office/drawing/2014/chart" uri="{C3380CC4-5D6E-409C-BE32-E72D297353CC}">
              <c16:uniqueId val="{00000008-AE71-43E2-B82C-E37BDB4AB90B}"/>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4.xml"/><Relationship Id="rId7"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38100</xdr:colOff>
      <xdr:row>5</xdr:row>
      <xdr:rowOff>47625</xdr:rowOff>
    </xdr:from>
    <xdr:to>
      <xdr:col>8</xdr:col>
      <xdr:colOff>342900</xdr:colOff>
      <xdr:row>19</xdr:row>
      <xdr:rowOff>142875</xdr:rowOff>
    </xdr:to>
    <xdr:graphicFrame macro="">
      <xdr:nvGraphicFramePr>
        <xdr:cNvPr id="2" name="Chart 1">
          <a:extLst>
            <a:ext uri="{FF2B5EF4-FFF2-40B4-BE49-F238E27FC236}">
              <a16:creationId xmlns:a16="http://schemas.microsoft.com/office/drawing/2014/main" id="{33DE4673-F6C4-6EAA-5EDD-0E17C9A62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463550</xdr:colOff>
      <xdr:row>12</xdr:row>
      <xdr:rowOff>95250</xdr:rowOff>
    </xdr:from>
    <xdr:to>
      <xdr:col>8</xdr:col>
      <xdr:colOff>311150</xdr:colOff>
      <xdr:row>12</xdr:row>
      <xdr:rowOff>95250</xdr:rowOff>
    </xdr:to>
    <xdr:cxnSp macro="">
      <xdr:nvCxnSpPr>
        <xdr:cNvPr id="3" name="Straight Connector 2">
          <a:extLst>
            <a:ext uri="{FF2B5EF4-FFF2-40B4-BE49-F238E27FC236}">
              <a16:creationId xmlns:a16="http://schemas.microsoft.com/office/drawing/2014/main" id="{4BA9E952-F27E-1594-78DC-B603BAA50E50}"/>
            </a:ext>
          </a:extLst>
        </xdr:cNvPr>
        <xdr:cNvCxnSpPr/>
      </xdr:nvCxnSpPr>
      <xdr:spPr>
        <a:xfrm>
          <a:off x="587375" y="2209800"/>
          <a:ext cx="4162425" cy="0"/>
        </a:xfrm>
        <a:prstGeom prst="line">
          <a:avLst/>
        </a:prstGeom>
        <a:ln w="12700">
          <a:solidFill>
            <a:schemeClr val="accent2">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130175</xdr:colOff>
      <xdr:row>20</xdr:row>
      <xdr:rowOff>95250</xdr:rowOff>
    </xdr:from>
    <xdr:to>
      <xdr:col>1</xdr:col>
      <xdr:colOff>466725</xdr:colOff>
      <xdr:row>20</xdr:row>
      <xdr:rowOff>95250</xdr:rowOff>
    </xdr:to>
    <xdr:cxnSp macro="">
      <xdr:nvCxnSpPr>
        <xdr:cNvPr id="5" name="Straight Connector 4">
          <a:extLst>
            <a:ext uri="{FF2B5EF4-FFF2-40B4-BE49-F238E27FC236}">
              <a16:creationId xmlns:a16="http://schemas.microsoft.com/office/drawing/2014/main" id="{4BA9E952-F27E-1594-78DC-B603BAA50E50}"/>
            </a:ext>
          </a:extLst>
        </xdr:cNvPr>
        <xdr:cNvCxnSpPr/>
      </xdr:nvCxnSpPr>
      <xdr:spPr>
        <a:xfrm>
          <a:off x="254000" y="3571875"/>
          <a:ext cx="336550" cy="0"/>
        </a:xfrm>
        <a:prstGeom prst="line">
          <a:avLst/>
        </a:prstGeom>
        <a:ln w="12700">
          <a:solidFill>
            <a:schemeClr val="accent2">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114300</xdr:colOff>
      <xdr:row>100</xdr:row>
      <xdr:rowOff>106912</xdr:rowOff>
    </xdr:from>
    <xdr:to>
      <xdr:col>8</xdr:col>
      <xdr:colOff>523348</xdr:colOff>
      <xdr:row>116</xdr:row>
      <xdr:rowOff>19049</xdr:rowOff>
    </xdr:to>
    <xdr:sp macro="" textlink="">
      <xdr:nvSpPr>
        <xdr:cNvPr id="28" name="Text Box 2">
          <a:extLst>
            <a:ext uri="{FF2B5EF4-FFF2-40B4-BE49-F238E27FC236}">
              <a16:creationId xmlns:a16="http://schemas.microsoft.com/office/drawing/2014/main" id="{00000000-0008-0000-0A00-00001C000000}"/>
            </a:ext>
          </a:extLst>
        </xdr:cNvPr>
        <xdr:cNvSpPr txBox="1">
          <a:spLocks noChangeArrowheads="1"/>
        </xdr:cNvSpPr>
      </xdr:nvSpPr>
      <xdr:spPr bwMode="auto">
        <a:xfrm>
          <a:off x="238125" y="19528387"/>
          <a:ext cx="6505048" cy="2922037"/>
        </a:xfrm>
        <a:prstGeom prst="rect">
          <a:avLst/>
        </a:prstGeom>
        <a:noFill/>
        <a:ln w="9525">
          <a:noFill/>
          <a:miter lim="800000"/>
          <a:headEnd/>
          <a:tailEnd/>
        </a:ln>
      </xdr:spPr>
      <xdr:txBody>
        <a:bodyPr rot="0" vert="horz" wrap="square" lIns="91440" tIns="45720" rIns="91440" bIns="45720" anchor="t" anchorCtr="0">
          <a:noAutofit/>
        </a:bodyPr>
        <a:lstStyle/>
        <a:p>
          <a:pPr marL="342900" lvl="0" indent="-342900">
            <a:buFont typeface="Symbol" panose="05050102010706020507" pitchFamily="18" charset="2"/>
            <a:buChar char=""/>
          </a:pPr>
          <a:endParaRPr lang="en-US" sz="1200">
            <a:effectLst/>
            <a:latin typeface="Calibri" panose="020F0502020204030204" pitchFamily="34" charset="0"/>
            <a:ea typeface="Times New Roman" panose="02020603050405020304" pitchFamily="18" charset="0"/>
          </a:endParaRPr>
        </a:p>
        <a:p>
          <a:pPr marL="342900" lvl="0" indent="-342900">
            <a:buFont typeface="Symbol" panose="05050102010706020507" pitchFamily="18" charset="2"/>
            <a:buChar char=""/>
          </a:pPr>
          <a:r>
            <a:rPr lang="en-US" sz="1200">
              <a:effectLst/>
              <a:latin typeface="Calibri" panose="020F0502020204030204" pitchFamily="34" charset="0"/>
              <a:ea typeface="Times New Roman" panose="02020603050405020304" pitchFamily="18" charset="0"/>
            </a:rPr>
            <a:t>The company's return on equity has increased consistently over the years, primarily driven by stronger profitability rather than operational or financial restructuring.</a:t>
          </a:r>
          <a:endParaRPr lang="en-US" sz="1200">
            <a:effectLst/>
            <a:latin typeface="Times New Roman" panose="02020603050405020304" pitchFamily="18" charset="0"/>
            <a:ea typeface="Times New Roman" panose="02020603050405020304" pitchFamily="18" charset="0"/>
          </a:endParaRPr>
        </a:p>
        <a:p>
          <a:pPr marL="342900" lvl="0" indent="-342900">
            <a:buFont typeface="Symbol" panose="05050102010706020507" pitchFamily="18" charset="2"/>
            <a:buChar char=""/>
          </a:pPr>
          <a:r>
            <a:rPr lang="en-US" sz="1200">
              <a:effectLst/>
              <a:latin typeface="Calibri" panose="020F0502020204030204" pitchFamily="34" charset="0"/>
              <a:ea typeface="Times New Roman" panose="02020603050405020304" pitchFamily="18" charset="0"/>
            </a:rPr>
            <a:t>Return on assets has also improved significantly, indicating better overall efficiency in converting assets into net income.</a:t>
          </a:r>
          <a:endParaRPr lang="en-US" sz="1200">
            <a:effectLst/>
            <a:latin typeface="Times New Roman" panose="02020603050405020304" pitchFamily="18" charset="0"/>
            <a:ea typeface="Times New Roman" panose="02020603050405020304" pitchFamily="18" charset="0"/>
          </a:endParaRPr>
        </a:p>
        <a:p>
          <a:pPr marL="342900" lvl="0" indent="-342900">
            <a:buFont typeface="Symbol" panose="05050102010706020507" pitchFamily="18" charset="2"/>
            <a:buChar char=""/>
          </a:pPr>
          <a:r>
            <a:rPr lang="en-US" sz="1200">
              <a:effectLst/>
              <a:latin typeface="Calibri" panose="020F0502020204030204" pitchFamily="34" charset="0"/>
              <a:ea typeface="Times New Roman" panose="02020603050405020304" pitchFamily="18" charset="0"/>
            </a:rPr>
            <a:t>The most important factor behind the rise in both ROE and ROA is the expansion in net profit margins, suggesting improved cost control, pricing power, or product mix.</a:t>
          </a:r>
          <a:endParaRPr lang="en-US" sz="1200">
            <a:effectLst/>
            <a:latin typeface="Times New Roman" panose="02020603050405020304" pitchFamily="18" charset="0"/>
            <a:ea typeface="Times New Roman" panose="02020603050405020304" pitchFamily="18" charset="0"/>
          </a:endParaRPr>
        </a:p>
        <a:p>
          <a:pPr marL="342900" lvl="0" indent="-342900">
            <a:buFont typeface="Symbol" panose="05050102010706020507" pitchFamily="18" charset="2"/>
            <a:buChar char=""/>
          </a:pPr>
          <a:r>
            <a:rPr lang="en-US" sz="1200">
              <a:effectLst/>
              <a:latin typeface="Calibri" panose="020F0502020204030204" pitchFamily="34" charset="0"/>
              <a:ea typeface="Times New Roman" panose="02020603050405020304" pitchFamily="18" charset="0"/>
            </a:rPr>
            <a:t>Asset turnover has remained largely stable, showing that the company’s efficiency in generating revenue from its asset base hasn’t materially changed.</a:t>
          </a:r>
          <a:endParaRPr lang="en-US" sz="1200">
            <a:effectLst/>
            <a:latin typeface="Times New Roman" panose="02020603050405020304" pitchFamily="18" charset="0"/>
            <a:ea typeface="Times New Roman" panose="02020603050405020304" pitchFamily="18" charset="0"/>
          </a:endParaRPr>
        </a:p>
        <a:p>
          <a:pPr marL="342900" lvl="0" indent="-342900">
            <a:buFont typeface="Symbol" panose="05050102010706020507" pitchFamily="18" charset="2"/>
            <a:buChar char=""/>
          </a:pPr>
          <a:r>
            <a:rPr lang="en-US" sz="1200">
              <a:effectLst/>
              <a:latin typeface="Calibri" panose="020F0502020204030204" pitchFamily="34" charset="0"/>
              <a:ea typeface="Times New Roman" panose="02020603050405020304" pitchFamily="18" charset="0"/>
            </a:rPr>
            <a:t>There has been only a marginal increase in financial leverage, which played a minor role in enhancing ROE.</a:t>
          </a:r>
          <a:endParaRPr lang="en-US" sz="1200">
            <a:effectLst/>
            <a:latin typeface="Times New Roman" panose="02020603050405020304" pitchFamily="18" charset="0"/>
            <a:ea typeface="Times New Roman" panose="02020603050405020304" pitchFamily="18" charset="0"/>
          </a:endParaRPr>
        </a:p>
        <a:p>
          <a:pPr marL="342900" lvl="0" indent="-342900">
            <a:buFont typeface="Symbol" panose="05050102010706020507" pitchFamily="18" charset="2"/>
            <a:buChar char=""/>
          </a:pPr>
          <a:r>
            <a:rPr lang="en-US" sz="1200">
              <a:effectLst/>
              <a:latin typeface="Calibri" panose="020F0502020204030204" pitchFamily="34" charset="0"/>
              <a:ea typeface="Times New Roman" panose="02020603050405020304" pitchFamily="18" charset="0"/>
            </a:rPr>
            <a:t>The growth in ROE is not due to higher risk or aggressive borrowing but is largely organic, stemming from stronger operational performance.</a:t>
          </a:r>
          <a:endParaRPr lang="en-US" sz="1200">
            <a:effectLst/>
            <a:latin typeface="Times New Roman" panose="02020603050405020304" pitchFamily="18" charset="0"/>
            <a:ea typeface="Times New Roman" panose="02020603050405020304" pitchFamily="18" charset="0"/>
          </a:endParaRPr>
        </a:p>
        <a:p>
          <a:pPr marL="342900" lvl="0" indent="-342900">
            <a:buFont typeface="Symbol" panose="05050102010706020507" pitchFamily="18" charset="2"/>
            <a:buChar char=""/>
          </a:pPr>
          <a:r>
            <a:rPr lang="en-US" sz="1200">
              <a:effectLst/>
              <a:latin typeface="Calibri" panose="020F0502020204030204" pitchFamily="34" charset="0"/>
              <a:ea typeface="Times New Roman" panose="02020603050405020304" pitchFamily="18" charset="0"/>
            </a:rPr>
            <a:t>Overall, the company’s performance reflects quality-driven growth, with profitability improvements being the dominant force behind stronger returns.</a:t>
          </a:r>
          <a:endParaRPr lang="en-US" sz="1200">
            <a:effectLst/>
            <a:latin typeface="Times New Roman" panose="02020603050405020304" pitchFamily="18" charset="0"/>
            <a:ea typeface="Times New Roman" panose="02020603050405020304" pitchFamily="18" charset="0"/>
          </a:endParaRPr>
        </a:p>
        <a:p>
          <a:pPr>
            <a:lnSpc>
              <a:spcPct val="115000"/>
            </a:lnSpc>
            <a:spcAft>
              <a:spcPts val="1000"/>
            </a:spcAft>
          </a:pPr>
          <a:r>
            <a:rPr lang="en-IN" sz="1100">
              <a:effectLst/>
              <a:latin typeface="Calibri" panose="020F0502020204030204" pitchFamily="34" charset="0"/>
              <a:ea typeface="Calibri" panose="020F0502020204030204" pitchFamily="34" charset="0"/>
              <a:cs typeface="Times New Roman" panose="02020603050405020304" pitchFamily="18" charset="0"/>
            </a:rPr>
            <a:t> </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0</xdr:col>
      <xdr:colOff>3661</xdr:colOff>
      <xdr:row>18</xdr:row>
      <xdr:rowOff>117625</xdr:rowOff>
    </xdr:from>
    <xdr:to>
      <xdr:col>1</xdr:col>
      <xdr:colOff>1934883</xdr:colOff>
      <xdr:row>26</xdr:row>
      <xdr:rowOff>147938</xdr:rowOff>
    </xdr:to>
    <xdr:graphicFrame macro="">
      <xdr:nvGraphicFramePr>
        <xdr:cNvPr id="3" name="Chart 2">
          <a:extLst>
            <a:ext uri="{FF2B5EF4-FFF2-40B4-BE49-F238E27FC236}">
              <a16:creationId xmlns:a16="http://schemas.microsoft.com/office/drawing/2014/main" id="{F1086B5E-DFFF-4C13-3590-DF6689198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193754</xdr:colOff>
      <xdr:row>17</xdr:row>
      <xdr:rowOff>54408</xdr:rowOff>
    </xdr:from>
    <xdr:to>
      <xdr:col>1</xdr:col>
      <xdr:colOff>1602107</xdr:colOff>
      <xdr:row>18</xdr:row>
      <xdr:rowOff>63600</xdr:rowOff>
    </xdr:to>
    <xdr:sp macro="" textlink="">
      <xdr:nvSpPr>
        <xdr:cNvPr id="4" name="TextBox 3">
          <a:extLst>
            <a:ext uri="{FF2B5EF4-FFF2-40B4-BE49-F238E27FC236}">
              <a16:creationId xmlns:a16="http://schemas.microsoft.com/office/drawing/2014/main" id="{B7B023E8-0B2E-E197-E6CC-8422D3A230FE}"/>
            </a:ext>
          </a:extLst>
        </xdr:cNvPr>
        <xdr:cNvSpPr txBox="1"/>
      </xdr:nvSpPr>
      <xdr:spPr>
        <a:xfrm>
          <a:off x="317579" y="3340533"/>
          <a:ext cx="1408353" cy="19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02060"/>
              </a:solidFill>
              <a:latin typeface="+mn-lt"/>
            </a:rPr>
            <a:t>Revenue (INR</a:t>
          </a:r>
          <a:r>
            <a:rPr lang="en-IN" sz="1050" b="1" baseline="0">
              <a:solidFill>
                <a:srgbClr val="002060"/>
              </a:solidFill>
              <a:latin typeface="+mn-lt"/>
            </a:rPr>
            <a:t> Crs.)</a:t>
          </a:r>
          <a:endParaRPr lang="en-IN" sz="1050" b="1">
            <a:solidFill>
              <a:srgbClr val="002060"/>
            </a:solidFill>
            <a:latin typeface="+mn-lt"/>
          </a:endParaRPr>
        </a:p>
      </xdr:txBody>
    </xdr:sp>
    <xdr:clientData/>
  </xdr:twoCellAnchor>
  <xdr:twoCellAnchor>
    <xdr:from>
      <xdr:col>1</xdr:col>
      <xdr:colOff>46580</xdr:colOff>
      <xdr:row>17</xdr:row>
      <xdr:rowOff>67734</xdr:rowOff>
    </xdr:from>
    <xdr:to>
      <xdr:col>1</xdr:col>
      <xdr:colOff>1701800</xdr:colOff>
      <xdr:row>17</xdr:row>
      <xdr:rowOff>72950</xdr:rowOff>
    </xdr:to>
    <xdr:cxnSp macro="">
      <xdr:nvCxnSpPr>
        <xdr:cNvPr id="5" name="Straight Connector 4">
          <a:extLst>
            <a:ext uri="{FF2B5EF4-FFF2-40B4-BE49-F238E27FC236}">
              <a16:creationId xmlns:a16="http://schemas.microsoft.com/office/drawing/2014/main" id="{F6AC0360-765E-8BB5-D6DF-85227E1B8005}"/>
            </a:ext>
          </a:extLst>
        </xdr:cNvPr>
        <xdr:cNvCxnSpPr/>
      </xdr:nvCxnSpPr>
      <xdr:spPr>
        <a:xfrm flipV="1">
          <a:off x="170405" y="3353859"/>
          <a:ext cx="1655220" cy="521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218220</xdr:colOff>
      <xdr:row>17</xdr:row>
      <xdr:rowOff>41371</xdr:rowOff>
    </xdr:from>
    <xdr:to>
      <xdr:col>4</xdr:col>
      <xdr:colOff>334012</xdr:colOff>
      <xdr:row>18</xdr:row>
      <xdr:rowOff>54373</xdr:rowOff>
    </xdr:to>
    <xdr:sp macro="" textlink="">
      <xdr:nvSpPr>
        <xdr:cNvPr id="6" name="TextBox 5">
          <a:extLst>
            <a:ext uri="{FF2B5EF4-FFF2-40B4-BE49-F238E27FC236}">
              <a16:creationId xmlns:a16="http://schemas.microsoft.com/office/drawing/2014/main" id="{73B209D1-EFE5-4A87-B29D-79505F60BF0E}"/>
            </a:ext>
          </a:extLst>
        </xdr:cNvPr>
        <xdr:cNvSpPr txBox="1"/>
      </xdr:nvSpPr>
      <xdr:spPr>
        <a:xfrm>
          <a:off x="2723295" y="3327496"/>
          <a:ext cx="1392142" cy="203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02060"/>
              </a:solidFill>
              <a:latin typeface="+mn-lt"/>
            </a:rPr>
            <a:t>Net Profit (INR</a:t>
          </a:r>
          <a:r>
            <a:rPr lang="en-IN" sz="1050" b="1" baseline="0">
              <a:solidFill>
                <a:srgbClr val="002060"/>
              </a:solidFill>
              <a:latin typeface="+mn-lt"/>
            </a:rPr>
            <a:t> Crs.)</a:t>
          </a:r>
          <a:endParaRPr lang="en-IN" sz="1050" b="1">
            <a:solidFill>
              <a:srgbClr val="002060"/>
            </a:solidFill>
            <a:latin typeface="+mn-lt"/>
          </a:endParaRPr>
        </a:p>
      </xdr:txBody>
    </xdr:sp>
    <xdr:clientData/>
  </xdr:twoCellAnchor>
  <xdr:twoCellAnchor>
    <xdr:from>
      <xdr:col>5</xdr:col>
      <xdr:colOff>459268</xdr:colOff>
      <xdr:row>17</xdr:row>
      <xdr:rowOff>51507</xdr:rowOff>
    </xdr:from>
    <xdr:to>
      <xdr:col>8</xdr:col>
      <xdr:colOff>574885</xdr:colOff>
      <xdr:row>18</xdr:row>
      <xdr:rowOff>77258</xdr:rowOff>
    </xdr:to>
    <xdr:sp macro="" textlink="">
      <xdr:nvSpPr>
        <xdr:cNvPr id="7" name="TextBox 6">
          <a:extLst>
            <a:ext uri="{FF2B5EF4-FFF2-40B4-BE49-F238E27FC236}">
              <a16:creationId xmlns:a16="http://schemas.microsoft.com/office/drawing/2014/main" id="{F1033CB5-641B-43D8-A4AF-7F28247BA08C}"/>
            </a:ext>
          </a:extLst>
        </xdr:cNvPr>
        <xdr:cNvSpPr txBox="1"/>
      </xdr:nvSpPr>
      <xdr:spPr>
        <a:xfrm>
          <a:off x="4850293" y="3337632"/>
          <a:ext cx="1944417" cy="21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02060"/>
              </a:solidFill>
              <a:latin typeface="+mn-lt"/>
            </a:rPr>
            <a:t>Average Total Assets (INR</a:t>
          </a:r>
          <a:r>
            <a:rPr lang="en-IN" sz="1050" b="1" baseline="0">
              <a:solidFill>
                <a:srgbClr val="002060"/>
              </a:solidFill>
              <a:latin typeface="+mn-lt"/>
            </a:rPr>
            <a:t> Crs.)</a:t>
          </a:r>
          <a:endParaRPr lang="en-IN" sz="1050" b="1">
            <a:solidFill>
              <a:srgbClr val="002060"/>
            </a:solidFill>
            <a:latin typeface="+mn-lt"/>
          </a:endParaRPr>
        </a:p>
      </xdr:txBody>
    </xdr:sp>
    <xdr:clientData/>
  </xdr:twoCellAnchor>
  <xdr:twoCellAnchor>
    <xdr:from>
      <xdr:col>1</xdr:col>
      <xdr:colOff>2211794</xdr:colOff>
      <xdr:row>18</xdr:row>
      <xdr:rowOff>129140</xdr:rowOff>
    </xdr:from>
    <xdr:to>
      <xdr:col>4</xdr:col>
      <xdr:colOff>587688</xdr:colOff>
      <xdr:row>26</xdr:row>
      <xdr:rowOff>163263</xdr:rowOff>
    </xdr:to>
    <xdr:graphicFrame macro="">
      <xdr:nvGraphicFramePr>
        <xdr:cNvPr id="8" name="Chart 7">
          <a:extLst>
            <a:ext uri="{FF2B5EF4-FFF2-40B4-BE49-F238E27FC236}">
              <a16:creationId xmlns:a16="http://schemas.microsoft.com/office/drawing/2014/main" id="{D338E88C-C409-4985-8EB5-661DDC077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302136</xdr:colOff>
      <xdr:row>18</xdr:row>
      <xdr:rowOff>109157</xdr:rowOff>
    </xdr:from>
    <xdr:to>
      <xdr:col>8</xdr:col>
      <xdr:colOff>515944</xdr:colOff>
      <xdr:row>26</xdr:row>
      <xdr:rowOff>145185</xdr:rowOff>
    </xdr:to>
    <xdr:graphicFrame macro="">
      <xdr:nvGraphicFramePr>
        <xdr:cNvPr id="9" name="Chart 8">
          <a:extLst>
            <a:ext uri="{FF2B5EF4-FFF2-40B4-BE49-F238E27FC236}">
              <a16:creationId xmlns:a16="http://schemas.microsoft.com/office/drawing/2014/main" id="{33D29D89-1D55-4F80-9BC8-92F85A15F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16933</xdr:colOff>
      <xdr:row>30</xdr:row>
      <xdr:rowOff>51237</xdr:rowOff>
    </xdr:from>
    <xdr:to>
      <xdr:col>1</xdr:col>
      <xdr:colOff>1951965</xdr:colOff>
      <xdr:row>38</xdr:row>
      <xdr:rowOff>83454</xdr:rowOff>
    </xdr:to>
    <xdr:graphicFrame macro="">
      <xdr:nvGraphicFramePr>
        <xdr:cNvPr id="10" name="Chart 9">
          <a:extLst>
            <a:ext uri="{FF2B5EF4-FFF2-40B4-BE49-F238E27FC236}">
              <a16:creationId xmlns:a16="http://schemas.microsoft.com/office/drawing/2014/main" id="{1CF118B4-9DBA-4828-A2B4-9A7BC92A1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219304</xdr:colOff>
      <xdr:row>28</xdr:row>
      <xdr:rowOff>180847</xdr:rowOff>
    </xdr:from>
    <xdr:to>
      <xdr:col>1</xdr:col>
      <xdr:colOff>1627657</xdr:colOff>
      <xdr:row>29</xdr:row>
      <xdr:rowOff>188135</xdr:rowOff>
    </xdr:to>
    <xdr:sp macro="" textlink="">
      <xdr:nvSpPr>
        <xdr:cNvPr id="11" name="TextBox 10">
          <a:extLst>
            <a:ext uri="{FF2B5EF4-FFF2-40B4-BE49-F238E27FC236}">
              <a16:creationId xmlns:a16="http://schemas.microsoft.com/office/drawing/2014/main" id="{64F0EF42-3F27-47B8-BD4F-A7DD6B9A9B66}"/>
            </a:ext>
          </a:extLst>
        </xdr:cNvPr>
        <xdr:cNvSpPr txBox="1"/>
      </xdr:nvSpPr>
      <xdr:spPr>
        <a:xfrm>
          <a:off x="343129" y="5562472"/>
          <a:ext cx="1408353" cy="197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02060"/>
              </a:solidFill>
              <a:latin typeface="+mn-lt"/>
            </a:rPr>
            <a:t>Return on Equity (%)</a:t>
          </a:r>
        </a:p>
      </xdr:txBody>
    </xdr:sp>
    <xdr:clientData/>
  </xdr:twoCellAnchor>
  <xdr:twoCellAnchor>
    <xdr:from>
      <xdr:col>2</xdr:col>
      <xdr:colOff>249271</xdr:colOff>
      <xdr:row>28</xdr:row>
      <xdr:rowOff>155944</xdr:rowOff>
    </xdr:from>
    <xdr:to>
      <xdr:col>4</xdr:col>
      <xdr:colOff>363158</xdr:colOff>
      <xdr:row>29</xdr:row>
      <xdr:rowOff>180377</xdr:rowOff>
    </xdr:to>
    <xdr:sp macro="" textlink="">
      <xdr:nvSpPr>
        <xdr:cNvPr id="12" name="TextBox 11">
          <a:extLst>
            <a:ext uri="{FF2B5EF4-FFF2-40B4-BE49-F238E27FC236}">
              <a16:creationId xmlns:a16="http://schemas.microsoft.com/office/drawing/2014/main" id="{E241296C-9003-4F5A-A783-0F8ECA8E95F0}"/>
            </a:ext>
          </a:extLst>
        </xdr:cNvPr>
        <xdr:cNvSpPr txBox="1"/>
      </xdr:nvSpPr>
      <xdr:spPr>
        <a:xfrm>
          <a:off x="2754346" y="5537569"/>
          <a:ext cx="1390237" cy="214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02060"/>
              </a:solidFill>
              <a:latin typeface="+mn-lt"/>
            </a:rPr>
            <a:t>Return</a:t>
          </a:r>
          <a:r>
            <a:rPr lang="en-IN" sz="1050" b="1" baseline="0">
              <a:solidFill>
                <a:srgbClr val="002060"/>
              </a:solidFill>
              <a:latin typeface="+mn-lt"/>
            </a:rPr>
            <a:t> on Asset (%)</a:t>
          </a:r>
          <a:endParaRPr lang="en-IN" sz="1050" b="1">
            <a:solidFill>
              <a:srgbClr val="002060"/>
            </a:solidFill>
            <a:latin typeface="+mn-lt"/>
          </a:endParaRPr>
        </a:p>
      </xdr:txBody>
    </xdr:sp>
    <xdr:clientData/>
  </xdr:twoCellAnchor>
  <xdr:twoCellAnchor>
    <xdr:from>
      <xdr:col>1</xdr:col>
      <xdr:colOff>2224219</xdr:colOff>
      <xdr:row>30</xdr:row>
      <xdr:rowOff>60411</xdr:rowOff>
    </xdr:from>
    <xdr:to>
      <xdr:col>4</xdr:col>
      <xdr:colOff>586778</xdr:colOff>
      <xdr:row>38</xdr:row>
      <xdr:rowOff>94533</xdr:rowOff>
    </xdr:to>
    <xdr:graphicFrame macro="">
      <xdr:nvGraphicFramePr>
        <xdr:cNvPr id="13" name="Chart 12">
          <a:extLst>
            <a:ext uri="{FF2B5EF4-FFF2-40B4-BE49-F238E27FC236}">
              <a16:creationId xmlns:a16="http://schemas.microsoft.com/office/drawing/2014/main" id="{CA94DF9B-FAFD-44D9-B86E-E7CF3CA6C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134310</xdr:colOff>
      <xdr:row>28</xdr:row>
      <xdr:rowOff>146136</xdr:rowOff>
    </xdr:from>
    <xdr:to>
      <xdr:col>8</xdr:col>
      <xdr:colOff>315084</xdr:colOff>
      <xdr:row>29</xdr:row>
      <xdr:rowOff>149614</xdr:rowOff>
    </xdr:to>
    <xdr:sp macro="" textlink="">
      <xdr:nvSpPr>
        <xdr:cNvPr id="14" name="TextBox 13">
          <a:extLst>
            <a:ext uri="{FF2B5EF4-FFF2-40B4-BE49-F238E27FC236}">
              <a16:creationId xmlns:a16="http://schemas.microsoft.com/office/drawing/2014/main" id="{CD8868A1-D8C4-4BD4-9656-D859D65F62A1}"/>
            </a:ext>
          </a:extLst>
        </xdr:cNvPr>
        <xdr:cNvSpPr txBox="1"/>
      </xdr:nvSpPr>
      <xdr:spPr>
        <a:xfrm>
          <a:off x="5134935" y="5527761"/>
          <a:ext cx="1399974" cy="193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02060"/>
              </a:solidFill>
              <a:latin typeface="+mn-lt"/>
            </a:rPr>
            <a:t>Financial Leverage</a:t>
          </a:r>
        </a:p>
      </xdr:txBody>
    </xdr:sp>
    <xdr:clientData/>
  </xdr:twoCellAnchor>
  <xdr:twoCellAnchor>
    <xdr:from>
      <xdr:col>5</xdr:col>
      <xdr:colOff>302048</xdr:colOff>
      <xdr:row>30</xdr:row>
      <xdr:rowOff>63513</xdr:rowOff>
    </xdr:from>
    <xdr:to>
      <xdr:col>8</xdr:col>
      <xdr:colOff>511399</xdr:colOff>
      <xdr:row>38</xdr:row>
      <xdr:rowOff>101445</xdr:rowOff>
    </xdr:to>
    <xdr:graphicFrame macro="">
      <xdr:nvGraphicFramePr>
        <xdr:cNvPr id="15" name="Chart 14">
          <a:extLst>
            <a:ext uri="{FF2B5EF4-FFF2-40B4-BE49-F238E27FC236}">
              <a16:creationId xmlns:a16="http://schemas.microsoft.com/office/drawing/2014/main" id="{C0C96841-DF53-4B86-8B2A-3C3A3CE38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121228</xdr:colOff>
      <xdr:row>40</xdr:row>
      <xdr:rowOff>42824</xdr:rowOff>
    </xdr:from>
    <xdr:to>
      <xdr:col>9</xdr:col>
      <xdr:colOff>1</xdr:colOff>
      <xdr:row>53</xdr:row>
      <xdr:rowOff>276972</xdr:rowOff>
    </xdr:to>
    <xdr:sp macro="" textlink="">
      <xdr:nvSpPr>
        <xdr:cNvPr id="16" name="TextBox 15">
          <a:extLst>
            <a:ext uri="{FF2B5EF4-FFF2-40B4-BE49-F238E27FC236}">
              <a16:creationId xmlns:a16="http://schemas.microsoft.com/office/drawing/2014/main" id="{A46C8345-F2E9-48A8-16B1-9BDC75D93946}"/>
            </a:ext>
          </a:extLst>
        </xdr:cNvPr>
        <xdr:cNvSpPr txBox="1"/>
      </xdr:nvSpPr>
      <xdr:spPr>
        <a:xfrm>
          <a:off x="121228" y="8091449"/>
          <a:ext cx="6708198" cy="2710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200"/>
            <a:t>Q1 FY 2025‑26 revenue grew </a:t>
          </a:r>
          <a:r>
            <a:rPr lang="en-US" sz="1200" b="1"/>
            <a:t>20% YoY</a:t>
          </a:r>
          <a:r>
            <a:rPr lang="en-US" sz="1200"/>
            <a:t> to around </a:t>
          </a:r>
          <a:r>
            <a:rPr lang="en-US" sz="1200" b="1"/>
            <a:t>₹20,910‑₹21,500 crore</a:t>
          </a:r>
          <a:r>
            <a:rPr lang="en-US" sz="1200"/>
            <a:t>Q1 FY 2025‑26 net profit was </a:t>
          </a:r>
          <a:r>
            <a:rPr lang="en-US" sz="1200" b="1"/>
            <a:t>₹5,243‑₹5,343 crore</a:t>
          </a:r>
          <a:r>
            <a:rPr lang="en-US" sz="1200"/>
            <a:t>, up </a:t>
          </a:r>
          <a:r>
            <a:rPr lang="en-US" sz="1200" b="1"/>
            <a:t>3‑5% YoY. </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200" b="1"/>
            <a:t>Gross Margin down 748 basis points YoY</a:t>
          </a:r>
          <a:r>
            <a:rPr lang="en-US" sz="1200"/>
            <a:t>; </a:t>
          </a:r>
          <a:r>
            <a:rPr lang="en-US" sz="1200" b="1"/>
            <a:t>EBITDA margin down 547 bps YoY (to 31.7%)</a:t>
          </a:r>
          <a:r>
            <a:rPr lang="en-US" sz="1200"/>
            <a:t> driven by high input /leaf tobacco &amp; change in revenue mix.</a:t>
          </a:r>
          <a:r>
            <a:rPr lang="en-IN" sz="1200" b="0" i="0">
              <a:solidFill>
                <a:schemeClr val="dk1"/>
              </a:solidFill>
              <a:effectLst/>
              <a:latin typeface="+mn-lt"/>
              <a:ea typeface="+mn-ea"/>
              <a:cs typeface="+mn-cs"/>
            </a:rPr>
            <a:t>. </a:t>
          </a:r>
        </a:p>
        <a:p>
          <a:pPr marL="171450" indent="-171450">
            <a:buFont typeface="Arial" panose="020B0604020202020204" pitchFamily="34" charset="0"/>
            <a:buChar char="•"/>
          </a:pPr>
          <a:r>
            <a:rPr lang="en-US" sz="1200" b="1"/>
            <a:t>Paperboards, Paper &amp; Packaging (PPP) revenue grew 7% YoY</a:t>
          </a:r>
          <a:r>
            <a:rPr lang="en-US" sz="1200"/>
            <a:t> (₹2,115‑2,116 crore) but EBIT margin &amp; PBIT dropped sharply </a:t>
          </a:r>
          <a:r>
            <a:rPr lang="en-US" sz="1200" b="1"/>
            <a:t>(550bps decline). </a:t>
          </a:r>
          <a:r>
            <a:rPr lang="en-IN" sz="1200" b="0" i="0">
              <a:solidFill>
                <a:schemeClr val="dk1"/>
              </a:solidFill>
              <a:effectLst/>
              <a:latin typeface="+mn-lt"/>
              <a:ea typeface="+mn-ea"/>
              <a:cs typeface="+mn-cs"/>
            </a:rPr>
            <a:t> With the discretionary product mix being impacted, gross margins for the quarter came in below our estimate at 14.0%.</a:t>
          </a:r>
          <a:r>
            <a:rPr lang="en-IN" sz="1200" b="0" i="0" baseline="0">
              <a:solidFill>
                <a:schemeClr val="dk1"/>
              </a:solidFill>
              <a:effectLst/>
              <a:latin typeface="+mn-lt"/>
              <a:ea typeface="+mn-ea"/>
              <a:cs typeface="+mn-cs"/>
            </a:rPr>
            <a:t> </a:t>
          </a:r>
        </a:p>
        <a:p>
          <a:pPr marL="171450" indent="-171450">
            <a:buFont typeface="Arial" panose="020B0604020202020204" pitchFamily="34" charset="0"/>
            <a:buChar char="•"/>
          </a:pPr>
          <a:r>
            <a:rPr lang="en-US" sz="1200" b="1"/>
            <a:t>Cigarette business revenue grew 7.6‑7.7% YoY</a:t>
          </a:r>
          <a:r>
            <a:rPr lang="en-US" sz="1200"/>
            <a:t>; volumes up 6</a:t>
          </a:r>
        </a:p>
        <a:p>
          <a:pPr marL="171450" indent="-171450">
            <a:buFont typeface="Arial" panose="020B0604020202020204" pitchFamily="34" charset="0"/>
            <a:buChar char="•"/>
          </a:pPr>
          <a:r>
            <a:rPr lang="en-US" sz="1200" b="1"/>
            <a:t>Agri business posted ~38.9% YoY</a:t>
          </a:r>
          <a:r>
            <a:rPr lang="en-US" sz="1200"/>
            <a:t> growth in revenues (~₹9,685 crore) with ~22% YoY growth in EBIT/PBIT. </a:t>
          </a:r>
        </a:p>
        <a:p>
          <a:pPr marL="171450" indent="-171450">
            <a:buFont typeface="Arial" panose="020B0604020202020204" pitchFamily="34" charset="0"/>
            <a:buChar char="•"/>
          </a:pPr>
          <a:r>
            <a:rPr lang="en-US" sz="1200"/>
            <a:t>Acquired </a:t>
          </a:r>
          <a:r>
            <a:rPr lang="en-US" sz="1200" b="1"/>
            <a:t>Sresta Natural Bioproducts</a:t>
          </a:r>
          <a:r>
            <a:rPr lang="en-US" sz="1200"/>
            <a:t> (organic staples) fully in June 2025. </a:t>
          </a:r>
        </a:p>
        <a:p>
          <a:pPr marL="171450" indent="-171450">
            <a:buFont typeface="Arial" panose="020B0604020202020204" pitchFamily="34" charset="0"/>
            <a:buChar char="•"/>
          </a:pPr>
          <a:r>
            <a:rPr lang="en-US" sz="1200"/>
            <a:t>Acquired </a:t>
          </a:r>
          <a:r>
            <a:rPr lang="en-US" sz="1200" b="1"/>
            <a:t>Mother Sparsh</a:t>
          </a:r>
          <a:r>
            <a:rPr lang="en-US" sz="1200"/>
            <a:t> (premium natural/ayurvedic babycare &amp; hygiene). </a:t>
          </a:r>
        </a:p>
        <a:p>
          <a:pPr marL="171450" indent="-171450">
            <a:buFont typeface="Arial" panose="020B0604020202020204" pitchFamily="34" charset="0"/>
            <a:buChar char="•"/>
          </a:pPr>
          <a:r>
            <a:rPr lang="en-US" sz="1200"/>
            <a:t>Laid out plans to invest </a:t>
          </a:r>
          <a:r>
            <a:rPr lang="en-US" sz="1200" b="1"/>
            <a:t>₹20,000 crore</a:t>
          </a:r>
          <a:r>
            <a:rPr lang="en-US" sz="1200"/>
            <a:t> over the medium term in new manufacturing units to boost capacity. </a:t>
          </a:r>
          <a:br>
            <a:rPr lang="en-IN" sz="1200"/>
          </a:br>
          <a:br>
            <a:rPr lang="en-IN" sz="1200"/>
          </a:br>
          <a:endParaRPr lang="en-IN" sz="1200" b="0"/>
        </a:p>
      </xdr:txBody>
    </xdr:sp>
    <xdr:clientData/>
  </xdr:twoCellAnchor>
  <xdr:twoCellAnchor>
    <xdr:from>
      <xdr:col>2</xdr:col>
      <xdr:colOff>17371</xdr:colOff>
      <xdr:row>17</xdr:row>
      <xdr:rowOff>61172</xdr:rowOff>
    </xdr:from>
    <xdr:to>
      <xdr:col>4</xdr:col>
      <xdr:colOff>401744</xdr:colOff>
      <xdr:row>17</xdr:row>
      <xdr:rowOff>64483</xdr:rowOff>
    </xdr:to>
    <xdr:cxnSp macro="">
      <xdr:nvCxnSpPr>
        <xdr:cNvPr id="17" name="Straight Connector 16">
          <a:extLst>
            <a:ext uri="{FF2B5EF4-FFF2-40B4-BE49-F238E27FC236}">
              <a16:creationId xmlns:a16="http://schemas.microsoft.com/office/drawing/2014/main" id="{E6F0DFE1-A896-4FDB-9C4F-33DD3E7D8EF8}"/>
            </a:ext>
          </a:extLst>
        </xdr:cNvPr>
        <xdr:cNvCxnSpPr/>
      </xdr:nvCxnSpPr>
      <xdr:spPr>
        <a:xfrm flipV="1">
          <a:off x="2522446" y="3347297"/>
          <a:ext cx="1660723" cy="331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523465</xdr:colOff>
      <xdr:row>17</xdr:row>
      <xdr:rowOff>63077</xdr:rowOff>
    </xdr:from>
    <xdr:to>
      <xdr:col>8</xdr:col>
      <xdr:colOff>359410</xdr:colOff>
      <xdr:row>17</xdr:row>
      <xdr:rowOff>64483</xdr:rowOff>
    </xdr:to>
    <xdr:cxnSp macro="">
      <xdr:nvCxnSpPr>
        <xdr:cNvPr id="18" name="Straight Connector 17">
          <a:extLst>
            <a:ext uri="{FF2B5EF4-FFF2-40B4-BE49-F238E27FC236}">
              <a16:creationId xmlns:a16="http://schemas.microsoft.com/office/drawing/2014/main" id="{703F9EF8-5DC8-493F-A2B2-63A7F1AEE947}"/>
            </a:ext>
          </a:extLst>
        </xdr:cNvPr>
        <xdr:cNvCxnSpPr/>
      </xdr:nvCxnSpPr>
      <xdr:spPr>
        <a:xfrm flipV="1">
          <a:off x="4914490" y="3349202"/>
          <a:ext cx="1664745"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91666</xdr:colOff>
      <xdr:row>28</xdr:row>
      <xdr:rowOff>181609</xdr:rowOff>
    </xdr:from>
    <xdr:to>
      <xdr:col>1</xdr:col>
      <xdr:colOff>1760221</xdr:colOff>
      <xdr:row>28</xdr:row>
      <xdr:rowOff>183015</xdr:rowOff>
    </xdr:to>
    <xdr:cxnSp macro="">
      <xdr:nvCxnSpPr>
        <xdr:cNvPr id="19" name="Straight Connector 18">
          <a:extLst>
            <a:ext uri="{FF2B5EF4-FFF2-40B4-BE49-F238E27FC236}">
              <a16:creationId xmlns:a16="http://schemas.microsoft.com/office/drawing/2014/main" id="{6DC919CE-2B01-4328-B9AF-157CB9E1B3A2}"/>
            </a:ext>
          </a:extLst>
        </xdr:cNvPr>
        <xdr:cNvCxnSpPr/>
      </xdr:nvCxnSpPr>
      <xdr:spPr>
        <a:xfrm flipV="1">
          <a:off x="215491" y="5563234"/>
          <a:ext cx="1668555"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11657</xdr:colOff>
      <xdr:row>28</xdr:row>
      <xdr:rowOff>190076</xdr:rowOff>
    </xdr:from>
    <xdr:to>
      <xdr:col>4</xdr:col>
      <xdr:colOff>415080</xdr:colOff>
      <xdr:row>28</xdr:row>
      <xdr:rowOff>190076</xdr:rowOff>
    </xdr:to>
    <xdr:cxnSp macro="">
      <xdr:nvCxnSpPr>
        <xdr:cNvPr id="20" name="Straight Connector 19">
          <a:extLst>
            <a:ext uri="{FF2B5EF4-FFF2-40B4-BE49-F238E27FC236}">
              <a16:creationId xmlns:a16="http://schemas.microsoft.com/office/drawing/2014/main" id="{A0E8B039-2C0E-41D1-8228-C3DFC46D1BA7}"/>
            </a:ext>
          </a:extLst>
        </xdr:cNvPr>
        <xdr:cNvCxnSpPr/>
      </xdr:nvCxnSpPr>
      <xdr:spPr>
        <a:xfrm flipV="1">
          <a:off x="2516732" y="5571701"/>
          <a:ext cx="1679773"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499971</xdr:colOff>
      <xdr:row>28</xdr:row>
      <xdr:rowOff>154304</xdr:rowOff>
    </xdr:from>
    <xdr:to>
      <xdr:col>8</xdr:col>
      <xdr:colOff>351156</xdr:colOff>
      <xdr:row>28</xdr:row>
      <xdr:rowOff>154304</xdr:rowOff>
    </xdr:to>
    <xdr:cxnSp macro="">
      <xdr:nvCxnSpPr>
        <xdr:cNvPr id="21" name="Straight Connector 20">
          <a:extLst>
            <a:ext uri="{FF2B5EF4-FFF2-40B4-BE49-F238E27FC236}">
              <a16:creationId xmlns:a16="http://schemas.microsoft.com/office/drawing/2014/main" id="{9C711A49-1CC3-493C-98DD-AA046BEF641C}"/>
            </a:ext>
          </a:extLst>
        </xdr:cNvPr>
        <xdr:cNvCxnSpPr/>
      </xdr:nvCxnSpPr>
      <xdr:spPr>
        <a:xfrm flipV="1">
          <a:off x="4890996" y="5535929"/>
          <a:ext cx="167998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61837</xdr:colOff>
      <xdr:row>57</xdr:row>
      <xdr:rowOff>97820</xdr:rowOff>
    </xdr:from>
    <xdr:to>
      <xdr:col>9</xdr:col>
      <xdr:colOff>60990</xdr:colOff>
      <xdr:row>59</xdr:row>
      <xdr:rowOff>33306</xdr:rowOff>
    </xdr:to>
    <xdr:sp macro="" textlink="">
      <xdr:nvSpPr>
        <xdr:cNvPr id="22" name="TextBox 21">
          <a:extLst>
            <a:ext uri="{FF2B5EF4-FFF2-40B4-BE49-F238E27FC236}">
              <a16:creationId xmlns:a16="http://schemas.microsoft.com/office/drawing/2014/main" id="{D40BCC90-09D2-49AC-A503-DD369F15677D}"/>
            </a:ext>
          </a:extLst>
        </xdr:cNvPr>
        <xdr:cNvSpPr txBox="1"/>
      </xdr:nvSpPr>
      <xdr:spPr>
        <a:xfrm>
          <a:off x="61837" y="11099195"/>
          <a:ext cx="6828578" cy="316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800" b="1" i="0">
              <a:solidFill>
                <a:srgbClr val="002060"/>
              </a:solidFill>
              <a:effectLst/>
              <a:latin typeface="+mn-lt"/>
              <a:ea typeface="+mn-ea"/>
              <a:cs typeface="+mn-cs"/>
            </a:rPr>
            <a:t>Dupont Analysis - Return on Equity &amp; Return</a:t>
          </a:r>
          <a:r>
            <a:rPr lang="en-IN" sz="1800" b="1" i="0" baseline="0">
              <a:solidFill>
                <a:srgbClr val="002060"/>
              </a:solidFill>
              <a:effectLst/>
              <a:latin typeface="+mn-lt"/>
              <a:ea typeface="+mn-ea"/>
              <a:cs typeface="+mn-cs"/>
            </a:rPr>
            <a:t> on Asset</a:t>
          </a:r>
          <a:endParaRPr lang="en-IN" sz="1800" b="1" i="0">
            <a:solidFill>
              <a:srgbClr val="002060"/>
            </a:solidFill>
            <a:effectLst/>
            <a:latin typeface="+mn-lt"/>
            <a:ea typeface="+mn-ea"/>
            <a:cs typeface="+mn-cs"/>
          </a:endParaRPr>
        </a:p>
      </xdr:txBody>
    </xdr:sp>
    <xdr:clientData/>
  </xdr:twoCellAnchor>
  <xdr:twoCellAnchor>
    <xdr:from>
      <xdr:col>1</xdr:col>
      <xdr:colOff>32461</xdr:colOff>
      <xdr:row>116</xdr:row>
      <xdr:rowOff>21724</xdr:rowOff>
    </xdr:from>
    <xdr:to>
      <xdr:col>9</xdr:col>
      <xdr:colOff>217558</xdr:colOff>
      <xdr:row>119</xdr:row>
      <xdr:rowOff>32106</xdr:rowOff>
    </xdr:to>
    <xdr:sp macro="" textlink="">
      <xdr:nvSpPr>
        <xdr:cNvPr id="24" name="TextBox 23">
          <a:extLst>
            <a:ext uri="{FF2B5EF4-FFF2-40B4-BE49-F238E27FC236}">
              <a16:creationId xmlns:a16="http://schemas.microsoft.com/office/drawing/2014/main" id="{92D6A1EA-1C9B-48AA-BEFB-1AB6F493B248}"/>
            </a:ext>
          </a:extLst>
        </xdr:cNvPr>
        <xdr:cNvSpPr txBox="1"/>
      </xdr:nvSpPr>
      <xdr:spPr>
        <a:xfrm>
          <a:off x="160888" y="22860320"/>
          <a:ext cx="6895406" cy="588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900" b="0" i="1">
              <a:solidFill>
                <a:srgbClr val="002060"/>
              </a:solidFill>
              <a:effectLst/>
              <a:latin typeface="+mn-lt"/>
              <a:ea typeface="+mn-ea"/>
              <a:cs typeface="+mn-cs"/>
            </a:rPr>
            <a:t>Disclaimer</a:t>
          </a:r>
          <a:r>
            <a:rPr lang="en-IN" sz="900" b="0" i="1">
              <a:solidFill>
                <a:srgbClr val="028655"/>
              </a:solidFill>
              <a:effectLst/>
              <a:latin typeface="+mn-lt"/>
              <a:ea typeface="+mn-ea"/>
              <a:cs typeface="+mn-cs"/>
            </a:rPr>
            <a:t> : </a:t>
          </a:r>
          <a:r>
            <a:rPr lang="en-IN" sz="900" b="0" i="1">
              <a:solidFill>
                <a:sysClr val="windowText" lastClr="000000"/>
              </a:solidFill>
              <a:effectLst/>
              <a:latin typeface="+mn-lt"/>
              <a:ea typeface="+mn-ea"/>
              <a:cs typeface="+mn-cs"/>
            </a:rPr>
            <a:t>This report is made as part</a:t>
          </a:r>
          <a:r>
            <a:rPr lang="en-IN" sz="900" b="0" i="1" baseline="0">
              <a:solidFill>
                <a:sysClr val="windowText" lastClr="000000"/>
              </a:solidFill>
              <a:effectLst/>
              <a:latin typeface="+mn-lt"/>
              <a:ea typeface="+mn-ea"/>
              <a:cs typeface="+mn-cs"/>
            </a:rPr>
            <a:t> of educational assignment and is meant for educational purpose only. The author of the report is not liable for any losses due to actions taken basis this report. It is advisable to consult SEBI registered reasearch analyst before making any investments</a:t>
          </a:r>
          <a:endParaRPr lang="en-IN" sz="900" b="0" i="1">
            <a:solidFill>
              <a:sysClr val="windowText" lastClr="000000"/>
            </a:solidFill>
            <a:effectLst/>
            <a:latin typeface="+mn-lt"/>
            <a:ea typeface="+mn-ea"/>
            <a:cs typeface="+mn-cs"/>
          </a:endParaRPr>
        </a:p>
      </xdr:txBody>
    </xdr:sp>
    <xdr:clientData/>
  </xdr:twoCellAnchor>
  <xdr:twoCellAnchor editAs="oneCell">
    <xdr:from>
      <xdr:col>6</xdr:col>
      <xdr:colOff>493555</xdr:colOff>
      <xdr:row>2</xdr:row>
      <xdr:rowOff>96321</xdr:rowOff>
    </xdr:from>
    <xdr:to>
      <xdr:col>8</xdr:col>
      <xdr:colOff>503006</xdr:colOff>
      <xdr:row>6</xdr:row>
      <xdr:rowOff>140095</xdr:rowOff>
    </xdr:to>
    <xdr:pic>
      <xdr:nvPicPr>
        <xdr:cNvPr id="25" name="Picture 24">
          <a:extLst>
            <a:ext uri="{FF2B5EF4-FFF2-40B4-BE49-F238E27FC236}">
              <a16:creationId xmlns:a16="http://schemas.microsoft.com/office/drawing/2014/main" id="{00000000-0008-0000-0A00-000019000000}"/>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299" b="100000" l="0" r="100000">
                      <a14:foregroundMark x1="39024" y1="48773" x2="39024" y2="48773"/>
                      <a14:foregroundMark x1="50854" y1="80519" x2="50854" y2="80519"/>
                      <a14:foregroundMark x1="26707" y1="81097" x2="26707" y2="81097"/>
                      <a14:foregroundMark x1="66951" y1="77345" x2="66951" y2="77345"/>
                    </a14:backgroundRemoval>
                  </a14:imgEffect>
                </a14:imgLayer>
              </a14:imgProps>
            </a:ext>
            <a:ext uri="{28A0092B-C50C-407E-A947-70E740481C1C}">
              <a14:useLocalDpi xmlns:a14="http://schemas.microsoft.com/office/drawing/2010/main" val="0"/>
            </a:ext>
          </a:extLst>
        </a:blip>
        <a:stretch>
          <a:fillRect/>
        </a:stretch>
      </xdr:blipFill>
      <xdr:spPr>
        <a:xfrm>
          <a:off x="5502207" y="224748"/>
          <a:ext cx="1229507" cy="1039083"/>
        </a:xfrm>
        <a:prstGeom prst="rect">
          <a:avLst/>
        </a:prstGeom>
      </xdr:spPr>
    </xdr:pic>
    <xdr:clientData/>
  </xdr:twoCellAnchor>
  <xdr:twoCellAnchor>
    <xdr:from>
      <xdr:col>0</xdr:col>
      <xdr:colOff>102177</xdr:colOff>
      <xdr:row>9</xdr:row>
      <xdr:rowOff>57151</xdr:rowOff>
    </xdr:from>
    <xdr:to>
      <xdr:col>9</xdr:col>
      <xdr:colOff>100217</xdr:colOff>
      <xdr:row>14</xdr:row>
      <xdr:rowOff>19050</xdr:rowOff>
    </xdr:to>
    <xdr:sp macro="" textlink="">
      <xdr:nvSpPr>
        <xdr:cNvPr id="30" name="TextBox 29">
          <a:extLst>
            <a:ext uri="{FF2B5EF4-FFF2-40B4-BE49-F238E27FC236}">
              <a16:creationId xmlns:a16="http://schemas.microsoft.com/office/drawing/2014/main" id="{A46C8345-F2E9-48A8-16B1-9BDC75D93946}"/>
            </a:ext>
          </a:extLst>
        </xdr:cNvPr>
        <xdr:cNvSpPr txBox="1"/>
      </xdr:nvSpPr>
      <xdr:spPr>
        <a:xfrm>
          <a:off x="102177" y="1981201"/>
          <a:ext cx="6827465" cy="1285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0" i="0" u="none" strike="noStrike">
              <a:solidFill>
                <a:schemeClr val="dk1"/>
              </a:solidFill>
              <a:effectLst/>
              <a:latin typeface="+mn-lt"/>
              <a:ea typeface="+mn-ea"/>
              <a:cs typeface="+mn-cs"/>
            </a:rPr>
            <a:t>ITC is one of India's foremost private sector companies and a diversified conglomerate with businesses spanning Fast Moving Consumer Goods, Paperboards and Packaging, Agri Business and Information Technology. The Company is acknowledged as one of India's most valuable business corporations with a Gross Revenue of ₹ 73,465 crores and EBITDA of ₹ 24,025 crores (as on 31.03.2025). ITC was ranked as India's most admired company, according to a survey conducted by Fortune India, in association with Hay Group.</a:t>
          </a:r>
          <a:r>
            <a:rPr lang="en-US" sz="1400"/>
            <a:t> </a:t>
          </a:r>
          <a:endParaRPr lang="en-IN" sz="14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3661</xdr:colOff>
      <xdr:row>18</xdr:row>
      <xdr:rowOff>117625</xdr:rowOff>
    </xdr:from>
    <xdr:to>
      <xdr:col>1</xdr:col>
      <xdr:colOff>1934883</xdr:colOff>
      <xdr:row>26</xdr:row>
      <xdr:rowOff>147938</xdr:rowOff>
    </xdr:to>
    <xdr:graphicFrame macro="">
      <xdr:nvGraphicFramePr>
        <xdr:cNvPr id="3" name="Chart 2">
          <a:extLst>
            <a:ext uri="{FF2B5EF4-FFF2-40B4-BE49-F238E27FC236}">
              <a16:creationId xmlns:a16="http://schemas.microsoft.com/office/drawing/2014/main" id="{F1086B5E-DFFF-4C13-3590-DF6689198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193754</xdr:colOff>
      <xdr:row>17</xdr:row>
      <xdr:rowOff>105039</xdr:rowOff>
    </xdr:from>
    <xdr:to>
      <xdr:col>1</xdr:col>
      <xdr:colOff>1602107</xdr:colOff>
      <xdr:row>19</xdr:row>
      <xdr:rowOff>13068</xdr:rowOff>
    </xdr:to>
    <xdr:sp macro="" textlink="">
      <xdr:nvSpPr>
        <xdr:cNvPr id="4" name="TextBox 3">
          <a:extLst>
            <a:ext uri="{FF2B5EF4-FFF2-40B4-BE49-F238E27FC236}">
              <a16:creationId xmlns:a16="http://schemas.microsoft.com/office/drawing/2014/main" id="{B7B023E8-0B2E-E197-E6CC-8422D3A230FE}"/>
            </a:ext>
          </a:extLst>
        </xdr:cNvPr>
        <xdr:cNvSpPr txBox="1"/>
      </xdr:nvSpPr>
      <xdr:spPr>
        <a:xfrm>
          <a:off x="317579" y="3762639"/>
          <a:ext cx="1408353" cy="289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002060"/>
              </a:solidFill>
              <a:latin typeface="+mn-lt"/>
            </a:rPr>
            <a:t>WC/Total Assets</a:t>
          </a:r>
        </a:p>
      </xdr:txBody>
    </xdr:sp>
    <xdr:clientData/>
  </xdr:twoCellAnchor>
  <xdr:twoCellAnchor>
    <xdr:from>
      <xdr:col>1</xdr:col>
      <xdr:colOff>46580</xdr:colOff>
      <xdr:row>17</xdr:row>
      <xdr:rowOff>67734</xdr:rowOff>
    </xdr:from>
    <xdr:to>
      <xdr:col>1</xdr:col>
      <xdr:colOff>1701800</xdr:colOff>
      <xdr:row>17</xdr:row>
      <xdr:rowOff>72950</xdr:rowOff>
    </xdr:to>
    <xdr:cxnSp macro="">
      <xdr:nvCxnSpPr>
        <xdr:cNvPr id="5" name="Straight Connector 4">
          <a:extLst>
            <a:ext uri="{FF2B5EF4-FFF2-40B4-BE49-F238E27FC236}">
              <a16:creationId xmlns:a16="http://schemas.microsoft.com/office/drawing/2014/main" id="{F6AC0360-765E-8BB5-D6DF-85227E1B8005}"/>
            </a:ext>
          </a:extLst>
        </xdr:cNvPr>
        <xdr:cNvCxnSpPr/>
      </xdr:nvCxnSpPr>
      <xdr:spPr>
        <a:xfrm flipV="1">
          <a:off x="170405" y="3725334"/>
          <a:ext cx="1655220" cy="521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218220</xdr:colOff>
      <xdr:row>17</xdr:row>
      <xdr:rowOff>117839</xdr:rowOff>
    </xdr:from>
    <xdr:to>
      <xdr:col>4</xdr:col>
      <xdr:colOff>334012</xdr:colOff>
      <xdr:row>19</xdr:row>
      <xdr:rowOff>268</xdr:rowOff>
    </xdr:to>
    <xdr:sp macro="" textlink="">
      <xdr:nvSpPr>
        <xdr:cNvPr id="6" name="TextBox 5">
          <a:extLst>
            <a:ext uri="{FF2B5EF4-FFF2-40B4-BE49-F238E27FC236}">
              <a16:creationId xmlns:a16="http://schemas.microsoft.com/office/drawing/2014/main" id="{73B209D1-EFE5-4A87-B29D-79505F60BF0E}"/>
            </a:ext>
          </a:extLst>
        </xdr:cNvPr>
        <xdr:cNvSpPr txBox="1"/>
      </xdr:nvSpPr>
      <xdr:spPr>
        <a:xfrm>
          <a:off x="2723295" y="3775439"/>
          <a:ext cx="1392142" cy="263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002060"/>
              </a:solidFill>
              <a:latin typeface="+mn-lt"/>
            </a:rPr>
            <a:t>RE/Total</a:t>
          </a:r>
          <a:r>
            <a:rPr lang="en-IN" sz="1050" b="1" baseline="0">
              <a:solidFill>
                <a:srgbClr val="002060"/>
              </a:solidFill>
              <a:latin typeface="+mn-lt"/>
            </a:rPr>
            <a:t> Assets</a:t>
          </a:r>
          <a:endParaRPr lang="en-IN" sz="1050" b="1">
            <a:solidFill>
              <a:srgbClr val="002060"/>
            </a:solidFill>
            <a:latin typeface="+mn-lt"/>
          </a:endParaRPr>
        </a:p>
      </xdr:txBody>
    </xdr:sp>
    <xdr:clientData/>
  </xdr:twoCellAnchor>
  <xdr:twoCellAnchor>
    <xdr:from>
      <xdr:col>5</xdr:col>
      <xdr:colOff>459268</xdr:colOff>
      <xdr:row>17</xdr:row>
      <xdr:rowOff>120130</xdr:rowOff>
    </xdr:from>
    <xdr:to>
      <xdr:col>8</xdr:col>
      <xdr:colOff>574885</xdr:colOff>
      <xdr:row>18</xdr:row>
      <xdr:rowOff>161925</xdr:rowOff>
    </xdr:to>
    <xdr:sp macro="" textlink="">
      <xdr:nvSpPr>
        <xdr:cNvPr id="7" name="TextBox 6">
          <a:extLst>
            <a:ext uri="{FF2B5EF4-FFF2-40B4-BE49-F238E27FC236}">
              <a16:creationId xmlns:a16="http://schemas.microsoft.com/office/drawing/2014/main" id="{F1033CB5-641B-43D8-A4AF-7F28247BA08C}"/>
            </a:ext>
          </a:extLst>
        </xdr:cNvPr>
        <xdr:cNvSpPr txBox="1"/>
      </xdr:nvSpPr>
      <xdr:spPr>
        <a:xfrm>
          <a:off x="4850293" y="3777730"/>
          <a:ext cx="1944417" cy="232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002060"/>
              </a:solidFill>
              <a:latin typeface="+mn-lt"/>
            </a:rPr>
            <a:t>EBIT/Total</a:t>
          </a:r>
          <a:r>
            <a:rPr lang="en-IN" sz="1050" b="1" baseline="0">
              <a:solidFill>
                <a:srgbClr val="002060"/>
              </a:solidFill>
              <a:latin typeface="+mn-lt"/>
            </a:rPr>
            <a:t> Assets</a:t>
          </a:r>
          <a:endParaRPr lang="en-IN" sz="1050" b="1">
            <a:solidFill>
              <a:srgbClr val="002060"/>
            </a:solidFill>
            <a:latin typeface="+mn-lt"/>
          </a:endParaRPr>
        </a:p>
      </xdr:txBody>
    </xdr:sp>
    <xdr:clientData/>
  </xdr:twoCellAnchor>
  <xdr:twoCellAnchor>
    <xdr:from>
      <xdr:col>1</xdr:col>
      <xdr:colOff>2211794</xdr:colOff>
      <xdr:row>18</xdr:row>
      <xdr:rowOff>129140</xdr:rowOff>
    </xdr:from>
    <xdr:to>
      <xdr:col>4</xdr:col>
      <xdr:colOff>587688</xdr:colOff>
      <xdr:row>26</xdr:row>
      <xdr:rowOff>163263</xdr:rowOff>
    </xdr:to>
    <xdr:graphicFrame macro="">
      <xdr:nvGraphicFramePr>
        <xdr:cNvPr id="8" name="Chart 7">
          <a:extLst>
            <a:ext uri="{FF2B5EF4-FFF2-40B4-BE49-F238E27FC236}">
              <a16:creationId xmlns:a16="http://schemas.microsoft.com/office/drawing/2014/main" id="{D338E88C-C409-4985-8EB5-661DDC077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302136</xdr:colOff>
      <xdr:row>18</xdr:row>
      <xdr:rowOff>109157</xdr:rowOff>
    </xdr:from>
    <xdr:to>
      <xdr:col>8</xdr:col>
      <xdr:colOff>515944</xdr:colOff>
      <xdr:row>26</xdr:row>
      <xdr:rowOff>145185</xdr:rowOff>
    </xdr:to>
    <xdr:graphicFrame macro="">
      <xdr:nvGraphicFramePr>
        <xdr:cNvPr id="9" name="Chart 8">
          <a:extLst>
            <a:ext uri="{FF2B5EF4-FFF2-40B4-BE49-F238E27FC236}">
              <a16:creationId xmlns:a16="http://schemas.microsoft.com/office/drawing/2014/main" id="{33D29D89-1D55-4F80-9BC8-92F85A15F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16933</xdr:colOff>
      <xdr:row>30</xdr:row>
      <xdr:rowOff>51237</xdr:rowOff>
    </xdr:from>
    <xdr:to>
      <xdr:col>1</xdr:col>
      <xdr:colOff>1951965</xdr:colOff>
      <xdr:row>38</xdr:row>
      <xdr:rowOff>83454</xdr:rowOff>
    </xdr:to>
    <xdr:graphicFrame macro="">
      <xdr:nvGraphicFramePr>
        <xdr:cNvPr id="10" name="Chart 9">
          <a:extLst>
            <a:ext uri="{FF2B5EF4-FFF2-40B4-BE49-F238E27FC236}">
              <a16:creationId xmlns:a16="http://schemas.microsoft.com/office/drawing/2014/main" id="{1CF118B4-9DBA-4828-A2B4-9A7BC92A1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85725</xdr:colOff>
      <xdr:row>28</xdr:row>
      <xdr:rowOff>180847</xdr:rowOff>
    </xdr:from>
    <xdr:to>
      <xdr:col>1</xdr:col>
      <xdr:colOff>1837207</xdr:colOff>
      <xdr:row>30</xdr:row>
      <xdr:rowOff>26957</xdr:rowOff>
    </xdr:to>
    <xdr:sp macro="" textlink="">
      <xdr:nvSpPr>
        <xdr:cNvPr id="11" name="TextBox 10">
          <a:extLst>
            <a:ext uri="{FF2B5EF4-FFF2-40B4-BE49-F238E27FC236}">
              <a16:creationId xmlns:a16="http://schemas.microsoft.com/office/drawing/2014/main" id="{64F0EF42-3F27-47B8-BD4F-A7DD6B9A9B66}"/>
            </a:ext>
          </a:extLst>
        </xdr:cNvPr>
        <xdr:cNvSpPr txBox="1"/>
      </xdr:nvSpPr>
      <xdr:spPr>
        <a:xfrm>
          <a:off x="211527" y="5895847"/>
          <a:ext cx="1751482" cy="223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002060"/>
              </a:solidFill>
              <a:latin typeface="+mn-lt"/>
            </a:rPr>
            <a:t>MarCap/Liabilities</a:t>
          </a:r>
        </a:p>
      </xdr:txBody>
    </xdr:sp>
    <xdr:clientData/>
  </xdr:twoCellAnchor>
  <xdr:twoCellAnchor>
    <xdr:from>
      <xdr:col>2</xdr:col>
      <xdr:colOff>249271</xdr:colOff>
      <xdr:row>28</xdr:row>
      <xdr:rowOff>155944</xdr:rowOff>
    </xdr:from>
    <xdr:to>
      <xdr:col>4</xdr:col>
      <xdr:colOff>363158</xdr:colOff>
      <xdr:row>29</xdr:row>
      <xdr:rowOff>180377</xdr:rowOff>
    </xdr:to>
    <xdr:sp macro="" textlink="">
      <xdr:nvSpPr>
        <xdr:cNvPr id="12" name="TextBox 11">
          <a:extLst>
            <a:ext uri="{FF2B5EF4-FFF2-40B4-BE49-F238E27FC236}">
              <a16:creationId xmlns:a16="http://schemas.microsoft.com/office/drawing/2014/main" id="{E241296C-9003-4F5A-A783-0F8ECA8E95F0}"/>
            </a:ext>
          </a:extLst>
        </xdr:cNvPr>
        <xdr:cNvSpPr txBox="1"/>
      </xdr:nvSpPr>
      <xdr:spPr>
        <a:xfrm>
          <a:off x="2754346" y="5909044"/>
          <a:ext cx="1390237" cy="214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002060"/>
              </a:solidFill>
              <a:latin typeface="+mn-lt"/>
            </a:rPr>
            <a:t>Revenue/Total</a:t>
          </a:r>
          <a:r>
            <a:rPr lang="en-IN" sz="1050" b="1" baseline="0">
              <a:solidFill>
                <a:srgbClr val="002060"/>
              </a:solidFill>
              <a:latin typeface="+mn-lt"/>
            </a:rPr>
            <a:t> Assets </a:t>
          </a:r>
          <a:endParaRPr lang="en-IN" sz="1050" b="1">
            <a:solidFill>
              <a:srgbClr val="002060"/>
            </a:solidFill>
            <a:latin typeface="+mn-lt"/>
          </a:endParaRPr>
        </a:p>
      </xdr:txBody>
    </xdr:sp>
    <xdr:clientData/>
  </xdr:twoCellAnchor>
  <xdr:twoCellAnchor>
    <xdr:from>
      <xdr:col>1</xdr:col>
      <xdr:colOff>2224219</xdr:colOff>
      <xdr:row>30</xdr:row>
      <xdr:rowOff>60411</xdr:rowOff>
    </xdr:from>
    <xdr:to>
      <xdr:col>4</xdr:col>
      <xdr:colOff>586778</xdr:colOff>
      <xdr:row>38</xdr:row>
      <xdr:rowOff>94533</xdr:rowOff>
    </xdr:to>
    <xdr:graphicFrame macro="">
      <xdr:nvGraphicFramePr>
        <xdr:cNvPr id="13" name="Chart 12">
          <a:extLst>
            <a:ext uri="{FF2B5EF4-FFF2-40B4-BE49-F238E27FC236}">
              <a16:creationId xmlns:a16="http://schemas.microsoft.com/office/drawing/2014/main" id="{CA94DF9B-FAFD-44D9-B86E-E7CF3CA6C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134310</xdr:colOff>
      <xdr:row>28</xdr:row>
      <xdr:rowOff>146136</xdr:rowOff>
    </xdr:from>
    <xdr:to>
      <xdr:col>8</xdr:col>
      <xdr:colOff>315084</xdr:colOff>
      <xdr:row>29</xdr:row>
      <xdr:rowOff>149614</xdr:rowOff>
    </xdr:to>
    <xdr:sp macro="" textlink="">
      <xdr:nvSpPr>
        <xdr:cNvPr id="14" name="TextBox 13">
          <a:extLst>
            <a:ext uri="{FF2B5EF4-FFF2-40B4-BE49-F238E27FC236}">
              <a16:creationId xmlns:a16="http://schemas.microsoft.com/office/drawing/2014/main" id="{CD8868A1-D8C4-4BD4-9656-D859D65F62A1}"/>
            </a:ext>
          </a:extLst>
        </xdr:cNvPr>
        <xdr:cNvSpPr txBox="1"/>
      </xdr:nvSpPr>
      <xdr:spPr>
        <a:xfrm>
          <a:off x="5134935" y="5899236"/>
          <a:ext cx="1399974" cy="193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002060"/>
              </a:solidFill>
              <a:latin typeface="+mn-lt"/>
            </a:rPr>
            <a:t>Altman's Z</a:t>
          </a:r>
          <a:r>
            <a:rPr lang="en-IN" sz="1050" b="1" baseline="0">
              <a:solidFill>
                <a:srgbClr val="002060"/>
              </a:solidFill>
              <a:latin typeface="+mn-lt"/>
            </a:rPr>
            <a:t> Score</a:t>
          </a:r>
        </a:p>
        <a:p>
          <a:pPr algn="ctr"/>
          <a:endParaRPr lang="en-IN" sz="1050" b="1">
            <a:solidFill>
              <a:srgbClr val="002060"/>
            </a:solidFill>
            <a:latin typeface="+mn-lt"/>
          </a:endParaRPr>
        </a:p>
      </xdr:txBody>
    </xdr:sp>
    <xdr:clientData/>
  </xdr:twoCellAnchor>
  <xdr:twoCellAnchor>
    <xdr:from>
      <xdr:col>5</xdr:col>
      <xdr:colOff>302048</xdr:colOff>
      <xdr:row>30</xdr:row>
      <xdr:rowOff>63513</xdr:rowOff>
    </xdr:from>
    <xdr:to>
      <xdr:col>8</xdr:col>
      <xdr:colOff>511399</xdr:colOff>
      <xdr:row>38</xdr:row>
      <xdr:rowOff>101445</xdr:rowOff>
    </xdr:to>
    <xdr:graphicFrame macro="">
      <xdr:nvGraphicFramePr>
        <xdr:cNvPr id="15" name="Chart 14">
          <a:extLst>
            <a:ext uri="{FF2B5EF4-FFF2-40B4-BE49-F238E27FC236}">
              <a16:creationId xmlns:a16="http://schemas.microsoft.com/office/drawing/2014/main" id="{C0C96841-DF53-4B86-8B2A-3C3A3CE38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64077</xdr:colOff>
      <xdr:row>40</xdr:row>
      <xdr:rowOff>119024</xdr:rowOff>
    </xdr:from>
    <xdr:to>
      <xdr:col>9</xdr:col>
      <xdr:colOff>185942</xdr:colOff>
      <xdr:row>53</xdr:row>
      <xdr:rowOff>353172</xdr:rowOff>
    </xdr:to>
    <xdr:sp macro="" textlink="">
      <xdr:nvSpPr>
        <xdr:cNvPr id="16" name="TextBox 15">
          <a:extLst>
            <a:ext uri="{FF2B5EF4-FFF2-40B4-BE49-F238E27FC236}">
              <a16:creationId xmlns:a16="http://schemas.microsoft.com/office/drawing/2014/main" id="{A46C8345-F2E9-48A8-16B1-9BDC75D93946}"/>
            </a:ext>
          </a:extLst>
        </xdr:cNvPr>
        <xdr:cNvSpPr txBox="1"/>
      </xdr:nvSpPr>
      <xdr:spPr>
        <a:xfrm>
          <a:off x="187902" y="8167649"/>
          <a:ext cx="6827465" cy="2710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200"/>
            <a:t>Q1 FY 2025‑26 revenue grew </a:t>
          </a:r>
          <a:r>
            <a:rPr lang="en-US" sz="1200" b="1"/>
            <a:t>20% YoY</a:t>
          </a:r>
          <a:r>
            <a:rPr lang="en-US" sz="1200"/>
            <a:t> to around </a:t>
          </a:r>
          <a:r>
            <a:rPr lang="en-US" sz="1200" b="1"/>
            <a:t>₹20,910‑₹21,500 crore</a:t>
          </a:r>
          <a:r>
            <a:rPr lang="en-US" sz="1200"/>
            <a:t>Q1 FY 2025‑26 net profit was </a:t>
          </a:r>
          <a:r>
            <a:rPr lang="en-US" sz="1200" b="1"/>
            <a:t>₹5,243‑₹5,343 crore</a:t>
          </a:r>
          <a:r>
            <a:rPr lang="en-US" sz="1200"/>
            <a:t>, up </a:t>
          </a:r>
          <a:r>
            <a:rPr lang="en-US" sz="1200" b="1"/>
            <a:t>3‑5% YoY. </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200" b="1"/>
            <a:t>Gross Margin down 748 basis points YoY</a:t>
          </a:r>
          <a:r>
            <a:rPr lang="en-US" sz="1200"/>
            <a:t>; </a:t>
          </a:r>
          <a:r>
            <a:rPr lang="en-US" sz="1200" b="1"/>
            <a:t>EBITDA margin down 547 bps YoY (to 31.7%)</a:t>
          </a:r>
          <a:r>
            <a:rPr lang="en-US" sz="1200"/>
            <a:t> driven by high input /leaf tobacco &amp; change in revenue mix.</a:t>
          </a:r>
          <a:r>
            <a:rPr lang="en-IN" sz="1200" b="0" i="0">
              <a:solidFill>
                <a:schemeClr val="dk1"/>
              </a:solidFill>
              <a:effectLst/>
              <a:latin typeface="+mn-lt"/>
              <a:ea typeface="+mn-ea"/>
              <a:cs typeface="+mn-cs"/>
            </a:rPr>
            <a:t>. </a:t>
          </a:r>
        </a:p>
        <a:p>
          <a:pPr marL="171450" indent="-171450">
            <a:buFont typeface="Arial" panose="020B0604020202020204" pitchFamily="34" charset="0"/>
            <a:buChar char="•"/>
          </a:pPr>
          <a:r>
            <a:rPr lang="en-US" sz="1200" b="1"/>
            <a:t>Paperboards, Paper &amp; Packaging (PPP) revenue grew 7% YoY</a:t>
          </a:r>
          <a:r>
            <a:rPr lang="en-US" sz="1200"/>
            <a:t> (₹2,115‑2,116 crore) but EBIT margin &amp; PBIT dropped sharply </a:t>
          </a:r>
          <a:r>
            <a:rPr lang="en-US" sz="1200" b="1"/>
            <a:t>(550bps decline). </a:t>
          </a:r>
          <a:r>
            <a:rPr lang="en-IN" sz="1200" b="0" i="0">
              <a:solidFill>
                <a:schemeClr val="dk1"/>
              </a:solidFill>
              <a:effectLst/>
              <a:latin typeface="+mn-lt"/>
              <a:ea typeface="+mn-ea"/>
              <a:cs typeface="+mn-cs"/>
            </a:rPr>
            <a:t> With the discretionary product mix being impacted, gross margins for the quarter came in below our estimate at 14.0%.</a:t>
          </a:r>
          <a:r>
            <a:rPr lang="en-IN" sz="1200" b="0" i="0" baseline="0">
              <a:solidFill>
                <a:schemeClr val="dk1"/>
              </a:solidFill>
              <a:effectLst/>
              <a:latin typeface="+mn-lt"/>
              <a:ea typeface="+mn-ea"/>
              <a:cs typeface="+mn-cs"/>
            </a:rPr>
            <a:t> </a:t>
          </a:r>
        </a:p>
        <a:p>
          <a:pPr marL="171450" indent="-171450">
            <a:buFont typeface="Arial" panose="020B0604020202020204" pitchFamily="34" charset="0"/>
            <a:buChar char="•"/>
          </a:pPr>
          <a:r>
            <a:rPr lang="en-US" sz="1200" b="1"/>
            <a:t>Cigarette business revenue grew 7.6‑7.7% YoY</a:t>
          </a:r>
          <a:r>
            <a:rPr lang="en-US" sz="1200"/>
            <a:t>; volumes up 6</a:t>
          </a:r>
        </a:p>
        <a:p>
          <a:pPr marL="171450" indent="-171450">
            <a:buFont typeface="Arial" panose="020B0604020202020204" pitchFamily="34" charset="0"/>
            <a:buChar char="•"/>
          </a:pPr>
          <a:r>
            <a:rPr lang="en-US" sz="1200" b="1"/>
            <a:t>Agri business posted ~38.9% YoY</a:t>
          </a:r>
          <a:r>
            <a:rPr lang="en-US" sz="1200"/>
            <a:t> growth in revenues (~₹9,685 crore) with ~22% YoY growth in EBIT/PBIT. </a:t>
          </a:r>
        </a:p>
        <a:p>
          <a:pPr marL="171450" indent="-171450">
            <a:buFont typeface="Arial" panose="020B0604020202020204" pitchFamily="34" charset="0"/>
            <a:buChar char="•"/>
          </a:pPr>
          <a:r>
            <a:rPr lang="en-US" sz="1200"/>
            <a:t>Acquired </a:t>
          </a:r>
          <a:r>
            <a:rPr lang="en-US" sz="1200" b="1"/>
            <a:t>Sresta Natural Bioproducts</a:t>
          </a:r>
          <a:r>
            <a:rPr lang="en-US" sz="1200"/>
            <a:t> (organic staples) fully in June 2025. </a:t>
          </a:r>
        </a:p>
        <a:p>
          <a:pPr marL="171450" indent="-171450">
            <a:buFont typeface="Arial" panose="020B0604020202020204" pitchFamily="34" charset="0"/>
            <a:buChar char="•"/>
          </a:pPr>
          <a:r>
            <a:rPr lang="en-US" sz="1200"/>
            <a:t>Acquired </a:t>
          </a:r>
          <a:r>
            <a:rPr lang="en-US" sz="1200" b="1"/>
            <a:t>Mother Sparsh</a:t>
          </a:r>
          <a:r>
            <a:rPr lang="en-US" sz="1200"/>
            <a:t> (premium natural/ayurvedic babycare &amp; hygiene). </a:t>
          </a:r>
        </a:p>
        <a:p>
          <a:pPr marL="171450" indent="-171450">
            <a:buFont typeface="Arial" panose="020B0604020202020204" pitchFamily="34" charset="0"/>
            <a:buChar char="•"/>
          </a:pPr>
          <a:r>
            <a:rPr lang="en-US" sz="1200"/>
            <a:t>Laid out plans to invest </a:t>
          </a:r>
          <a:r>
            <a:rPr lang="en-US" sz="1200" b="1"/>
            <a:t>₹20,000 crore</a:t>
          </a:r>
          <a:r>
            <a:rPr lang="en-US" sz="1200"/>
            <a:t> over the medium term in new manufacturing units to boost capacity. </a:t>
          </a:r>
          <a:br>
            <a:rPr lang="en-IN" sz="1200"/>
          </a:br>
          <a:br>
            <a:rPr lang="en-IN" sz="1200"/>
          </a:br>
          <a:endParaRPr lang="en-IN" sz="1200" b="0"/>
        </a:p>
      </xdr:txBody>
    </xdr:sp>
    <xdr:clientData/>
  </xdr:twoCellAnchor>
  <xdr:twoCellAnchor>
    <xdr:from>
      <xdr:col>2</xdr:col>
      <xdr:colOff>17371</xdr:colOff>
      <xdr:row>17</xdr:row>
      <xdr:rowOff>61172</xdr:rowOff>
    </xdr:from>
    <xdr:to>
      <xdr:col>4</xdr:col>
      <xdr:colOff>401744</xdr:colOff>
      <xdr:row>17</xdr:row>
      <xdr:rowOff>64483</xdr:rowOff>
    </xdr:to>
    <xdr:cxnSp macro="">
      <xdr:nvCxnSpPr>
        <xdr:cNvPr id="17" name="Straight Connector 16">
          <a:extLst>
            <a:ext uri="{FF2B5EF4-FFF2-40B4-BE49-F238E27FC236}">
              <a16:creationId xmlns:a16="http://schemas.microsoft.com/office/drawing/2014/main" id="{E6F0DFE1-A896-4FDB-9C4F-33DD3E7D8EF8}"/>
            </a:ext>
          </a:extLst>
        </xdr:cNvPr>
        <xdr:cNvCxnSpPr/>
      </xdr:nvCxnSpPr>
      <xdr:spPr>
        <a:xfrm flipV="1">
          <a:off x="2522446" y="3718772"/>
          <a:ext cx="1660723" cy="331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523465</xdr:colOff>
      <xdr:row>17</xdr:row>
      <xdr:rowOff>63077</xdr:rowOff>
    </xdr:from>
    <xdr:to>
      <xdr:col>8</xdr:col>
      <xdr:colOff>359410</xdr:colOff>
      <xdr:row>17</xdr:row>
      <xdr:rowOff>64483</xdr:rowOff>
    </xdr:to>
    <xdr:cxnSp macro="">
      <xdr:nvCxnSpPr>
        <xdr:cNvPr id="18" name="Straight Connector 17">
          <a:extLst>
            <a:ext uri="{FF2B5EF4-FFF2-40B4-BE49-F238E27FC236}">
              <a16:creationId xmlns:a16="http://schemas.microsoft.com/office/drawing/2014/main" id="{703F9EF8-5DC8-493F-A2B2-63A7F1AEE947}"/>
            </a:ext>
          </a:extLst>
        </xdr:cNvPr>
        <xdr:cNvCxnSpPr/>
      </xdr:nvCxnSpPr>
      <xdr:spPr>
        <a:xfrm flipV="1">
          <a:off x="4914490" y="3720677"/>
          <a:ext cx="1664745"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91666</xdr:colOff>
      <xdr:row>28</xdr:row>
      <xdr:rowOff>181609</xdr:rowOff>
    </xdr:from>
    <xdr:to>
      <xdr:col>1</xdr:col>
      <xdr:colOff>1760221</xdr:colOff>
      <xdr:row>28</xdr:row>
      <xdr:rowOff>183015</xdr:rowOff>
    </xdr:to>
    <xdr:cxnSp macro="">
      <xdr:nvCxnSpPr>
        <xdr:cNvPr id="19" name="Straight Connector 18">
          <a:extLst>
            <a:ext uri="{FF2B5EF4-FFF2-40B4-BE49-F238E27FC236}">
              <a16:creationId xmlns:a16="http://schemas.microsoft.com/office/drawing/2014/main" id="{6DC919CE-2B01-4328-B9AF-157CB9E1B3A2}"/>
            </a:ext>
          </a:extLst>
        </xdr:cNvPr>
        <xdr:cNvCxnSpPr/>
      </xdr:nvCxnSpPr>
      <xdr:spPr>
        <a:xfrm flipV="1">
          <a:off x="215491" y="5934709"/>
          <a:ext cx="1668555"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11657</xdr:colOff>
      <xdr:row>28</xdr:row>
      <xdr:rowOff>190076</xdr:rowOff>
    </xdr:from>
    <xdr:to>
      <xdr:col>4</xdr:col>
      <xdr:colOff>415080</xdr:colOff>
      <xdr:row>28</xdr:row>
      <xdr:rowOff>190076</xdr:rowOff>
    </xdr:to>
    <xdr:cxnSp macro="">
      <xdr:nvCxnSpPr>
        <xdr:cNvPr id="20" name="Straight Connector 19">
          <a:extLst>
            <a:ext uri="{FF2B5EF4-FFF2-40B4-BE49-F238E27FC236}">
              <a16:creationId xmlns:a16="http://schemas.microsoft.com/office/drawing/2014/main" id="{A0E8B039-2C0E-41D1-8228-C3DFC46D1BA7}"/>
            </a:ext>
          </a:extLst>
        </xdr:cNvPr>
        <xdr:cNvCxnSpPr/>
      </xdr:nvCxnSpPr>
      <xdr:spPr>
        <a:xfrm flipV="1">
          <a:off x="2516732" y="5943176"/>
          <a:ext cx="1679773"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499971</xdr:colOff>
      <xdr:row>28</xdr:row>
      <xdr:rowOff>154304</xdr:rowOff>
    </xdr:from>
    <xdr:to>
      <xdr:col>8</xdr:col>
      <xdr:colOff>351156</xdr:colOff>
      <xdr:row>28</xdr:row>
      <xdr:rowOff>154304</xdr:rowOff>
    </xdr:to>
    <xdr:cxnSp macro="">
      <xdr:nvCxnSpPr>
        <xdr:cNvPr id="21" name="Straight Connector 20">
          <a:extLst>
            <a:ext uri="{FF2B5EF4-FFF2-40B4-BE49-F238E27FC236}">
              <a16:creationId xmlns:a16="http://schemas.microsoft.com/office/drawing/2014/main" id="{9C711A49-1CC3-493C-98DD-AA046BEF641C}"/>
            </a:ext>
          </a:extLst>
        </xdr:cNvPr>
        <xdr:cNvCxnSpPr/>
      </xdr:nvCxnSpPr>
      <xdr:spPr>
        <a:xfrm flipV="1">
          <a:off x="4890996" y="5907404"/>
          <a:ext cx="167998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61837</xdr:colOff>
      <xdr:row>57</xdr:row>
      <xdr:rowOff>97820</xdr:rowOff>
    </xdr:from>
    <xdr:to>
      <xdr:col>9</xdr:col>
      <xdr:colOff>60990</xdr:colOff>
      <xdr:row>59</xdr:row>
      <xdr:rowOff>33306</xdr:rowOff>
    </xdr:to>
    <xdr:sp macro="" textlink="">
      <xdr:nvSpPr>
        <xdr:cNvPr id="22" name="TextBox 21">
          <a:extLst>
            <a:ext uri="{FF2B5EF4-FFF2-40B4-BE49-F238E27FC236}">
              <a16:creationId xmlns:a16="http://schemas.microsoft.com/office/drawing/2014/main" id="{D40BCC90-09D2-49AC-A503-DD369F15677D}"/>
            </a:ext>
          </a:extLst>
        </xdr:cNvPr>
        <xdr:cNvSpPr txBox="1"/>
      </xdr:nvSpPr>
      <xdr:spPr>
        <a:xfrm>
          <a:off x="61837" y="11289695"/>
          <a:ext cx="6828578" cy="316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800" b="1" i="0">
              <a:solidFill>
                <a:srgbClr val="002060"/>
              </a:solidFill>
              <a:effectLst/>
              <a:latin typeface="+mn-lt"/>
              <a:ea typeface="+mn-ea"/>
              <a:cs typeface="+mn-cs"/>
            </a:rPr>
            <a:t>Altman's</a:t>
          </a:r>
          <a:r>
            <a:rPr lang="en-IN" sz="1800" b="1" i="0" baseline="0">
              <a:solidFill>
                <a:srgbClr val="002060"/>
              </a:solidFill>
              <a:effectLst/>
              <a:latin typeface="+mn-lt"/>
              <a:ea typeface="+mn-ea"/>
              <a:cs typeface="+mn-cs"/>
            </a:rPr>
            <a:t> Z Score</a:t>
          </a:r>
          <a:r>
            <a:rPr lang="en-IN" sz="1800" b="1" i="0">
              <a:solidFill>
                <a:srgbClr val="002060"/>
              </a:solidFill>
              <a:effectLst/>
              <a:latin typeface="+mn-lt"/>
              <a:ea typeface="+mn-ea"/>
              <a:cs typeface="+mn-cs"/>
            </a:rPr>
            <a:t> Analysis Calculation</a:t>
          </a:r>
        </a:p>
      </xdr:txBody>
    </xdr:sp>
    <xdr:clientData/>
  </xdr:twoCellAnchor>
  <xdr:twoCellAnchor>
    <xdr:from>
      <xdr:col>1</xdr:col>
      <xdr:colOff>13411</xdr:colOff>
      <xdr:row>94</xdr:row>
      <xdr:rowOff>145549</xdr:rowOff>
    </xdr:from>
    <xdr:to>
      <xdr:col>9</xdr:col>
      <xdr:colOff>198508</xdr:colOff>
      <xdr:row>97</xdr:row>
      <xdr:rowOff>155931</xdr:rowOff>
    </xdr:to>
    <xdr:sp macro="" textlink="">
      <xdr:nvSpPr>
        <xdr:cNvPr id="23" name="TextBox 22">
          <a:extLst>
            <a:ext uri="{FF2B5EF4-FFF2-40B4-BE49-F238E27FC236}">
              <a16:creationId xmlns:a16="http://schemas.microsoft.com/office/drawing/2014/main" id="{92D6A1EA-1C9B-48AA-BEFB-1AB6F493B248}"/>
            </a:ext>
          </a:extLst>
        </xdr:cNvPr>
        <xdr:cNvSpPr txBox="1"/>
      </xdr:nvSpPr>
      <xdr:spPr>
        <a:xfrm>
          <a:off x="137236" y="18462124"/>
          <a:ext cx="6890697" cy="581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900" b="0" i="1">
              <a:solidFill>
                <a:srgbClr val="002060"/>
              </a:solidFill>
              <a:effectLst/>
              <a:latin typeface="+mn-lt"/>
              <a:ea typeface="+mn-ea"/>
              <a:cs typeface="+mn-cs"/>
            </a:rPr>
            <a:t>Disclaimer</a:t>
          </a:r>
          <a:r>
            <a:rPr lang="en-IN" sz="900" b="0" i="1">
              <a:solidFill>
                <a:srgbClr val="028655"/>
              </a:solidFill>
              <a:effectLst/>
              <a:latin typeface="+mn-lt"/>
              <a:ea typeface="+mn-ea"/>
              <a:cs typeface="+mn-cs"/>
            </a:rPr>
            <a:t> : </a:t>
          </a:r>
          <a:r>
            <a:rPr lang="en-IN" sz="900" b="0" i="1">
              <a:solidFill>
                <a:sysClr val="windowText" lastClr="000000"/>
              </a:solidFill>
              <a:effectLst/>
              <a:latin typeface="+mn-lt"/>
              <a:ea typeface="+mn-ea"/>
              <a:cs typeface="+mn-cs"/>
            </a:rPr>
            <a:t>This report is made as part</a:t>
          </a:r>
          <a:r>
            <a:rPr lang="en-IN" sz="900" b="0" i="1" baseline="0">
              <a:solidFill>
                <a:sysClr val="windowText" lastClr="000000"/>
              </a:solidFill>
              <a:effectLst/>
              <a:latin typeface="+mn-lt"/>
              <a:ea typeface="+mn-ea"/>
              <a:cs typeface="+mn-cs"/>
            </a:rPr>
            <a:t> of educational assignment and is meant for educational purpose only. The author of the report is not liable for any losses due to actions taken basis this report. It is advisable to consult SEBI registered reasearch analyst before making any investments</a:t>
          </a:r>
          <a:endParaRPr lang="en-IN" sz="900" b="0" i="1">
            <a:solidFill>
              <a:sysClr val="windowText" lastClr="000000"/>
            </a:solidFill>
            <a:effectLst/>
            <a:latin typeface="+mn-lt"/>
            <a:ea typeface="+mn-ea"/>
            <a:cs typeface="+mn-cs"/>
          </a:endParaRPr>
        </a:p>
      </xdr:txBody>
    </xdr:sp>
    <xdr:clientData/>
  </xdr:twoCellAnchor>
  <xdr:twoCellAnchor editAs="oneCell">
    <xdr:from>
      <xdr:col>6</xdr:col>
      <xdr:colOff>493555</xdr:colOff>
      <xdr:row>2</xdr:row>
      <xdr:rowOff>96321</xdr:rowOff>
    </xdr:from>
    <xdr:to>
      <xdr:col>8</xdr:col>
      <xdr:colOff>503006</xdr:colOff>
      <xdr:row>6</xdr:row>
      <xdr:rowOff>140095</xdr:rowOff>
    </xdr:to>
    <xdr:pic>
      <xdr:nvPicPr>
        <xdr:cNvPr id="24" name="Picture 23">
          <a:extLst>
            <a:ext uri="{FF2B5EF4-FFF2-40B4-BE49-F238E27FC236}">
              <a16:creationId xmlns:a16="http://schemas.microsoft.com/office/drawing/2014/main" id="{00000000-0008-0000-0B00-000018000000}"/>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299" b="100000" l="0" r="100000">
                      <a14:foregroundMark x1="39024" y1="48773" x2="39024" y2="48773"/>
                      <a14:foregroundMark x1="50854" y1="80519" x2="50854" y2="80519"/>
                      <a14:foregroundMark x1="26707" y1="81097" x2="26707" y2="81097"/>
                      <a14:foregroundMark x1="66951" y1="77345" x2="66951" y2="77345"/>
                    </a14:backgroundRemoval>
                  </a14:imgEffect>
                </a14:imgLayer>
              </a14:imgProps>
            </a:ext>
            <a:ext uri="{28A0092B-C50C-407E-A947-70E740481C1C}">
              <a14:useLocalDpi xmlns:a14="http://schemas.microsoft.com/office/drawing/2010/main" val="0"/>
            </a:ext>
          </a:extLst>
        </a:blip>
        <a:stretch>
          <a:fillRect/>
        </a:stretch>
      </xdr:blipFill>
      <xdr:spPr>
        <a:xfrm>
          <a:off x="5494180" y="410646"/>
          <a:ext cx="1228651" cy="1034374"/>
        </a:xfrm>
        <a:prstGeom prst="rect">
          <a:avLst/>
        </a:prstGeom>
      </xdr:spPr>
    </xdr:pic>
    <xdr:clientData/>
  </xdr:twoCellAnchor>
  <xdr:twoCellAnchor>
    <xdr:from>
      <xdr:col>0</xdr:col>
      <xdr:colOff>102177</xdr:colOff>
      <xdr:row>9</xdr:row>
      <xdr:rowOff>9526</xdr:rowOff>
    </xdr:from>
    <xdr:to>
      <xdr:col>9</xdr:col>
      <xdr:colOff>100217</xdr:colOff>
      <xdr:row>13</xdr:row>
      <xdr:rowOff>457200</xdr:rowOff>
    </xdr:to>
    <xdr:sp macro="" textlink="">
      <xdr:nvSpPr>
        <xdr:cNvPr id="25" name="TextBox 24">
          <a:extLst>
            <a:ext uri="{FF2B5EF4-FFF2-40B4-BE49-F238E27FC236}">
              <a16:creationId xmlns:a16="http://schemas.microsoft.com/office/drawing/2014/main" id="{A46C8345-F2E9-48A8-16B1-9BDC75D93946}"/>
            </a:ext>
          </a:extLst>
        </xdr:cNvPr>
        <xdr:cNvSpPr txBox="1"/>
      </xdr:nvSpPr>
      <xdr:spPr>
        <a:xfrm>
          <a:off x="102177" y="1933576"/>
          <a:ext cx="6827465" cy="1209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a:t>The company maintains a consistently strong financial position across all years, with exceptionally high Z-scores indicating negligible risk of financial distress. This strength is primarily driven by robust earnings performance relative to total assets, exceptionally high market capitalization compared to long-term liabilities, and stable asset turnover. While retained earnings as a percentage of assets saw some fluctuations, other components like working capital and EBIT ratios remained solid. Overall, the firm demonstrates excellent financial stability and a strong buffer against insolvency risk.</a:t>
          </a:r>
          <a:endParaRPr lang="en-IN" sz="1400" b="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harm/Downloads/ITC%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harm/OneDrive/Desktop/Financial%20Modeling/Full%20Project%20-%20Karn/ITC%20Projec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pc/Downloads/fundgrEBIndi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 Pager Summarised"/>
      <sheetName val="Key Highlights for Social Media"/>
      <sheetName val="Blog"/>
      <sheetName val="About the Company"/>
      <sheetName val="Commentaries"/>
      <sheetName val="Whatif Analysis"/>
      <sheetName val="Entended Analysis"/>
      <sheetName val="Charts"/>
      <sheetName val="Discounted Cash Flow"/>
      <sheetName val="TECHNICAL ANALYSIS"/>
      <sheetName val="About the Report"/>
      <sheetName val="Profit &amp; Loss"/>
      <sheetName val="Quarters"/>
      <sheetName val="Balance Sheet"/>
      <sheetName val="Cash Flow"/>
      <sheetName val="Customization"/>
      <sheetName val="Data Sheet"/>
      <sheetName val="List of Stoc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E1" t="str">
            <v/>
          </cell>
        </row>
      </sheetData>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s"/>
      <sheetName val="Historical FS"/>
      <sheetName val="Common Size Statement"/>
      <sheetName val="Ratios"/>
      <sheetName val="Forecasting"/>
      <sheetName val="WACC"/>
      <sheetName val="Beta - Regression"/>
      <sheetName val="Intrisic Growth"/>
      <sheetName val="DCF"/>
      <sheetName val="Football Field"/>
      <sheetName val="Data"/>
      <sheetName val="Data Sheet"/>
      <sheetName val="WACC Data"/>
      <sheetName val="Historical Data"/>
      <sheetName val="Rm"/>
      <sheetName val="RAW FS"/>
    </sheetNames>
    <sheetDataSet>
      <sheetData sheetId="0"/>
      <sheetData sheetId="1"/>
      <sheetData sheetId="2"/>
      <sheetData sheetId="3"/>
      <sheetData sheetId="4"/>
      <sheetData sheetId="5"/>
      <sheetData sheetId="6"/>
      <sheetData sheetId="7"/>
      <sheetData sheetId="8"/>
      <sheetData sheetId="9"/>
      <sheetData sheetId="10"/>
      <sheetData sheetId="11">
        <row r="1">
          <cell r="B1" t="str">
            <v>ITC LTD</v>
          </cell>
        </row>
      </sheetData>
      <sheetData sheetId="12"/>
      <sheetData sheetId="13">
        <row r="1">
          <cell r="E1" t="str">
            <v>NIFTY</v>
          </cell>
        </row>
      </sheetData>
      <sheetData sheetId="14"/>
      <sheetData sheetId="15">
        <row r="2">
          <cell r="J2">
            <v>43891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s &amp; FAQ"/>
      <sheetName val="Industry Averages"/>
    </sheetNames>
    <sheetDataSet>
      <sheetData sheetId="0" refreshError="1"/>
      <sheetData sheetId="1" refreshError="1">
        <row r="9">
          <cell r="A9" t="str">
            <v>Advertising</v>
          </cell>
          <cell r="B9">
            <v>13</v>
          </cell>
          <cell r="C9">
            <v>0.5481964403891354</v>
          </cell>
          <cell r="D9">
            <v>1.0688904870530047</v>
          </cell>
          <cell r="E9">
            <v>0.5859619601682664</v>
          </cell>
        </row>
        <row r="10">
          <cell r="A10" t="str">
            <v>Aerospace/Defense</v>
          </cell>
          <cell r="B10">
            <v>13</v>
          </cell>
          <cell r="C10">
            <v>0.32757262775191348</v>
          </cell>
          <cell r="D10">
            <v>0.10374535866880351</v>
          </cell>
          <cell r="E10">
            <v>3.398413975620472E-2</v>
          </cell>
        </row>
        <row r="11">
          <cell r="A11" t="str">
            <v>Air Transport</v>
          </cell>
          <cell r="B11">
            <v>6</v>
          </cell>
          <cell r="C11">
            <v>9.4355938161953916E-3</v>
          </cell>
          <cell r="D11">
            <v>-63.388464512121203</v>
          </cell>
          <cell r="E11">
            <v>-0.59810780376869188</v>
          </cell>
        </row>
        <row r="12">
          <cell r="A12" t="str">
            <v>Apparel</v>
          </cell>
          <cell r="B12">
            <v>323</v>
          </cell>
          <cell r="C12">
            <v>0.10388355683297126</v>
          </cell>
          <cell r="D12">
            <v>0.91596690132646497</v>
          </cell>
          <cell r="E12">
            <v>9.5153899651068408E-2</v>
          </cell>
        </row>
        <row r="13">
          <cell r="A13" t="str">
            <v>Auto &amp; Truck</v>
          </cell>
          <cell r="B13">
            <v>12</v>
          </cell>
          <cell r="C13">
            <v>6.2256581950835124E-2</v>
          </cell>
          <cell r="D13">
            <v>-0.56249703944561291</v>
          </cell>
          <cell r="E13">
            <v>-3.5019143033347938E-2</v>
          </cell>
        </row>
        <row r="14">
          <cell r="A14" t="str">
            <v>Auto Parts</v>
          </cell>
          <cell r="B14">
            <v>107</v>
          </cell>
          <cell r="C14">
            <v>0.10468095423115484</v>
          </cell>
          <cell r="D14">
            <v>0.56606925401020902</v>
          </cell>
          <cell r="E14">
            <v>5.9256669670706655E-2</v>
          </cell>
        </row>
        <row r="15">
          <cell r="A15" t="str">
            <v>Bank (Money Center)</v>
          </cell>
          <cell r="B15">
            <v>32</v>
          </cell>
          <cell r="C15">
            <v>1.2337163217722785E-4</v>
          </cell>
          <cell r="D15">
            <v>95.33594666973957</v>
          </cell>
          <cell r="E15">
            <v>1.176175134580692E-2</v>
          </cell>
        </row>
        <row r="16">
          <cell r="A16" t="str">
            <v>Banks (Regional)</v>
          </cell>
          <cell r="B16">
            <v>5</v>
          </cell>
          <cell r="C16">
            <v>1.5031497250924336E-3</v>
          </cell>
          <cell r="D16">
            <v>14.611621092579158</v>
          </cell>
          <cell r="E16">
            <v>2.1963454228465167E-2</v>
          </cell>
        </row>
        <row r="17">
          <cell r="A17" t="str">
            <v>Beverage (Alcoholic)</v>
          </cell>
          <cell r="B17">
            <v>19</v>
          </cell>
          <cell r="C17">
            <v>0.17381666670255763</v>
          </cell>
          <cell r="D17">
            <v>0.24779292770549396</v>
          </cell>
          <cell r="E17">
            <v>4.3070540726236804E-2</v>
          </cell>
        </row>
        <row r="18">
          <cell r="A18" t="str">
            <v>Beverage (Soft)</v>
          </cell>
          <cell r="B18">
            <v>5</v>
          </cell>
          <cell r="C18">
            <v>0.30811573142810772</v>
          </cell>
          <cell r="D18">
            <v>-0.33803035048388758</v>
          </cell>
          <cell r="E18">
            <v>-0.10415246868424263</v>
          </cell>
        </row>
        <row r="19">
          <cell r="A19" t="str">
            <v>Broadcasting</v>
          </cell>
          <cell r="B19">
            <v>17</v>
          </cell>
          <cell r="C19">
            <v>0.16837757333734121</v>
          </cell>
          <cell r="D19">
            <v>1.034445825626654</v>
          </cell>
          <cell r="E19">
            <v>0.17417747786795842</v>
          </cell>
        </row>
        <row r="20">
          <cell r="A20" t="str">
            <v>Brokerage &amp; Investment Banking</v>
          </cell>
          <cell r="B20">
            <v>174</v>
          </cell>
          <cell r="C20">
            <v>1.9606827671580264E-3</v>
          </cell>
          <cell r="D20">
            <v>5.7275406547151411</v>
          </cell>
          <cell r="E20">
            <v>1.1229890259896977E-2</v>
          </cell>
        </row>
        <row r="21">
          <cell r="A21" t="str">
            <v>Building Materials</v>
          </cell>
          <cell r="B21">
            <v>48</v>
          </cell>
          <cell r="C21">
            <v>0.12764745181169843</v>
          </cell>
          <cell r="D21">
            <v>1.3441071637796804</v>
          </cell>
          <cell r="E21">
            <v>0.1715718544183254</v>
          </cell>
        </row>
        <row r="22">
          <cell r="A22" t="str">
            <v>Business &amp; Consumer Services</v>
          </cell>
          <cell r="B22">
            <v>58</v>
          </cell>
          <cell r="C22">
            <v>0.32829293910402418</v>
          </cell>
          <cell r="D22">
            <v>0.41066112391739112</v>
          </cell>
          <cell r="E22">
            <v>0.13481714734660222</v>
          </cell>
        </row>
        <row r="23">
          <cell r="A23" t="str">
            <v>Cable TV</v>
          </cell>
          <cell r="B23">
            <v>8</v>
          </cell>
          <cell r="C23">
            <v>5.7708734855127036E-2</v>
          </cell>
          <cell r="D23">
            <v>-6.1109338190461444E-2</v>
          </cell>
          <cell r="E23">
            <v>-3.5265425948056281E-3</v>
          </cell>
        </row>
        <row r="24">
          <cell r="A24" t="str">
            <v>Chemical (Basic)</v>
          </cell>
          <cell r="B24">
            <v>128</v>
          </cell>
          <cell r="C24">
            <v>0.15954216904347984</v>
          </cell>
          <cell r="D24">
            <v>0.74643329367882461</v>
          </cell>
          <cell r="E24">
            <v>0.11908758671978847</v>
          </cell>
        </row>
        <row r="25">
          <cell r="A25" t="str">
            <v>Chemical (Diversified)</v>
          </cell>
          <cell r="B25">
            <v>10</v>
          </cell>
          <cell r="C25">
            <v>0.19416394175951318</v>
          </cell>
          <cell r="D25">
            <v>1.1401458666663713</v>
          </cell>
          <cell r="E25">
            <v>0.221375215652759</v>
          </cell>
        </row>
        <row r="26">
          <cell r="A26" t="str">
            <v>Chemical (Specialty)</v>
          </cell>
          <cell r="B26">
            <v>167</v>
          </cell>
          <cell r="C26">
            <v>0.19880313878490141</v>
          </cell>
          <cell r="D26">
            <v>1.0439432416321388</v>
          </cell>
          <cell r="E26">
            <v>0.20753919314975397</v>
          </cell>
        </row>
        <row r="27">
          <cell r="A27" t="str">
            <v>Coal &amp; Related Energy</v>
          </cell>
          <cell r="B27">
            <v>2</v>
          </cell>
          <cell r="C27">
            <v>0.71837339712575421</v>
          </cell>
          <cell r="D27">
            <v>0.41353881262033443</v>
          </cell>
          <cell r="E27">
            <v>0.29707528166542035</v>
          </cell>
        </row>
        <row r="28">
          <cell r="A28" t="str">
            <v>Computer Services</v>
          </cell>
          <cell r="B28">
            <v>132</v>
          </cell>
          <cell r="C28">
            <v>0.34660583553728053</v>
          </cell>
          <cell r="D28">
            <v>0.40001646110603395</v>
          </cell>
          <cell r="E28">
            <v>0.13864803973032297</v>
          </cell>
        </row>
        <row r="29">
          <cell r="A29" t="str">
            <v>Computers/Peripherals</v>
          </cell>
          <cell r="B29">
            <v>6</v>
          </cell>
          <cell r="C29">
            <v>7.3694701090308817E-2</v>
          </cell>
          <cell r="D29">
            <v>1.0856706093494659</v>
          </cell>
          <cell r="E29">
            <v>8.0008171038542325E-2</v>
          </cell>
        </row>
        <row r="30">
          <cell r="A30" t="str">
            <v>Construction Supplies</v>
          </cell>
          <cell r="B30">
            <v>92</v>
          </cell>
          <cell r="C30">
            <v>8.4197292708314359E-2</v>
          </cell>
          <cell r="D30">
            <v>0.63262552870081923</v>
          </cell>
          <cell r="E30">
            <v>5.3265356814775004E-2</v>
          </cell>
        </row>
        <row r="31">
          <cell r="A31" t="str">
            <v>Diversified</v>
          </cell>
          <cell r="B31">
            <v>13</v>
          </cell>
          <cell r="C31">
            <v>4.6292250889799005E-2</v>
          </cell>
          <cell r="D31">
            <v>0.4658713714491578</v>
          </cell>
          <cell r="E31">
            <v>2.1566234409499157E-2</v>
          </cell>
        </row>
        <row r="32">
          <cell r="A32" t="str">
            <v>Drugs (Biotechnology)</v>
          </cell>
          <cell r="B32">
            <v>8</v>
          </cell>
          <cell r="C32">
            <v>7.1127434674824125E-3</v>
          </cell>
          <cell r="D32">
            <v>0.78430757039309884</v>
          </cell>
          <cell r="E32">
            <v>5.5785785478105164E-3</v>
          </cell>
        </row>
        <row r="33">
          <cell r="A33" t="str">
            <v>Drugs (Pharmaceutical)</v>
          </cell>
          <cell r="B33">
            <v>156</v>
          </cell>
          <cell r="C33">
            <v>0.10918096599071117</v>
          </cell>
          <cell r="D33">
            <v>0.50322141597600012</v>
          </cell>
          <cell r="E33">
            <v>5.4942200303473188E-2</v>
          </cell>
        </row>
        <row r="34">
          <cell r="A34" t="str">
            <v>Education</v>
          </cell>
          <cell r="B34">
            <v>26</v>
          </cell>
          <cell r="C34">
            <v>-4.4265499648040384E-4</v>
          </cell>
          <cell r="D34" t="str">
            <v>NA</v>
          </cell>
          <cell r="E34" t="str">
            <v>NA</v>
          </cell>
        </row>
        <row r="35">
          <cell r="A35" t="str">
            <v>Electrical Equipment</v>
          </cell>
          <cell r="B35">
            <v>102</v>
          </cell>
          <cell r="C35">
            <v>8.1961759076178392E-2</v>
          </cell>
          <cell r="D35">
            <v>0.66835194622801919</v>
          </cell>
          <cell r="E35">
            <v>5.4779301194835844E-2</v>
          </cell>
        </row>
        <row r="36">
          <cell r="A36" t="str">
            <v>Electronics (Consumer &amp; Office)</v>
          </cell>
          <cell r="B36">
            <v>8</v>
          </cell>
          <cell r="C36">
            <v>0.18315465983616155</v>
          </cell>
          <cell r="D36">
            <v>1.7809276807530692</v>
          </cell>
          <cell r="E36">
            <v>0.32618520356113251</v>
          </cell>
        </row>
        <row r="37">
          <cell r="A37" t="str">
            <v>Electronics (General)</v>
          </cell>
          <cell r="B37">
            <v>27</v>
          </cell>
          <cell r="C37">
            <v>0.18003386840290664</v>
          </cell>
          <cell r="D37">
            <v>1.5063476318378461</v>
          </cell>
          <cell r="E37">
            <v>0.27119359131932486</v>
          </cell>
        </row>
        <row r="38">
          <cell r="A38" t="str">
            <v>Engineering/Construction</v>
          </cell>
          <cell r="B38">
            <v>144</v>
          </cell>
          <cell r="C38">
            <v>7.575925611051422E-2</v>
          </cell>
          <cell r="D38">
            <v>0.64237266221006528</v>
          </cell>
          <cell r="E38">
            <v>4.8665675034765175E-2</v>
          </cell>
        </row>
        <row r="39">
          <cell r="A39" t="str">
            <v>Entertainment</v>
          </cell>
          <cell r="B39">
            <v>60</v>
          </cell>
          <cell r="C39">
            <v>4.8154167015314088E-2</v>
          </cell>
          <cell r="D39">
            <v>0.13714125017733084</v>
          </cell>
          <cell r="E39">
            <v>6.6039226657281618E-3</v>
          </cell>
        </row>
        <row r="40">
          <cell r="A40" t="str">
            <v>Environmental &amp; Waste Services</v>
          </cell>
          <cell r="B40">
            <v>10</v>
          </cell>
          <cell r="C40">
            <v>0.83833105454766255</v>
          </cell>
          <cell r="D40">
            <v>1.006117767994249</v>
          </cell>
          <cell r="E40">
            <v>0.84345976944175927</v>
          </cell>
        </row>
        <row r="41">
          <cell r="A41" t="str">
            <v>Farming/Agriculture</v>
          </cell>
          <cell r="B41">
            <v>57</v>
          </cell>
          <cell r="C41">
            <v>9.3950548573033893E-2</v>
          </cell>
          <cell r="D41">
            <v>0.43828774850654295</v>
          </cell>
          <cell r="E41">
            <v>4.1177374405029624E-2</v>
          </cell>
        </row>
        <row r="42">
          <cell r="A42" t="str">
            <v>Financial Svcs. (Non-bank &amp; Insurance)</v>
          </cell>
          <cell r="B42">
            <v>254</v>
          </cell>
          <cell r="C42">
            <v>6.7123619413060462E-3</v>
          </cell>
          <cell r="D42">
            <v>0.24313309520786455</v>
          </cell>
          <cell r="E42">
            <v>1.6319973349452094E-3</v>
          </cell>
        </row>
        <row r="43">
          <cell r="A43" t="str">
            <v>Food Processing</v>
          </cell>
          <cell r="B43">
            <v>185</v>
          </cell>
          <cell r="C43">
            <v>0.13447533438704362</v>
          </cell>
          <cell r="D43">
            <v>0.40733985303797321</v>
          </cell>
          <cell r="E43">
            <v>5.4777162946450651E-2</v>
          </cell>
        </row>
        <row r="44">
          <cell r="A44" t="str">
            <v>Food Wholesalers</v>
          </cell>
          <cell r="B44">
            <v>32</v>
          </cell>
          <cell r="C44">
            <v>4.9477152626834789E-2</v>
          </cell>
          <cell r="D44">
            <v>-2.6033413336889013</v>
          </cell>
          <cell r="E44">
            <v>-0.12880591650667342</v>
          </cell>
        </row>
        <row r="45">
          <cell r="A45" t="str">
            <v>Furn/Home Furnishings</v>
          </cell>
          <cell r="B45">
            <v>38</v>
          </cell>
          <cell r="C45">
            <v>0.14085458661753514</v>
          </cell>
          <cell r="D45">
            <v>1.1398352147209652</v>
          </cell>
          <cell r="E45">
            <v>0.16055101798163096</v>
          </cell>
        </row>
        <row r="46">
          <cell r="A46" t="str">
            <v>Green &amp; Renewable Energy</v>
          </cell>
          <cell r="B46">
            <v>18</v>
          </cell>
          <cell r="C46">
            <v>6.280103442734887E-2</v>
          </cell>
          <cell r="D46">
            <v>1.9161914314730939</v>
          </cell>
          <cell r="E46">
            <v>0.12033880405733269</v>
          </cell>
        </row>
        <row r="47">
          <cell r="A47" t="str">
            <v>Healthcare Products</v>
          </cell>
          <cell r="B47">
            <v>13</v>
          </cell>
          <cell r="C47">
            <v>9.8987765742727538E-2</v>
          </cell>
          <cell r="D47">
            <v>1.3246637864868804</v>
          </cell>
          <cell r="E47">
            <v>0.13112550858463776</v>
          </cell>
        </row>
        <row r="48">
          <cell r="A48" t="str">
            <v>Healthcare Support Services</v>
          </cell>
          <cell r="B48">
            <v>30</v>
          </cell>
          <cell r="C48">
            <v>0.33640326513740809</v>
          </cell>
          <cell r="D48">
            <v>1.667038978369614</v>
          </cell>
          <cell r="E48">
            <v>0.5607973554348672</v>
          </cell>
        </row>
        <row r="49">
          <cell r="A49" t="str">
            <v>Heathcare Information and Technology</v>
          </cell>
          <cell r="B49">
            <v>14</v>
          </cell>
          <cell r="C49">
            <v>0.16053382318406825</v>
          </cell>
          <cell r="D49">
            <v>0.42935080078534632</v>
          </cell>
          <cell r="E49">
            <v>6.8925325537212895E-2</v>
          </cell>
        </row>
        <row r="50">
          <cell r="A50" t="str">
            <v>Homebuilding</v>
          </cell>
          <cell r="B50">
            <v>1</v>
          </cell>
          <cell r="C50">
            <v>1.9351717464925013E-2</v>
          </cell>
          <cell r="D50">
            <v>-4.5449999999999999</v>
          </cell>
          <cell r="E50">
            <v>-8.7953555878084178E-2</v>
          </cell>
        </row>
        <row r="51">
          <cell r="A51" t="str">
            <v>Hospitals/Healthcare Facilities</v>
          </cell>
          <cell r="B51">
            <v>24</v>
          </cell>
          <cell r="C51">
            <v>0.16937347750385306</v>
          </cell>
          <cell r="D51">
            <v>0.36507853871185425</v>
          </cell>
          <cell r="E51">
            <v>6.18346216636518E-2</v>
          </cell>
        </row>
        <row r="52">
          <cell r="A52" t="str">
            <v>Hotel/Gaming</v>
          </cell>
          <cell r="B52">
            <v>57</v>
          </cell>
          <cell r="C52">
            <v>5.2289718750837939E-2</v>
          </cell>
          <cell r="D52">
            <v>-0.32336280770495851</v>
          </cell>
          <cell r="E52">
            <v>-1.6908550269373573E-2</v>
          </cell>
        </row>
        <row r="53">
          <cell r="A53" t="str">
            <v>Household Products</v>
          </cell>
          <cell r="B53">
            <v>36</v>
          </cell>
          <cell r="C53">
            <v>0.31665482696145375</v>
          </cell>
          <cell r="D53">
            <v>0.15515145241323383</v>
          </cell>
          <cell r="E53">
            <v>4.9129456316730782E-2</v>
          </cell>
        </row>
        <row r="54">
          <cell r="A54" t="str">
            <v>Information Services</v>
          </cell>
          <cell r="B54">
            <v>24</v>
          </cell>
          <cell r="C54">
            <v>-7.5610892662758599E-3</v>
          </cell>
          <cell r="D54" t="str">
            <v>NA</v>
          </cell>
          <cell r="E54" t="str">
            <v>NA</v>
          </cell>
        </row>
        <row r="55">
          <cell r="A55" t="str">
            <v>Insurance (General)</v>
          </cell>
          <cell r="B55">
            <v>2</v>
          </cell>
          <cell r="C55">
            <v>-0.74265306122448982</v>
          </cell>
          <cell r="D55" t="str">
            <v>NA</v>
          </cell>
          <cell r="E55" t="str">
            <v>NA</v>
          </cell>
        </row>
        <row r="56">
          <cell r="A56" t="str">
            <v>Insurance (Life)</v>
          </cell>
          <cell r="B56">
            <v>7</v>
          </cell>
          <cell r="C56">
            <v>0.48503918606217</v>
          </cell>
          <cell r="D56">
            <v>1.0776730504031691</v>
          </cell>
          <cell r="E56">
            <v>0.52271365920868906</v>
          </cell>
        </row>
        <row r="57">
          <cell r="A57" t="str">
            <v>Insurance (Prop/Cas.)</v>
          </cell>
          <cell r="B57">
            <v>2</v>
          </cell>
          <cell r="C57">
            <v>8.8956498322610267E-2</v>
          </cell>
          <cell r="D57">
            <v>2.3687101478835789E-2</v>
          </cell>
          <cell r="E57">
            <v>2.1071216029695549E-3</v>
          </cell>
        </row>
        <row r="58">
          <cell r="A58" t="str">
            <v>Investments &amp; Asset Management</v>
          </cell>
          <cell r="B58">
            <v>96</v>
          </cell>
          <cell r="C58">
            <v>5.1542131316036174E-2</v>
          </cell>
          <cell r="D58">
            <v>-0.17828198421375291</v>
          </cell>
          <cell r="E58">
            <v>-9.1890334416287415E-3</v>
          </cell>
        </row>
        <row r="59">
          <cell r="A59" t="str">
            <v>Machinery</v>
          </cell>
          <cell r="B59">
            <v>149</v>
          </cell>
          <cell r="C59">
            <v>0.1225804883727552</v>
          </cell>
          <cell r="D59">
            <v>0.46595877840159922</v>
          </cell>
          <cell r="E59">
            <v>5.711745461804045E-2</v>
          </cell>
        </row>
        <row r="60">
          <cell r="A60" t="str">
            <v>Metals &amp; Mining</v>
          </cell>
          <cell r="B60">
            <v>39</v>
          </cell>
          <cell r="C60">
            <v>0.21046688920661849</v>
          </cell>
          <cell r="D60">
            <v>0.22562602282707303</v>
          </cell>
          <cell r="E60">
            <v>4.7486807148475557E-2</v>
          </cell>
        </row>
        <row r="61">
          <cell r="A61" t="str">
            <v>Office Equipment &amp; Services</v>
          </cell>
          <cell r="B61">
            <v>13</v>
          </cell>
          <cell r="C61">
            <v>0.12559802166988535</v>
          </cell>
          <cell r="D61">
            <v>0.75326490938605206</v>
          </cell>
          <cell r="E61">
            <v>9.4608582412233591E-2</v>
          </cell>
        </row>
        <row r="62">
          <cell r="A62" t="str">
            <v>Oil/Gas (Integrated)</v>
          </cell>
          <cell r="B62">
            <v>1</v>
          </cell>
          <cell r="C62">
            <v>0.1098848595789933</v>
          </cell>
          <cell r="D62">
            <v>0.35866953954765568</v>
          </cell>
          <cell r="E62">
            <v>3.9412351988456329E-2</v>
          </cell>
        </row>
        <row r="63">
          <cell r="A63" t="str">
            <v>Oil/Gas (Production and Exploration)</v>
          </cell>
          <cell r="B63">
            <v>6</v>
          </cell>
          <cell r="C63">
            <v>0.20978430327175271</v>
          </cell>
          <cell r="D63">
            <v>0.6485171790246389</v>
          </cell>
          <cell r="E63">
            <v>0.1360487245614464</v>
          </cell>
        </row>
        <row r="64">
          <cell r="A64" t="str">
            <v>Oil/Gas Distribution</v>
          </cell>
          <cell r="B64">
            <v>11</v>
          </cell>
          <cell r="C64">
            <v>0.23549888380661438</v>
          </cell>
          <cell r="D64">
            <v>0.21689389969830022</v>
          </cell>
          <cell r="E64">
            <v>5.1078271283413475E-2</v>
          </cell>
        </row>
        <row r="65">
          <cell r="A65" t="str">
            <v>Oilfield Svcs/Equip.</v>
          </cell>
          <cell r="B65">
            <v>22</v>
          </cell>
          <cell r="C65">
            <v>6.6068807295048201E-2</v>
          </cell>
          <cell r="D65">
            <v>2.1740987584722715</v>
          </cell>
          <cell r="E65">
            <v>0.14364011191390805</v>
          </cell>
        </row>
        <row r="66">
          <cell r="A66" t="str">
            <v>Packaging &amp; Container</v>
          </cell>
          <cell r="B66">
            <v>79</v>
          </cell>
          <cell r="C66">
            <v>9.5540606616498963E-2</v>
          </cell>
          <cell r="D66">
            <v>1.3528022752537048</v>
          </cell>
          <cell r="E66">
            <v>0.12924755000991897</v>
          </cell>
        </row>
        <row r="67">
          <cell r="A67" t="str">
            <v>Paper/Forest Products</v>
          </cell>
          <cell r="B67">
            <v>50</v>
          </cell>
          <cell r="C67">
            <v>0.13374994533427095</v>
          </cell>
          <cell r="D67">
            <v>0.43220992638850314</v>
          </cell>
          <cell r="E67">
            <v>5.7808054027391566E-2</v>
          </cell>
        </row>
        <row r="68">
          <cell r="A68" t="str">
            <v>Power</v>
          </cell>
          <cell r="B68">
            <v>30</v>
          </cell>
          <cell r="C68">
            <v>8.2696670363050673E-2</v>
          </cell>
          <cell r="D68">
            <v>0.6322700593381404</v>
          </cell>
          <cell r="E68">
            <v>5.2286628677512687E-2</v>
          </cell>
        </row>
        <row r="69">
          <cell r="A69" t="str">
            <v>Precious Metals</v>
          </cell>
          <cell r="B69">
            <v>1</v>
          </cell>
          <cell r="C69">
            <v>-5.301080802882141E-2</v>
          </cell>
          <cell r="D69" t="str">
            <v>NA</v>
          </cell>
          <cell r="E69" t="str">
            <v>NA</v>
          </cell>
        </row>
        <row r="70">
          <cell r="A70" t="str">
            <v>Publishing &amp; Newspapers</v>
          </cell>
          <cell r="B70">
            <v>25</v>
          </cell>
          <cell r="C70">
            <v>6.4218423869389196E-2</v>
          </cell>
          <cell r="D70">
            <v>-3.2501892284095488E-2</v>
          </cell>
          <cell r="E70">
            <v>-2.0872202952572742E-3</v>
          </cell>
        </row>
        <row r="71">
          <cell r="A71" t="str">
            <v>R.E.I.T.</v>
          </cell>
          <cell r="B71">
            <v>4</v>
          </cell>
          <cell r="C71">
            <v>4.9187493346518604E-2</v>
          </cell>
          <cell r="D71">
            <v>-0.10685055156666216</v>
          </cell>
          <cell r="E71">
            <v>-5.255710794257038E-3</v>
          </cell>
        </row>
        <row r="72">
          <cell r="A72" t="str">
            <v>Real Estate (Development)</v>
          </cell>
          <cell r="B72">
            <v>137</v>
          </cell>
          <cell r="C72">
            <v>6.3861936512702833E-2</v>
          </cell>
          <cell r="D72">
            <v>0.72178315612017108</v>
          </cell>
          <cell r="E72">
            <v>4.6094470092084644E-2</v>
          </cell>
        </row>
        <row r="73">
          <cell r="A73" t="str">
            <v>Real Estate (General/Diversified)</v>
          </cell>
          <cell r="B73">
            <v>15</v>
          </cell>
          <cell r="C73">
            <v>3.6929998901734373E-2</v>
          </cell>
          <cell r="D73">
            <v>-0.14936515695097619</v>
          </cell>
          <cell r="E73">
            <v>-5.5160550821569329E-3</v>
          </cell>
        </row>
        <row r="74">
          <cell r="A74" t="str">
            <v>Real Estate (Operations &amp; Services)</v>
          </cell>
          <cell r="B74">
            <v>30</v>
          </cell>
          <cell r="C74">
            <v>9.1777448388906585E-2</v>
          </cell>
          <cell r="D74">
            <v>-0.3569986867135469</v>
          </cell>
          <cell r="E74">
            <v>-3.2764428544759978E-2</v>
          </cell>
        </row>
        <row r="75">
          <cell r="A75" t="str">
            <v>Recreation</v>
          </cell>
          <cell r="B75">
            <v>11</v>
          </cell>
          <cell r="C75">
            <v>7.3415578016866628E-2</v>
          </cell>
          <cell r="D75">
            <v>-0.65787781065201723</v>
          </cell>
          <cell r="E75">
            <v>-4.8298479733488581E-2</v>
          </cell>
        </row>
        <row r="76">
          <cell r="A76" t="str">
            <v>Reinsurance</v>
          </cell>
          <cell r="B76">
            <v>1</v>
          </cell>
          <cell r="C76">
            <v>9.1727675389693633E-2</v>
          </cell>
          <cell r="D76">
            <v>3.4129116353550874E-3</v>
          </cell>
          <cell r="E76">
            <v>3.1305845062155988E-4</v>
          </cell>
        </row>
        <row r="77">
          <cell r="A77" t="str">
            <v>Restaurant/Dining</v>
          </cell>
          <cell r="B77">
            <v>13</v>
          </cell>
          <cell r="C77">
            <v>9.0956170319139482E-2</v>
          </cell>
          <cell r="D77">
            <v>0.98617973819658045</v>
          </cell>
          <cell r="E77">
            <v>8.9699132232692561E-2</v>
          </cell>
        </row>
        <row r="78">
          <cell r="A78" t="str">
            <v>Retail (Automotive)</v>
          </cell>
          <cell r="B78">
            <v>4</v>
          </cell>
          <cell r="C78">
            <v>6.4365407710470612E-2</v>
          </cell>
          <cell r="D78">
            <v>1.7932131286483788</v>
          </cell>
          <cell r="E78">
            <v>0.11542089413722149</v>
          </cell>
        </row>
        <row r="79">
          <cell r="A79" t="str">
            <v>Retail (Building Supply)</v>
          </cell>
          <cell r="B79">
            <v>2</v>
          </cell>
          <cell r="C79">
            <v>3.9370986195435213E-2</v>
          </cell>
          <cell r="D79">
            <v>-1.7995437643397778</v>
          </cell>
          <cell r="E79">
            <v>-7.0849812703902906E-2</v>
          </cell>
        </row>
        <row r="80">
          <cell r="A80" t="str">
            <v>Retail (Distributors)</v>
          </cell>
          <cell r="B80">
            <v>239</v>
          </cell>
          <cell r="C80">
            <v>6.8689261905288748E-2</v>
          </cell>
          <cell r="D80">
            <v>1.9151495352569474</v>
          </cell>
          <cell r="E80">
            <v>0.13155020801505649</v>
          </cell>
        </row>
        <row r="81">
          <cell r="A81" t="str">
            <v>Retail (General)</v>
          </cell>
          <cell r="B81">
            <v>5</v>
          </cell>
          <cell r="C81">
            <v>-0.12605658632200917</v>
          </cell>
          <cell r="D81" t="str">
            <v>NA</v>
          </cell>
          <cell r="E81" t="str">
            <v>NA</v>
          </cell>
        </row>
        <row r="82">
          <cell r="A82" t="str">
            <v>Retail (Grocery and Food)</v>
          </cell>
          <cell r="B82">
            <v>5</v>
          </cell>
          <cell r="C82">
            <v>0.19057485838656057</v>
          </cell>
          <cell r="D82">
            <v>1.1102348044084014</v>
          </cell>
          <cell r="E82">
            <v>0.21158284062596186</v>
          </cell>
        </row>
        <row r="83">
          <cell r="A83" t="str">
            <v>Retail (Online)</v>
          </cell>
          <cell r="B83">
            <v>13</v>
          </cell>
          <cell r="C83">
            <v>-0.10306384077234169</v>
          </cell>
          <cell r="D83" t="str">
            <v>NA</v>
          </cell>
          <cell r="E83" t="str">
            <v>NA</v>
          </cell>
        </row>
        <row r="84">
          <cell r="A84" t="str">
            <v>Retail (Special Lines)</v>
          </cell>
          <cell r="B84">
            <v>28</v>
          </cell>
          <cell r="C84">
            <v>4.8689052892431646E-2</v>
          </cell>
          <cell r="D84">
            <v>1.417208206218072</v>
          </cell>
          <cell r="E84">
            <v>6.9002525312139878E-2</v>
          </cell>
        </row>
        <row r="85">
          <cell r="A85" t="str">
            <v>Rubber&amp; Tires</v>
          </cell>
          <cell r="B85">
            <v>16</v>
          </cell>
          <cell r="C85">
            <v>5.9135143065335551E-2</v>
          </cell>
          <cell r="D85">
            <v>1.7097166082735096</v>
          </cell>
          <cell r="E85">
            <v>0.10110433623143425</v>
          </cell>
        </row>
        <row r="86">
          <cell r="A86" t="str">
            <v>Semiconductor</v>
          </cell>
          <cell r="B86">
            <v>8</v>
          </cell>
          <cell r="C86">
            <v>1.8926200126029642E-2</v>
          </cell>
          <cell r="D86">
            <v>8.3739406014669324</v>
          </cell>
          <cell r="E86">
            <v>0.15848687566684819</v>
          </cell>
        </row>
        <row r="87">
          <cell r="A87" t="str">
            <v>Semiconductor Equip</v>
          </cell>
          <cell r="B87">
            <v>1</v>
          </cell>
          <cell r="C87">
            <v>0.17067050953161006</v>
          </cell>
          <cell r="D87">
            <v>3.7305189660419686</v>
          </cell>
          <cell r="E87">
            <v>0.63668957275171789</v>
          </cell>
        </row>
        <row r="88">
          <cell r="A88" t="str">
            <v>Shipbuilding &amp; Marine</v>
          </cell>
          <cell r="B88">
            <v>20</v>
          </cell>
          <cell r="C88">
            <v>0.10065339468144859</v>
          </cell>
          <cell r="D88">
            <v>0.53399783294381487</v>
          </cell>
          <cell r="E88">
            <v>5.3748694638332047E-2</v>
          </cell>
        </row>
        <row r="89">
          <cell r="A89" t="str">
            <v>Shoe</v>
          </cell>
          <cell r="B89">
            <v>12</v>
          </cell>
          <cell r="C89">
            <v>0.15648092232285932</v>
          </cell>
          <cell r="D89">
            <v>0.72860315716744573</v>
          </cell>
          <cell r="E89">
            <v>0.11401249404090913</v>
          </cell>
        </row>
        <row r="90">
          <cell r="A90" t="str">
            <v>Software (Entertainment)</v>
          </cell>
          <cell r="B90">
            <v>7</v>
          </cell>
          <cell r="C90">
            <v>5.9984733530836193E-2</v>
          </cell>
          <cell r="D90">
            <v>0.40206530841180615</v>
          </cell>
          <cell r="E90">
            <v>2.4117780387075665E-2</v>
          </cell>
        </row>
        <row r="91">
          <cell r="A91" t="str">
            <v>Software (Internet)</v>
          </cell>
          <cell r="B91">
            <v>7</v>
          </cell>
          <cell r="C91">
            <v>0.56789025146568062</v>
          </cell>
          <cell r="D91">
            <v>-6.4910136117351636E-2</v>
          </cell>
          <cell r="E91">
            <v>-3.6861833522354379E-2</v>
          </cell>
        </row>
        <row r="92">
          <cell r="A92" t="str">
            <v>Software (System &amp; Application)</v>
          </cell>
          <cell r="B92">
            <v>74</v>
          </cell>
          <cell r="C92">
            <v>0.25609235400320413</v>
          </cell>
          <cell r="D92">
            <v>0.64765322082496157</v>
          </cell>
          <cell r="E92">
            <v>0.16585903789882139</v>
          </cell>
        </row>
        <row r="93">
          <cell r="A93" t="str">
            <v>Steel</v>
          </cell>
          <cell r="B93">
            <v>157</v>
          </cell>
          <cell r="C93">
            <v>0.14882106776599549</v>
          </cell>
          <cell r="D93">
            <v>0.70318179051250562</v>
          </cell>
          <cell r="E93">
            <v>0.10464826489767565</v>
          </cell>
        </row>
        <row r="94">
          <cell r="A94" t="str">
            <v>Telecom (Wireless)</v>
          </cell>
          <cell r="B94">
            <v>3</v>
          </cell>
          <cell r="C94">
            <v>5.1824329356923132E-2</v>
          </cell>
          <cell r="D94">
            <v>-2.3517457986135066</v>
          </cell>
          <cell r="E94">
            <v>-0.12187764883110659</v>
          </cell>
        </row>
        <row r="95">
          <cell r="A95" t="str">
            <v>Telecom. Equipment</v>
          </cell>
          <cell r="B95">
            <v>20</v>
          </cell>
          <cell r="C95">
            <v>1.450058269482798E-2</v>
          </cell>
          <cell r="D95">
            <v>28.45881005219238</v>
          </cell>
          <cell r="E95">
            <v>0.41266932855821736</v>
          </cell>
        </row>
        <row r="96">
          <cell r="A96" t="str">
            <v>Telecom. Services</v>
          </cell>
          <cell r="B96">
            <v>13</v>
          </cell>
          <cell r="C96">
            <v>0.32090346766296463</v>
          </cell>
          <cell r="D96">
            <v>6.8645420617679684E-2</v>
          </cell>
          <cell r="E96">
            <v>2.2028553515396176E-2</v>
          </cell>
        </row>
        <row r="97">
          <cell r="A97" t="str">
            <v>Tobacco</v>
          </cell>
          <cell r="B97">
            <v>5</v>
          </cell>
          <cell r="C97">
            <v>0.26418872028879609</v>
          </cell>
          <cell r="D97">
            <v>0.13033908033352262</v>
          </cell>
          <cell r="E97">
            <v>3.4434114836931928E-2</v>
          </cell>
        </row>
        <row r="98">
          <cell r="A98" t="str">
            <v>Transportation</v>
          </cell>
          <cell r="B98">
            <v>38</v>
          </cell>
          <cell r="C98">
            <v>7.0164053490356385E-2</v>
          </cell>
          <cell r="D98">
            <v>0.35104671237328089</v>
          </cell>
          <cell r="E98">
            <v>2.4630860304572632E-2</v>
          </cell>
        </row>
        <row r="99">
          <cell r="A99" t="str">
            <v>Transportation (Railroads)</v>
          </cell>
          <cell r="B99">
            <v>1</v>
          </cell>
          <cell r="C99">
            <v>0.10595896968298314</v>
          </cell>
          <cell r="D99">
            <v>4.8611039557436616E-3</v>
          </cell>
          <cell r="E99">
            <v>5.1507756667247204E-4</v>
          </cell>
        </row>
        <row r="100">
          <cell r="A100" t="str">
            <v>Trucking</v>
          </cell>
          <cell r="B100">
            <v>12</v>
          </cell>
          <cell r="C100">
            <v>0.15991983580506577</v>
          </cell>
          <cell r="D100">
            <v>0.62135436003497624</v>
          </cell>
          <cell r="E100">
            <v>9.9366887233555121E-2</v>
          </cell>
        </row>
        <row r="101">
          <cell r="A101" t="str">
            <v>Utility (General)</v>
          </cell>
          <cell r="B101">
            <v>0</v>
          </cell>
          <cell r="C101" t="str">
            <v>NA</v>
          </cell>
          <cell r="D101" t="str">
            <v>NA</v>
          </cell>
          <cell r="E101" t="str">
            <v>NA</v>
          </cell>
        </row>
        <row r="102">
          <cell r="A102" t="str">
            <v>Utility (Water)</v>
          </cell>
          <cell r="B102">
            <v>1</v>
          </cell>
          <cell r="C102">
            <v>6.9675444864296276E-2</v>
          </cell>
          <cell r="D102">
            <v>2.2068538367665012</v>
          </cell>
          <cell r="E102">
            <v>0.15376352282718506</v>
          </cell>
        </row>
        <row r="103">
          <cell r="A103" t="str">
            <v>Total Market</v>
          </cell>
          <cell r="B103">
            <v>4149</v>
          </cell>
          <cell r="C103">
            <v>6.9675444864296276E-2</v>
          </cell>
          <cell r="D103">
            <v>0.65584879328164536</v>
          </cell>
          <cell r="E103">
            <v>4.5696556435610526E-2</v>
          </cell>
        </row>
        <row r="104">
          <cell r="A104" t="str">
            <v>Total Market (without financials)</v>
          </cell>
          <cell r="B104">
            <v>3577</v>
          </cell>
          <cell r="C104">
            <v>0.1108387439979267</v>
          </cell>
          <cell r="D104">
            <v>0.63841266876545721</v>
          </cell>
          <cell r="E104">
            <v>7.0760858358327683E-2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screener.in/excel/"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
  <sheetViews>
    <sheetView workbookViewId="0">
      <selection activeCell="I34" sqref="I34"/>
    </sheetView>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M81"/>
  <sheetViews>
    <sheetView showGridLines="0" zoomScaleNormal="100" workbookViewId="0">
      <pane xSplit="1" ySplit="5" topLeftCell="B11" activePane="bottomRight" state="frozen"/>
      <selection pane="topRight" activeCell="B1" sqref="B1"/>
      <selection pane="bottomLeft" activeCell="A4" sqref="A4"/>
      <selection pane="bottomRight" activeCell="P37" sqref="P37"/>
    </sheetView>
  </sheetViews>
  <sheetFormatPr defaultRowHeight="15"/>
  <cols>
    <col min="1" max="1" width="1.85546875" customWidth="1"/>
    <col min="2" max="2" width="28.42578125" bestFit="1" customWidth="1"/>
    <col min="3" max="13" width="13.140625" customWidth="1"/>
  </cols>
  <sheetData>
    <row r="1" spans="1:13" ht="9.75" customHeight="1"/>
    <row r="2" spans="1:13" ht="18.75">
      <c r="B2" s="18" t="s">
        <v>460</v>
      </c>
      <c r="C2" s="18"/>
      <c r="D2" s="18"/>
      <c r="E2" s="18"/>
      <c r="F2" s="18"/>
      <c r="G2" s="18"/>
      <c r="H2" s="18"/>
      <c r="I2" s="18"/>
      <c r="J2" s="18"/>
      <c r="K2" s="18"/>
      <c r="L2" s="18"/>
      <c r="M2" s="18"/>
    </row>
    <row r="3" spans="1:13">
      <c r="B3" s="20" t="str">
        <f>'Data Sheet'!B1</f>
        <v>ITC LTD</v>
      </c>
      <c r="C3" s="9"/>
      <c r="D3" s="9"/>
      <c r="E3" s="9"/>
      <c r="F3" s="9"/>
      <c r="G3" s="9"/>
      <c r="H3" s="9"/>
      <c r="I3" s="9"/>
      <c r="J3" s="9"/>
      <c r="K3" s="9"/>
      <c r="L3" s="9"/>
      <c r="M3" s="9"/>
    </row>
    <row r="4" spans="1:13" ht="4.5" customHeight="1"/>
    <row r="5" spans="1:13">
      <c r="B5" s="9" t="s">
        <v>92</v>
      </c>
      <c r="C5" s="10">
        <f>'Data Sheet'!B16</f>
        <v>42460</v>
      </c>
      <c r="D5" s="10">
        <f>'Data Sheet'!C16</f>
        <v>42825</v>
      </c>
      <c r="E5" s="10">
        <f>'Data Sheet'!D16</f>
        <v>43190</v>
      </c>
      <c r="F5" s="10">
        <f>'Data Sheet'!E16</f>
        <v>43555</v>
      </c>
      <c r="G5" s="10">
        <f>'Data Sheet'!F16</f>
        <v>43921</v>
      </c>
      <c r="H5" s="10">
        <f>'Data Sheet'!G16</f>
        <v>44286</v>
      </c>
      <c r="I5" s="10">
        <f>'Data Sheet'!H16</f>
        <v>44651</v>
      </c>
      <c r="J5" s="10">
        <f>'Data Sheet'!I16</f>
        <v>45016</v>
      </c>
      <c r="K5" s="10">
        <f>'Data Sheet'!J16</f>
        <v>45382</v>
      </c>
      <c r="L5" s="10">
        <f>'Data Sheet'!K16</f>
        <v>45747</v>
      </c>
      <c r="M5" s="10" t="s">
        <v>54</v>
      </c>
    </row>
    <row r="6" spans="1:13" ht="4.5" customHeight="1">
      <c r="C6" s="35"/>
      <c r="D6" s="35"/>
      <c r="E6" s="35"/>
      <c r="F6" s="35"/>
      <c r="G6" s="35"/>
      <c r="H6" s="35"/>
      <c r="I6" s="35"/>
      <c r="J6" s="35"/>
      <c r="K6" s="35"/>
      <c r="L6" s="35"/>
      <c r="M6" s="35"/>
    </row>
    <row r="7" spans="1:13">
      <c r="A7" t="s">
        <v>78</v>
      </c>
      <c r="B7" s="11" t="s">
        <v>55</v>
      </c>
      <c r="C7" s="308"/>
      <c r="D7" s="308"/>
      <c r="E7" s="308"/>
      <c r="F7" s="308"/>
      <c r="G7" s="308"/>
      <c r="H7" s="308"/>
      <c r="I7" s="308"/>
      <c r="J7" s="308"/>
      <c r="K7" s="308"/>
      <c r="L7" s="308"/>
      <c r="M7" s="308"/>
    </row>
    <row r="8" spans="1:13">
      <c r="B8" t="s">
        <v>12</v>
      </c>
      <c r="C8" s="309">
        <f>IFERROR('Data Sheet'!B17,0)</f>
        <v>39192.1</v>
      </c>
      <c r="D8" s="309">
        <f>IFERROR('Data Sheet'!C17,0)</f>
        <v>42767.6</v>
      </c>
      <c r="E8" s="309">
        <f>IFERROR('Data Sheet'!D17,0)</f>
        <v>43448.94</v>
      </c>
      <c r="F8" s="309">
        <f>IFERROR('Data Sheet'!E17,0)</f>
        <v>48339.58</v>
      </c>
      <c r="G8" s="309">
        <f>IFERROR('Data Sheet'!F17,0)</f>
        <v>49387.7</v>
      </c>
      <c r="H8" s="309">
        <f>IFERROR('Data Sheet'!G17,0)</f>
        <v>49257.45</v>
      </c>
      <c r="I8" s="309">
        <f>IFERROR('Data Sheet'!H17,0)</f>
        <v>60644.54</v>
      </c>
      <c r="J8" s="309">
        <f>IFERROR('Data Sheet'!I17,0)</f>
        <v>70919.03</v>
      </c>
      <c r="K8" s="309">
        <f>IFERROR('Data Sheet'!J17,0)</f>
        <v>67931.94</v>
      </c>
      <c r="L8" s="309">
        <f>IFERROR('Data Sheet'!K17,0)</f>
        <v>75323.34</v>
      </c>
      <c r="M8" s="309">
        <f>IFERROR(SUM('Data Sheet'!H42:K42),0)</f>
        <v>79040.320000000007</v>
      </c>
    </row>
    <row r="9" spans="1:13">
      <c r="B9" s="12" t="s">
        <v>56</v>
      </c>
      <c r="C9" s="14" t="s">
        <v>79</v>
      </c>
      <c r="D9" s="15">
        <f>D8/C8-1</f>
        <v>9.1230120355888067E-2</v>
      </c>
      <c r="E9" s="15">
        <f t="shared" ref="E9:M9" si="0">E8/D8-1</f>
        <v>1.5931218960147486E-2</v>
      </c>
      <c r="F9" s="15">
        <f t="shared" si="0"/>
        <v>0.11256062863673999</v>
      </c>
      <c r="G9" s="15">
        <f t="shared" si="0"/>
        <v>2.1682439110972673E-2</v>
      </c>
      <c r="H9" s="15">
        <f t="shared" si="0"/>
        <v>-2.6372963308678443E-3</v>
      </c>
      <c r="I9" s="15">
        <f t="shared" si="0"/>
        <v>0.23117497962237188</v>
      </c>
      <c r="J9" s="15">
        <f t="shared" si="0"/>
        <v>0.1694215175842706</v>
      </c>
      <c r="K9" s="15">
        <f t="shared" si="0"/>
        <v>-4.2119724423754779E-2</v>
      </c>
      <c r="L9" s="15">
        <f t="shared" si="0"/>
        <v>0.10880596078957838</v>
      </c>
      <c r="M9" s="15">
        <f t="shared" si="0"/>
        <v>4.9346988596097985E-2</v>
      </c>
    </row>
    <row r="10" spans="1:13">
      <c r="C10" s="35"/>
      <c r="D10" s="35"/>
      <c r="E10" s="35"/>
      <c r="F10" s="35"/>
      <c r="G10" s="35"/>
      <c r="H10" s="35"/>
      <c r="I10" s="35"/>
      <c r="J10" s="35"/>
      <c r="K10" s="35"/>
      <c r="L10" s="35"/>
      <c r="M10" s="35"/>
    </row>
    <row r="11" spans="1:13">
      <c r="B11" t="s">
        <v>57</v>
      </c>
      <c r="C11" s="309">
        <f>IFERROR(SUM('Data Sheet'!B18,'Data Sheet'!B20:B22)-1*'Data Sheet'!B19,0)</f>
        <v>19162.939999999999</v>
      </c>
      <c r="D11" s="309">
        <f>IFERROR(SUM('Data Sheet'!C18,'Data Sheet'!C20:C22)-1*'Data Sheet'!C19,0)</f>
        <v>21949.119999999999</v>
      </c>
      <c r="E11" s="309">
        <f>IFERROR(SUM('Data Sheet'!D18,'Data Sheet'!D20:D22)-1*'Data Sheet'!D19,0)</f>
        <v>21967.5</v>
      </c>
      <c r="F11" s="309">
        <f>IFERROR(SUM('Data Sheet'!E18,'Data Sheet'!E20:E22)-1*'Data Sheet'!E19,0)</f>
        <v>24215.95</v>
      </c>
      <c r="G11" s="309">
        <f>IFERROR(SUM('Data Sheet'!F18,'Data Sheet'!F20:F22)-1*'Data Sheet'!F19,0)</f>
        <v>24330.399999999998</v>
      </c>
      <c r="H11" s="309">
        <f>IFERROR(SUM('Data Sheet'!G18,'Data Sheet'!G20:G22)-1*'Data Sheet'!G19,0)</f>
        <v>26881.51</v>
      </c>
      <c r="I11" s="309">
        <f>IFERROR(SUM('Data Sheet'!H18,'Data Sheet'!H20:H22)-1*'Data Sheet'!H19,0)</f>
        <v>34053.060000000005</v>
      </c>
      <c r="J11" s="309">
        <f>IFERROR(SUM('Data Sheet'!I18,'Data Sheet'!I20:I22)-1*'Data Sheet'!I19,0)</f>
        <v>38302.130000000005</v>
      </c>
      <c r="K11" s="309">
        <f>IFERROR(SUM('Data Sheet'!J18,'Data Sheet'!J20:J22)-1*'Data Sheet'!J19,0)</f>
        <v>35665.990000000005</v>
      </c>
      <c r="L11" s="309">
        <f>IFERROR(SUM('Data Sheet'!K18,'Data Sheet'!K20:K22)-1*'Data Sheet'!K19,0)</f>
        <v>41469.21</v>
      </c>
      <c r="M11" s="309">
        <f>IFERROR(SUM('Data Sheet'!H43:K43),0)</f>
        <v>52790.48</v>
      </c>
    </row>
    <row r="12" spans="1:13">
      <c r="B12" s="12" t="s">
        <v>58</v>
      </c>
      <c r="C12" s="15">
        <f>C11/C8</f>
        <v>0.48894904840516329</v>
      </c>
      <c r="D12" s="15">
        <f t="shared" ref="D12:M12" si="1">D11/D8</f>
        <v>0.51321841768067411</v>
      </c>
      <c r="E12" s="15">
        <f t="shared" si="1"/>
        <v>0.50559346211898382</v>
      </c>
      <c r="F12" s="15">
        <f t="shared" si="1"/>
        <v>0.50095491106873502</v>
      </c>
      <c r="G12" s="15">
        <f t="shared" si="1"/>
        <v>0.49264088021916386</v>
      </c>
      <c r="H12" s="15">
        <f t="shared" si="1"/>
        <v>0.54573490913557243</v>
      </c>
      <c r="I12" s="15">
        <f t="shared" si="1"/>
        <v>0.56151897598695621</v>
      </c>
      <c r="J12" s="15">
        <f t="shared" si="1"/>
        <v>0.54008254202010386</v>
      </c>
      <c r="K12" s="15">
        <f t="shared" si="1"/>
        <v>0.52502534154037117</v>
      </c>
      <c r="L12" s="15">
        <f t="shared" si="1"/>
        <v>0.55054927197864567</v>
      </c>
      <c r="M12" s="15">
        <f t="shared" si="1"/>
        <v>0.66789304496742929</v>
      </c>
    </row>
    <row r="13" spans="1:13">
      <c r="C13" s="35"/>
      <c r="D13" s="35"/>
      <c r="E13" s="35"/>
      <c r="F13" s="35"/>
      <c r="G13" s="35"/>
      <c r="H13" s="35"/>
      <c r="I13" s="35"/>
      <c r="J13" s="35"/>
      <c r="K13" s="35"/>
      <c r="L13" s="35"/>
      <c r="M13" s="35"/>
    </row>
    <row r="14" spans="1:13">
      <c r="B14" s="13" t="s">
        <v>59</v>
      </c>
      <c r="C14" s="310">
        <f>C8-C11</f>
        <v>20029.16</v>
      </c>
      <c r="D14" s="310">
        <f t="shared" ref="D14:M14" si="2">D8-D11</f>
        <v>20818.48</v>
      </c>
      <c r="E14" s="310">
        <f t="shared" si="2"/>
        <v>21481.440000000002</v>
      </c>
      <c r="F14" s="310">
        <f t="shared" si="2"/>
        <v>24123.63</v>
      </c>
      <c r="G14" s="310">
        <f t="shared" si="2"/>
        <v>25057.3</v>
      </c>
      <c r="H14" s="310">
        <f t="shared" si="2"/>
        <v>22375.94</v>
      </c>
      <c r="I14" s="310">
        <f t="shared" si="2"/>
        <v>26591.479999999996</v>
      </c>
      <c r="J14" s="310">
        <f t="shared" si="2"/>
        <v>32616.899999999994</v>
      </c>
      <c r="K14" s="310">
        <f t="shared" si="2"/>
        <v>32265.949999999997</v>
      </c>
      <c r="L14" s="310">
        <f t="shared" si="2"/>
        <v>33854.129999999997</v>
      </c>
      <c r="M14" s="310">
        <f t="shared" si="2"/>
        <v>26249.840000000004</v>
      </c>
    </row>
    <row r="15" spans="1:13">
      <c r="B15" s="12" t="s">
        <v>60</v>
      </c>
      <c r="C15" s="15">
        <f>C14/C8</f>
        <v>0.51105095159483671</v>
      </c>
      <c r="D15" s="15">
        <f t="shared" ref="D15:M15" si="3">D14/D8</f>
        <v>0.48678158231932583</v>
      </c>
      <c r="E15" s="15">
        <f t="shared" si="3"/>
        <v>0.49440653788101624</v>
      </c>
      <c r="F15" s="15">
        <f t="shared" si="3"/>
        <v>0.49904508893126504</v>
      </c>
      <c r="G15" s="15">
        <f t="shared" si="3"/>
        <v>0.50735911978083614</v>
      </c>
      <c r="H15" s="15">
        <f t="shared" si="3"/>
        <v>0.45426509086442762</v>
      </c>
      <c r="I15" s="15">
        <f t="shared" si="3"/>
        <v>0.43848102401304379</v>
      </c>
      <c r="J15" s="15">
        <f t="shared" si="3"/>
        <v>0.45991745797989614</v>
      </c>
      <c r="K15" s="15">
        <f t="shared" si="3"/>
        <v>0.47497465845962877</v>
      </c>
      <c r="L15" s="15">
        <f t="shared" si="3"/>
        <v>0.44945072802135433</v>
      </c>
      <c r="M15" s="15">
        <f t="shared" si="3"/>
        <v>0.33210695503257076</v>
      </c>
    </row>
    <row r="16" spans="1:13">
      <c r="C16" s="35"/>
      <c r="D16" s="35"/>
      <c r="E16" s="35"/>
      <c r="F16" s="35"/>
      <c r="G16" s="35"/>
      <c r="H16" s="35"/>
      <c r="I16" s="35"/>
      <c r="J16" s="35"/>
      <c r="K16" s="35"/>
      <c r="L16" s="35"/>
      <c r="M16" s="35"/>
    </row>
    <row r="17" spans="2:13">
      <c r="B17" t="s">
        <v>61</v>
      </c>
      <c r="C17" s="309">
        <f>IFERROR(SUM('Data Sheet'!B23:B24),0)</f>
        <v>5497.67</v>
      </c>
      <c r="D17" s="309">
        <f>IFERROR(SUM('Data Sheet'!C23:C24),0)</f>
        <v>5348.9699999999993</v>
      </c>
      <c r="E17" s="309">
        <f>IFERROR(SUM('Data Sheet'!D23:D24),0)</f>
        <v>4960.8500000000004</v>
      </c>
      <c r="F17" s="309">
        <f>IFERROR(SUM('Data Sheet'!E23:E24),0)</f>
        <v>5586.24</v>
      </c>
      <c r="G17" s="309">
        <f>IFERROR(SUM('Data Sheet'!F23:F24),0)</f>
        <v>5713.76</v>
      </c>
      <c r="H17" s="309">
        <f>IFERROR(SUM('Data Sheet'!G23:G24),0)</f>
        <v>5311.1600000000008</v>
      </c>
      <c r="I17" s="309">
        <f>IFERROR(SUM('Data Sheet'!H23:H24),0)</f>
        <v>5968.33</v>
      </c>
      <c r="J17" s="309">
        <f>IFERROR(SUM('Data Sheet'!I23:I24),0)</f>
        <v>6912.6399999999994</v>
      </c>
      <c r="K17" s="309">
        <f>IFERROR(SUM('Data Sheet'!J23:J24),0)</f>
        <v>7078.42</v>
      </c>
      <c r="L17" s="309">
        <f>IFERROR(SUM('Data Sheet'!K23:K24),0)</f>
        <v>8014.68</v>
      </c>
      <c r="M17" s="35"/>
    </row>
    <row r="18" spans="2:13">
      <c r="B18" s="12" t="s">
        <v>62</v>
      </c>
      <c r="C18" s="15">
        <f t="shared" ref="C18:M18" si="4">C17/C11</f>
        <v>0.2868907380600263</v>
      </c>
      <c r="D18" s="15">
        <f t="shared" si="4"/>
        <v>0.243698608418014</v>
      </c>
      <c r="E18" s="15">
        <f t="shared" si="4"/>
        <v>0.22582678957550928</v>
      </c>
      <c r="F18" s="15">
        <f t="shared" si="4"/>
        <v>0.23068432169706329</v>
      </c>
      <c r="G18" s="15">
        <f t="shared" si="4"/>
        <v>0.2348403643178904</v>
      </c>
      <c r="H18" s="15">
        <f t="shared" si="4"/>
        <v>0.19757669863039692</v>
      </c>
      <c r="I18" s="15">
        <f t="shared" si="4"/>
        <v>0.17526560021331414</v>
      </c>
      <c r="J18" s="15">
        <f t="shared" si="4"/>
        <v>0.18047664712119141</v>
      </c>
      <c r="K18" s="15">
        <f t="shared" si="4"/>
        <v>0.19846413908600319</v>
      </c>
      <c r="L18" s="15">
        <f t="shared" si="4"/>
        <v>0.19326821031796845</v>
      </c>
      <c r="M18" s="15">
        <f t="shared" si="4"/>
        <v>0</v>
      </c>
    </row>
    <row r="19" spans="2:13">
      <c r="B19" s="12"/>
      <c r="C19" s="15"/>
      <c r="D19" s="15"/>
      <c r="E19" s="15"/>
      <c r="F19" s="15"/>
      <c r="G19" s="15"/>
      <c r="H19" s="15"/>
      <c r="I19" s="15"/>
      <c r="J19" s="15"/>
      <c r="K19" s="15"/>
      <c r="L19" s="15"/>
      <c r="M19" s="15"/>
    </row>
    <row r="20" spans="2:13">
      <c r="B20" t="s">
        <v>20</v>
      </c>
      <c r="C20" s="309">
        <f>IFERROR('Data Sheet'!B25,0)</f>
        <v>1483.11</v>
      </c>
      <c r="D20" s="309">
        <f>IFERROR('Data Sheet'!C25,0)</f>
        <v>1758.63</v>
      </c>
      <c r="E20" s="309">
        <f>IFERROR('Data Sheet'!D25,0)</f>
        <v>2239.81</v>
      </c>
      <c r="F20" s="309">
        <f>IFERROR('Data Sheet'!E25,0)</f>
        <v>2080.44</v>
      </c>
      <c r="G20" s="309">
        <f>IFERROR('Data Sheet'!F25,0)</f>
        <v>2417.3200000000002</v>
      </c>
      <c r="H20" s="309">
        <f>IFERROR('Data Sheet'!G25,0)</f>
        <v>2576.9499999999998</v>
      </c>
      <c r="I20" s="309">
        <f>IFERROR('Data Sheet'!H25,0)</f>
        <v>1909.72</v>
      </c>
      <c r="J20" s="309">
        <f>IFERROR('Data Sheet'!I25,0)</f>
        <v>2097.64</v>
      </c>
      <c r="K20" s="309">
        <f>IFERROR('Data Sheet'!J25,0)</f>
        <v>3330.45</v>
      </c>
      <c r="L20" s="309">
        <f>IFERROR('Data Sheet'!K25,0)</f>
        <v>17794.88</v>
      </c>
      <c r="M20" s="309"/>
    </row>
    <row r="21" spans="2:13">
      <c r="B21" s="12" t="s">
        <v>94</v>
      </c>
      <c r="C21" s="15">
        <f>C20/C8</f>
        <v>3.7842065110060448E-2</v>
      </c>
      <c r="D21" s="15">
        <f t="shared" ref="D21:M21" si="5">D20/D8</f>
        <v>4.1120614670919112E-2</v>
      </c>
      <c r="E21" s="15">
        <f t="shared" si="5"/>
        <v>5.1550394555080051E-2</v>
      </c>
      <c r="F21" s="15">
        <f t="shared" si="5"/>
        <v>4.3038023913323203E-2</v>
      </c>
      <c r="G21" s="15">
        <f t="shared" si="5"/>
        <v>4.8945790146129507E-2</v>
      </c>
      <c r="H21" s="15">
        <f t="shared" si="5"/>
        <v>5.2315944085615476E-2</v>
      </c>
      <c r="I21" s="15">
        <f t="shared" si="5"/>
        <v>3.1490386438746173E-2</v>
      </c>
      <c r="J21" s="15">
        <f t="shared" si="5"/>
        <v>2.957795672050224E-2</v>
      </c>
      <c r="K21" s="15">
        <f t="shared" si="5"/>
        <v>4.9026275416247496E-2</v>
      </c>
      <c r="L21" s="15">
        <f t="shared" si="5"/>
        <v>0.23624656049506038</v>
      </c>
      <c r="M21" s="15">
        <f t="shared" si="5"/>
        <v>0</v>
      </c>
    </row>
    <row r="22" spans="2:13">
      <c r="C22" s="35"/>
      <c r="D22" s="35"/>
      <c r="E22" s="35"/>
      <c r="F22" s="35"/>
      <c r="G22" s="35"/>
      <c r="H22" s="35"/>
      <c r="I22" s="35"/>
      <c r="J22" s="35"/>
      <c r="K22" s="35"/>
      <c r="L22" s="35"/>
      <c r="M22" s="35"/>
    </row>
    <row r="23" spans="2:13">
      <c r="B23" s="13" t="s">
        <v>63</v>
      </c>
      <c r="C23" s="310">
        <f>C14-C17+C20</f>
        <v>16014.6</v>
      </c>
      <c r="D23" s="310">
        <f t="shared" ref="D23:M23" si="6">D14-D17+D20</f>
        <v>17228.14</v>
      </c>
      <c r="E23" s="310">
        <f t="shared" si="6"/>
        <v>18760.400000000005</v>
      </c>
      <c r="F23" s="310">
        <f t="shared" si="6"/>
        <v>20617.829999999998</v>
      </c>
      <c r="G23" s="310">
        <f t="shared" si="6"/>
        <v>21760.86</v>
      </c>
      <c r="H23" s="310">
        <f t="shared" si="6"/>
        <v>19641.73</v>
      </c>
      <c r="I23" s="310">
        <f t="shared" si="6"/>
        <v>22532.869999999995</v>
      </c>
      <c r="J23" s="310">
        <f t="shared" si="6"/>
        <v>27801.899999999994</v>
      </c>
      <c r="K23" s="310">
        <f t="shared" si="6"/>
        <v>28517.98</v>
      </c>
      <c r="L23" s="310">
        <f t="shared" si="6"/>
        <v>43634.33</v>
      </c>
      <c r="M23" s="310">
        <f t="shared" si="6"/>
        <v>26249.840000000004</v>
      </c>
    </row>
    <row r="24" spans="2:13">
      <c r="B24" s="12" t="s">
        <v>64</v>
      </c>
      <c r="C24" s="15">
        <f t="shared" ref="C24:M24" si="7">C23/C8</f>
        <v>0.40861806333419237</v>
      </c>
      <c r="D24" s="15">
        <f t="shared" si="7"/>
        <v>0.40283158278696957</v>
      </c>
      <c r="E24" s="15">
        <f t="shared" si="7"/>
        <v>0.43178038405539937</v>
      </c>
      <c r="F24" s="15">
        <f t="shared" si="7"/>
        <v>0.42652066898388435</v>
      </c>
      <c r="G24" s="15">
        <f t="shared" si="7"/>
        <v>0.44061294613841101</v>
      </c>
      <c r="H24" s="15">
        <f t="shared" si="7"/>
        <v>0.39875653327567712</v>
      </c>
      <c r="I24" s="15">
        <f t="shared" si="7"/>
        <v>0.37155645009427057</v>
      </c>
      <c r="J24" s="15">
        <f t="shared" si="7"/>
        <v>0.39202312834792008</v>
      </c>
      <c r="K24" s="15">
        <f t="shared" si="7"/>
        <v>0.41980223146873175</v>
      </c>
      <c r="L24" s="15">
        <f t="shared" si="7"/>
        <v>0.57929361602924145</v>
      </c>
      <c r="M24" s="15">
        <f t="shared" si="7"/>
        <v>0.33210695503257076</v>
      </c>
    </row>
    <row r="25" spans="2:13">
      <c r="C25" s="35"/>
      <c r="D25" s="35"/>
      <c r="E25" s="35"/>
      <c r="F25" s="35"/>
      <c r="G25" s="35"/>
      <c r="H25" s="35"/>
      <c r="I25" s="35"/>
      <c r="J25" s="35"/>
      <c r="K25" s="35"/>
      <c r="L25" s="35"/>
      <c r="M25" s="35"/>
    </row>
    <row r="26" spans="2:13">
      <c r="B26" t="s">
        <v>22</v>
      </c>
      <c r="C26" s="309">
        <f>IFERROR('Data Sheet'!B27,0)</f>
        <v>78.13</v>
      </c>
      <c r="D26" s="309">
        <f>IFERROR('Data Sheet'!C27,0)</f>
        <v>49.03</v>
      </c>
      <c r="E26" s="309">
        <f>IFERROR('Data Sheet'!D27,0)</f>
        <v>115.01</v>
      </c>
      <c r="F26" s="309">
        <f>IFERROR('Data Sheet'!E27,0)</f>
        <v>71.400000000000006</v>
      </c>
      <c r="G26" s="309">
        <f>IFERROR('Data Sheet'!F27,0)</f>
        <v>81.38</v>
      </c>
      <c r="H26" s="309">
        <f>IFERROR('Data Sheet'!G27,0)</f>
        <v>57.97</v>
      </c>
      <c r="I26" s="309">
        <f>IFERROR('Data Sheet'!H27,0)</f>
        <v>59.99</v>
      </c>
      <c r="J26" s="309">
        <f>IFERROR('Data Sheet'!I27,0)</f>
        <v>77.77</v>
      </c>
      <c r="K26" s="309">
        <f>IFERROR('Data Sheet'!J27,0)</f>
        <v>39.11</v>
      </c>
      <c r="L26" s="309">
        <f>IFERROR('Data Sheet'!K27,0)</f>
        <v>45.06</v>
      </c>
      <c r="M26" s="309">
        <f>IFERROR(SUM('Data Sheet'!H46:K46),0)</f>
        <v>51.93</v>
      </c>
    </row>
    <row r="27" spans="2:13">
      <c r="B27" s="12" t="s">
        <v>65</v>
      </c>
      <c r="C27" s="15">
        <f t="shared" ref="C27:M27" si="8">C26/C8</f>
        <v>1.9935139989946953E-3</v>
      </c>
      <c r="D27" s="15">
        <f t="shared" si="8"/>
        <v>1.146428604831695E-3</v>
      </c>
      <c r="E27" s="15">
        <f t="shared" si="8"/>
        <v>2.647015094039118E-3</v>
      </c>
      <c r="F27" s="15">
        <f t="shared" si="8"/>
        <v>1.4770504832685763E-3</v>
      </c>
      <c r="G27" s="15">
        <f t="shared" si="8"/>
        <v>1.647778697934911E-3</v>
      </c>
      <c r="H27" s="15">
        <f t="shared" si="8"/>
        <v>1.1768778123918311E-3</v>
      </c>
      <c r="I27" s="15">
        <f t="shared" si="8"/>
        <v>9.8920694262006107E-4</v>
      </c>
      <c r="J27" s="15">
        <f t="shared" si="8"/>
        <v>1.0966027031108574E-3</v>
      </c>
      <c r="K27" s="15">
        <f t="shared" si="8"/>
        <v>5.7572329010477244E-4</v>
      </c>
      <c r="L27" s="15">
        <f t="shared" si="8"/>
        <v>5.9822094984104534E-4</v>
      </c>
      <c r="M27" s="15">
        <f t="shared" si="8"/>
        <v>6.5700644936660167E-4</v>
      </c>
    </row>
    <row r="28" spans="2:13">
      <c r="C28" s="35"/>
      <c r="D28" s="35"/>
      <c r="E28" s="35"/>
      <c r="F28" s="35"/>
      <c r="G28" s="35"/>
      <c r="H28" s="35"/>
      <c r="I28" s="35"/>
      <c r="J28" s="35"/>
      <c r="K28" s="35"/>
      <c r="L28" s="35"/>
      <c r="M28" s="35"/>
    </row>
    <row r="29" spans="2:13">
      <c r="B29" t="s">
        <v>21</v>
      </c>
      <c r="C29" s="309">
        <f>IFERROR('Data Sheet'!B26,0)</f>
        <v>1077.4000000000001</v>
      </c>
      <c r="D29" s="309">
        <f>IFERROR('Data Sheet'!C26,0)</f>
        <v>1152.79</v>
      </c>
      <c r="E29" s="309">
        <f>IFERROR('Data Sheet'!D26,0)</f>
        <v>1236.28</v>
      </c>
      <c r="F29" s="309">
        <f>IFERROR('Data Sheet'!E26,0)</f>
        <v>1396.61</v>
      </c>
      <c r="G29" s="309">
        <f>IFERROR('Data Sheet'!F26,0)</f>
        <v>1644.91</v>
      </c>
      <c r="H29" s="309">
        <f>IFERROR('Data Sheet'!G26,0)</f>
        <v>1645.59</v>
      </c>
      <c r="I29" s="309">
        <f>IFERROR('Data Sheet'!H26,0)</f>
        <v>1732.41</v>
      </c>
      <c r="J29" s="309">
        <f>IFERROR('Data Sheet'!I26,0)</f>
        <v>1809.01</v>
      </c>
      <c r="K29" s="309">
        <f>IFERROR('Data Sheet'!J26,0)</f>
        <v>1518.05</v>
      </c>
      <c r="L29" s="309">
        <f>IFERROR('Data Sheet'!K26,0)</f>
        <v>1646.32</v>
      </c>
      <c r="M29" s="309">
        <f>IFERROR(SUM('Data Sheet'!H45:K45),0)</f>
        <v>1666.15</v>
      </c>
    </row>
    <row r="30" spans="2:13">
      <c r="B30" s="12" t="s">
        <v>66</v>
      </c>
      <c r="C30" s="15">
        <f t="shared" ref="C30:M30" si="9">C29/C8</f>
        <v>2.7490234001240049E-2</v>
      </c>
      <c r="D30" s="15">
        <f t="shared" si="9"/>
        <v>2.6954750792656124E-2</v>
      </c>
      <c r="E30" s="15">
        <f t="shared" si="9"/>
        <v>2.845362855802696E-2</v>
      </c>
      <c r="F30" s="15">
        <f t="shared" si="9"/>
        <v>2.8891645314253867E-2</v>
      </c>
      <c r="G30" s="15">
        <f t="shared" si="9"/>
        <v>3.3306066085280348E-2</v>
      </c>
      <c r="H30" s="15">
        <f t="shared" si="9"/>
        <v>3.3407941336792708E-2</v>
      </c>
      <c r="I30" s="15">
        <f t="shared" si="9"/>
        <v>2.8566627762367396E-2</v>
      </c>
      <c r="J30" s="15">
        <f t="shared" si="9"/>
        <v>2.550810410125463E-2</v>
      </c>
      <c r="K30" s="15">
        <f t="shared" si="9"/>
        <v>2.2346631054552542E-2</v>
      </c>
      <c r="L30" s="15">
        <f t="shared" si="9"/>
        <v>2.1856704707996222E-2</v>
      </c>
      <c r="M30" s="15">
        <f t="shared" si="9"/>
        <v>2.1079747652843511E-2</v>
      </c>
    </row>
    <row r="31" spans="2:13">
      <c r="C31" s="35"/>
      <c r="D31" s="35"/>
      <c r="E31" s="35"/>
      <c r="F31" s="35"/>
      <c r="G31" s="35"/>
      <c r="H31" s="35"/>
      <c r="I31" s="35"/>
      <c r="J31" s="35"/>
      <c r="K31" s="35"/>
      <c r="L31" s="35"/>
      <c r="M31" s="35"/>
    </row>
    <row r="32" spans="2:13">
      <c r="B32" s="13" t="s">
        <v>67</v>
      </c>
      <c r="C32" s="310">
        <f>IFERROR(C23-SUM(C29,C26),0)</f>
        <v>14859.07</v>
      </c>
      <c r="D32" s="310">
        <f t="shared" ref="D32:M32" si="10">IFERROR(D23-SUM(D29,D26),0)</f>
        <v>16026.32</v>
      </c>
      <c r="E32" s="310">
        <f t="shared" si="10"/>
        <v>17409.110000000004</v>
      </c>
      <c r="F32" s="310">
        <f t="shared" si="10"/>
        <v>19149.82</v>
      </c>
      <c r="G32" s="310">
        <f t="shared" si="10"/>
        <v>20034.57</v>
      </c>
      <c r="H32" s="310">
        <f t="shared" si="10"/>
        <v>17938.169999999998</v>
      </c>
      <c r="I32" s="310">
        <f t="shared" si="10"/>
        <v>20740.469999999994</v>
      </c>
      <c r="J32" s="310">
        <f t="shared" si="10"/>
        <v>25915.119999999995</v>
      </c>
      <c r="K32" s="310">
        <f t="shared" si="10"/>
        <v>26960.82</v>
      </c>
      <c r="L32" s="310">
        <f t="shared" si="10"/>
        <v>41942.950000000004</v>
      </c>
      <c r="M32" s="310">
        <f t="shared" si="10"/>
        <v>24531.760000000002</v>
      </c>
    </row>
    <row r="33" spans="2:13">
      <c r="B33" s="12" t="s">
        <v>68</v>
      </c>
      <c r="C33" s="15">
        <f t="shared" ref="C33:M33" si="11">C32/C8</f>
        <v>0.37913431533395764</v>
      </c>
      <c r="D33" s="15">
        <f t="shared" si="11"/>
        <v>0.37473040338948177</v>
      </c>
      <c r="E33" s="15">
        <f t="shared" si="11"/>
        <v>0.40067974040333326</v>
      </c>
      <c r="F33" s="15">
        <f t="shared" si="11"/>
        <v>0.39615197318636197</v>
      </c>
      <c r="G33" s="15">
        <f t="shared" si="11"/>
        <v>0.40565910135519573</v>
      </c>
      <c r="H33" s="15">
        <f t="shared" si="11"/>
        <v>0.36417171412649252</v>
      </c>
      <c r="I33" s="15">
        <f t="shared" si="11"/>
        <v>0.34200061538928306</v>
      </c>
      <c r="J33" s="15">
        <f t="shared" si="11"/>
        <v>0.36541842154355458</v>
      </c>
      <c r="K33" s="15">
        <f t="shared" si="11"/>
        <v>0.39687987712407446</v>
      </c>
      <c r="L33" s="15">
        <f t="shared" si="11"/>
        <v>0.55683869037140421</v>
      </c>
      <c r="M33" s="15">
        <f t="shared" si="11"/>
        <v>0.31037020093036061</v>
      </c>
    </row>
    <row r="34" spans="2:13">
      <c r="C34" s="35"/>
      <c r="D34" s="35"/>
      <c r="E34" s="35"/>
      <c r="F34" s="35"/>
      <c r="G34" s="35"/>
      <c r="H34" s="35"/>
      <c r="I34" s="35"/>
      <c r="J34" s="35"/>
      <c r="K34" s="35"/>
      <c r="L34" s="35"/>
      <c r="M34" s="35"/>
    </row>
    <row r="35" spans="2:13">
      <c r="B35" t="s">
        <v>24</v>
      </c>
      <c r="C35" s="309">
        <f>IFERROR('Data Sheet'!B29,0)</f>
        <v>5358.21</v>
      </c>
      <c r="D35" s="309">
        <f>IFERROR('Data Sheet'!C29,0)</f>
        <v>5549.09</v>
      </c>
      <c r="E35" s="309">
        <f>IFERROR('Data Sheet'!D29,0)</f>
        <v>5916.43</v>
      </c>
      <c r="F35" s="309">
        <f>IFERROR('Data Sheet'!E29,0)</f>
        <v>6313.92</v>
      </c>
      <c r="G35" s="309">
        <f>IFERROR('Data Sheet'!F29,0)</f>
        <v>4441.79</v>
      </c>
      <c r="H35" s="309">
        <f>IFERROR('Data Sheet'!G29,0)</f>
        <v>4555.29</v>
      </c>
      <c r="I35" s="309">
        <f>IFERROR('Data Sheet'!H29,0)</f>
        <v>5237.34</v>
      </c>
      <c r="J35" s="309">
        <f>IFERROR('Data Sheet'!I29,0)</f>
        <v>6438.4</v>
      </c>
      <c r="K35" s="309">
        <f>IFERROR('Data Sheet'!J29,0)</f>
        <v>6209.46</v>
      </c>
      <c r="L35" s="309">
        <f>IFERROR('Data Sheet'!K29,0)</f>
        <v>6890.47</v>
      </c>
      <c r="M35" s="309">
        <f>IFERROR(SUM('Data Sheet'!H48:K48),0)</f>
        <v>6948.82</v>
      </c>
    </row>
    <row r="36" spans="2:13">
      <c r="B36" s="12" t="s">
        <v>69</v>
      </c>
      <c r="C36" s="15">
        <f>C35/C32</f>
        <v>0.36060197576295155</v>
      </c>
      <c r="D36" s="15">
        <f t="shared" ref="D36:M36" si="12">D35/D32</f>
        <v>0.34624854614159711</v>
      </c>
      <c r="E36" s="15">
        <f t="shared" si="12"/>
        <v>0.33984678136906477</v>
      </c>
      <c r="F36" s="15">
        <f t="shared" si="12"/>
        <v>0.32971171530594023</v>
      </c>
      <c r="G36" s="15">
        <f t="shared" si="12"/>
        <v>0.22170628069382073</v>
      </c>
      <c r="H36" s="15">
        <f t="shared" si="12"/>
        <v>0.25394396418363746</v>
      </c>
      <c r="I36" s="15">
        <f t="shared" si="12"/>
        <v>0.25251790340334629</v>
      </c>
      <c r="J36" s="15">
        <f t="shared" si="12"/>
        <v>0.24844183627164376</v>
      </c>
      <c r="K36" s="15">
        <f t="shared" si="12"/>
        <v>0.23031421151137094</v>
      </c>
      <c r="L36" s="15">
        <f t="shared" si="12"/>
        <v>0.16428195918503585</v>
      </c>
      <c r="M36" s="15">
        <f t="shared" si="12"/>
        <v>0.28325811111799559</v>
      </c>
    </row>
    <row r="37" spans="2:13">
      <c r="C37" s="35"/>
      <c r="D37" s="35"/>
      <c r="E37" s="35"/>
      <c r="F37" s="35"/>
      <c r="G37" s="35"/>
      <c r="H37" s="35"/>
      <c r="I37" s="35"/>
      <c r="J37" s="35"/>
      <c r="K37" s="35"/>
      <c r="L37" s="35"/>
      <c r="M37" s="35"/>
    </row>
    <row r="38" spans="2:13">
      <c r="B38" s="13" t="s">
        <v>70</v>
      </c>
      <c r="C38" s="310">
        <f>C32-C35</f>
        <v>9500.86</v>
      </c>
      <c r="D38" s="310">
        <f t="shared" ref="D38:L38" si="13">D32-D35</f>
        <v>10477.23</v>
      </c>
      <c r="E38" s="310">
        <f t="shared" si="13"/>
        <v>11492.680000000004</v>
      </c>
      <c r="F38" s="310">
        <f t="shared" si="13"/>
        <v>12835.9</v>
      </c>
      <c r="G38" s="310">
        <f t="shared" si="13"/>
        <v>15592.779999999999</v>
      </c>
      <c r="H38" s="310">
        <f t="shared" si="13"/>
        <v>13382.879999999997</v>
      </c>
      <c r="I38" s="310">
        <f t="shared" si="13"/>
        <v>15503.129999999994</v>
      </c>
      <c r="J38" s="310">
        <f t="shared" si="13"/>
        <v>19476.719999999994</v>
      </c>
      <c r="K38" s="310">
        <f t="shared" si="13"/>
        <v>20751.36</v>
      </c>
      <c r="L38" s="310">
        <f t="shared" si="13"/>
        <v>35052.480000000003</v>
      </c>
      <c r="M38" s="310">
        <f>IFERROR(SUM('Data Sheet'!H49:K49),0)</f>
        <v>34899.24</v>
      </c>
    </row>
    <row r="39" spans="2:13">
      <c r="B39" s="12" t="s">
        <v>71</v>
      </c>
      <c r="C39" s="15">
        <f t="shared" ref="C39:M39" si="14">C38/C8</f>
        <v>0.24241773214499862</v>
      </c>
      <c r="D39" s="15">
        <f t="shared" si="14"/>
        <v>0.24498054602081951</v>
      </c>
      <c r="E39" s="15">
        <f t="shared" si="14"/>
        <v>0.26451002026746806</v>
      </c>
      <c r="F39" s="15">
        <f t="shared" si="14"/>
        <v>0.26553602658525371</v>
      </c>
      <c r="G39" s="15">
        <f t="shared" si="14"/>
        <v>0.31572193076413763</v>
      </c>
      <c r="H39" s="15">
        <f t="shared" si="14"/>
        <v>0.2716925053976606</v>
      </c>
      <c r="I39" s="15">
        <f t="shared" si="14"/>
        <v>0.25563933702852709</v>
      </c>
      <c r="J39" s="15">
        <f t="shared" si="14"/>
        <v>0.27463319788778828</v>
      </c>
      <c r="K39" s="15">
        <f t="shared" si="14"/>
        <v>0.30547280115951347</v>
      </c>
      <c r="L39" s="15">
        <f t="shared" si="14"/>
        <v>0.46536013936716036</v>
      </c>
      <c r="M39" s="15">
        <f t="shared" si="14"/>
        <v>0.4415371800114169</v>
      </c>
    </row>
    <row r="40" spans="2:13">
      <c r="C40" s="35"/>
      <c r="D40" s="35"/>
      <c r="E40" s="35"/>
      <c r="F40" s="35"/>
      <c r="G40" s="35"/>
      <c r="H40" s="35"/>
      <c r="I40" s="35"/>
      <c r="J40" s="35"/>
      <c r="K40" s="35"/>
      <c r="L40" s="35"/>
      <c r="M40" s="35"/>
    </row>
    <row r="41" spans="2:13">
      <c r="B41" t="s">
        <v>72</v>
      </c>
      <c r="C41" s="35">
        <f>IFERROR('Data Sheet'!B93,0)</f>
        <v>1207.08</v>
      </c>
      <c r="D41" s="35">
        <f>IFERROR('Data Sheet'!C93,0)</f>
        <v>1214.74</v>
      </c>
      <c r="E41" s="35">
        <f>IFERROR('Data Sheet'!D93,0)</f>
        <v>1220.43</v>
      </c>
      <c r="F41" s="35">
        <f>IFERROR('Data Sheet'!E93,0)</f>
        <v>1225.8599999999999</v>
      </c>
      <c r="G41" s="35">
        <f>IFERROR('Data Sheet'!F93,0)</f>
        <v>1229.22</v>
      </c>
      <c r="H41" s="35">
        <f>IFERROR('Data Sheet'!G93,0)</f>
        <v>1230.8800000000001</v>
      </c>
      <c r="I41" s="35">
        <f>IFERROR('Data Sheet'!H93,0)</f>
        <v>1232.33</v>
      </c>
      <c r="J41" s="35">
        <f>IFERROR('Data Sheet'!I93,0)</f>
        <v>1242.8</v>
      </c>
      <c r="K41" s="35">
        <f>IFERROR('Data Sheet'!J93,0)</f>
        <v>1248.47</v>
      </c>
      <c r="L41" s="35">
        <f>IFERROR('Data Sheet'!K93,0)</f>
        <v>1251.4100000000001</v>
      </c>
      <c r="M41" s="311" t="s">
        <v>79</v>
      </c>
    </row>
    <row r="42" spans="2:13">
      <c r="C42" s="35"/>
      <c r="D42" s="35"/>
      <c r="E42" s="35"/>
      <c r="F42" s="35"/>
      <c r="G42" s="35"/>
      <c r="H42" s="35"/>
      <c r="I42" s="35"/>
      <c r="J42" s="35"/>
      <c r="K42" s="35"/>
      <c r="L42" s="35"/>
      <c r="M42" s="35"/>
    </row>
    <row r="43" spans="2:13">
      <c r="B43" t="s">
        <v>73</v>
      </c>
      <c r="C43" s="309">
        <f>C38/C41</f>
        <v>7.8709447592537369</v>
      </c>
      <c r="D43" s="309">
        <f t="shared" ref="D43:L43" si="15">D38/D41</f>
        <v>8.6250802640894335</v>
      </c>
      <c r="E43" s="309">
        <f t="shared" si="15"/>
        <v>9.4169104332079705</v>
      </c>
      <c r="F43" s="309">
        <f t="shared" si="15"/>
        <v>10.47093469074772</v>
      </c>
      <c r="G43" s="309">
        <f t="shared" si="15"/>
        <v>12.685101121036103</v>
      </c>
      <c r="H43" s="309">
        <f t="shared" si="15"/>
        <v>10.87261146496815</v>
      </c>
      <c r="I43" s="309">
        <f t="shared" si="15"/>
        <v>12.580339681741087</v>
      </c>
      <c r="J43" s="309">
        <f t="shared" si="15"/>
        <v>15.671644673318308</v>
      </c>
      <c r="K43" s="309">
        <f t="shared" si="15"/>
        <v>16.621432633543456</v>
      </c>
      <c r="L43" s="309">
        <f t="shared" si="15"/>
        <v>28.010388282017885</v>
      </c>
      <c r="M43" s="311" t="s">
        <v>79</v>
      </c>
    </row>
    <row r="44" spans="2:13">
      <c r="B44" s="12" t="s">
        <v>74</v>
      </c>
      <c r="C44" s="15" t="s">
        <v>79</v>
      </c>
      <c r="D44" s="15">
        <f>D43/C43-1</f>
        <v>9.581257751162231E-2</v>
      </c>
      <c r="E44" s="15">
        <f t="shared" ref="E44:L44" si="16">E43/D43-1</f>
        <v>9.1805542078875035E-2</v>
      </c>
      <c r="F44" s="15">
        <f t="shared" si="16"/>
        <v>0.11192888209096896</v>
      </c>
      <c r="G44" s="15">
        <f t="shared" si="16"/>
        <v>0.21145833640284817</v>
      </c>
      <c r="H44" s="15">
        <f t="shared" si="16"/>
        <v>-0.14288334312623208</v>
      </c>
      <c r="I44" s="15">
        <f t="shared" si="16"/>
        <v>0.15706697717243778</v>
      </c>
      <c r="J44" s="15">
        <f t="shared" si="16"/>
        <v>0.2457250813397267</v>
      </c>
      <c r="K44" s="15">
        <f t="shared" si="16"/>
        <v>6.0605506315632995E-2</v>
      </c>
      <c r="L44" s="15">
        <f t="shared" si="16"/>
        <v>0.68519699231524456</v>
      </c>
      <c r="M44" s="311" t="s">
        <v>79</v>
      </c>
    </row>
    <row r="45" spans="2:13">
      <c r="C45" s="35"/>
      <c r="D45" s="35"/>
      <c r="E45" s="35"/>
      <c r="F45" s="35"/>
      <c r="G45" s="35"/>
      <c r="H45" s="35"/>
      <c r="I45" s="35"/>
      <c r="J45" s="35"/>
      <c r="K45" s="35"/>
      <c r="L45" s="35"/>
      <c r="M45" s="35"/>
    </row>
    <row r="46" spans="2:13">
      <c r="B46" t="s">
        <v>75</v>
      </c>
      <c r="C46" s="309">
        <f>IFERROR('Data Sheet'!B31,0)/C41</f>
        <v>5.666666666666667</v>
      </c>
      <c r="D46" s="309">
        <f>IFERROR('Data Sheet'!C31,0)/D41</f>
        <v>4.7500041161071511</v>
      </c>
      <c r="E46" s="309">
        <f>IFERROR('Data Sheet'!D31,0)/E41</f>
        <v>5.1499963127750057</v>
      </c>
      <c r="F46" s="309">
        <f>IFERROR('Data Sheet'!E31,0)/F41</f>
        <v>5.7500040787691908</v>
      </c>
      <c r="G46" s="309">
        <f>IFERROR('Data Sheet'!F31,0)/G41</f>
        <v>10.149997559427929</v>
      </c>
      <c r="H46" s="309">
        <f>IFERROR('Data Sheet'!G31,0)/H41</f>
        <v>10.749999999999998</v>
      </c>
      <c r="I46" s="309">
        <f>IFERROR('Data Sheet'!H31,0)/I41</f>
        <v>11.500004057354767</v>
      </c>
      <c r="J46" s="309">
        <f>IFERROR('Data Sheet'!I31,0)/J41</f>
        <v>15.500000000000002</v>
      </c>
      <c r="K46" s="309">
        <f>IFERROR('Data Sheet'!J31,0)/K41</f>
        <v>13.749997997548999</v>
      </c>
      <c r="L46" s="309">
        <f>IFERROR('Data Sheet'!K31,0)/L41</f>
        <v>14.349997203154841</v>
      </c>
      <c r="M46" s="311" t="s">
        <v>79</v>
      </c>
    </row>
    <row r="47" spans="2:13">
      <c r="B47" s="12" t="s">
        <v>76</v>
      </c>
      <c r="C47" s="15">
        <f>IFERROR(C46/C43,0)</f>
        <v>0.71994745738806798</v>
      </c>
      <c r="D47" s="15">
        <f t="shared" ref="D47:L47" si="17">IFERROR(D46/D43,0)</f>
        <v>0.55071998992100024</v>
      </c>
      <c r="E47" s="15">
        <f t="shared" si="17"/>
        <v>0.54688810616844796</v>
      </c>
      <c r="F47" s="15">
        <f t="shared" si="17"/>
        <v>0.54913952274480171</v>
      </c>
      <c r="G47" s="15">
        <f t="shared" si="17"/>
        <v>0.80015109557115538</v>
      </c>
      <c r="H47" s="15">
        <f t="shared" si="17"/>
        <v>0.988722905682484</v>
      </c>
      <c r="I47" s="15">
        <f t="shared" si="17"/>
        <v>0.91412508312837504</v>
      </c>
      <c r="J47" s="15">
        <f t="shared" si="17"/>
        <v>0.98904743714547461</v>
      </c>
      <c r="K47" s="15">
        <f t="shared" si="17"/>
        <v>0.82724505767332834</v>
      </c>
      <c r="L47" s="15">
        <f t="shared" si="17"/>
        <v>0.51230982800646341</v>
      </c>
      <c r="M47" s="311" t="s">
        <v>79</v>
      </c>
    </row>
    <row r="48" spans="2:13">
      <c r="C48" s="35"/>
      <c r="D48" s="35"/>
      <c r="E48" s="35"/>
      <c r="F48" s="35"/>
      <c r="G48" s="35"/>
      <c r="H48" s="35"/>
      <c r="I48" s="35"/>
      <c r="J48" s="35"/>
      <c r="K48" s="35"/>
      <c r="L48" s="35"/>
      <c r="M48" s="35"/>
    </row>
    <row r="49" spans="1:13">
      <c r="B49" t="s">
        <v>77</v>
      </c>
      <c r="C49" s="312">
        <f>IFERROR(IF(C43&gt;C46,1-C47,0),0)</f>
        <v>0.28005254261193202</v>
      </c>
      <c r="D49" s="312">
        <f t="shared" ref="D49:L49" si="18">IFERROR(IF(D43&gt;D46,1-D47,0),0)</f>
        <v>0.44928001007899976</v>
      </c>
      <c r="E49" s="312">
        <f t="shared" si="18"/>
        <v>0.45311189383155204</v>
      </c>
      <c r="F49" s="312">
        <f t="shared" si="18"/>
        <v>0.45086047725519829</v>
      </c>
      <c r="G49" s="312">
        <f t="shared" si="18"/>
        <v>0.19984890442884462</v>
      </c>
      <c r="H49" s="312">
        <f t="shared" si="18"/>
        <v>1.1277094317516001E-2</v>
      </c>
      <c r="I49" s="312">
        <f t="shared" si="18"/>
        <v>8.5874916871624962E-2</v>
      </c>
      <c r="J49" s="312">
        <f t="shared" si="18"/>
        <v>1.0952562854525394E-2</v>
      </c>
      <c r="K49" s="312">
        <f t="shared" si="18"/>
        <v>0.17275494232667166</v>
      </c>
      <c r="L49" s="312">
        <f t="shared" si="18"/>
        <v>0.48769017199353659</v>
      </c>
      <c r="M49" s="311" t="s">
        <v>79</v>
      </c>
    </row>
    <row r="50" spans="1:13">
      <c r="A50" t="s">
        <v>78</v>
      </c>
      <c r="C50" s="35"/>
      <c r="D50" s="35"/>
      <c r="E50" s="35"/>
      <c r="F50" s="35"/>
      <c r="G50" s="35"/>
      <c r="H50" s="35"/>
      <c r="I50" s="35"/>
      <c r="J50" s="35"/>
      <c r="K50" s="35"/>
      <c r="L50" s="35"/>
      <c r="M50" s="35"/>
    </row>
    <row r="51" spans="1:13">
      <c r="B51" s="11" t="s">
        <v>80</v>
      </c>
      <c r="C51" s="308"/>
      <c r="D51" s="308"/>
      <c r="E51" s="308"/>
      <c r="F51" s="308"/>
      <c r="G51" s="308"/>
      <c r="H51" s="308"/>
      <c r="I51" s="308"/>
      <c r="J51" s="308"/>
      <c r="K51" s="308"/>
      <c r="L51" s="308"/>
      <c r="M51" s="308"/>
    </row>
    <row r="52" spans="1:13">
      <c r="B52" t="s">
        <v>31</v>
      </c>
      <c r="C52" s="309">
        <f>IFERROR('Data Sheet'!B57,0)</f>
        <v>804.72</v>
      </c>
      <c r="D52" s="309">
        <f>IFERROR('Data Sheet'!C57,0)</f>
        <v>1214.74</v>
      </c>
      <c r="E52" s="309">
        <f>IFERROR('Data Sheet'!D57,0)</f>
        <v>1220.43</v>
      </c>
      <c r="F52" s="309">
        <f>IFERROR('Data Sheet'!E57,0)</f>
        <v>1225.8599999999999</v>
      </c>
      <c r="G52" s="309">
        <f>IFERROR('Data Sheet'!F57,0)</f>
        <v>1229.22</v>
      </c>
      <c r="H52" s="309">
        <f>IFERROR('Data Sheet'!G57,0)</f>
        <v>1230.8800000000001</v>
      </c>
      <c r="I52" s="309">
        <f>IFERROR('Data Sheet'!H57,0)</f>
        <v>1232.33</v>
      </c>
      <c r="J52" s="309">
        <f>IFERROR('Data Sheet'!I57,0)</f>
        <v>1242.8</v>
      </c>
      <c r="K52" s="309">
        <f>IFERROR('Data Sheet'!J57,0)</f>
        <v>1248.47</v>
      </c>
      <c r="L52" s="309">
        <f>IFERROR('Data Sheet'!K57,0)</f>
        <v>1251.4100000000001</v>
      </c>
      <c r="M52" s="311" t="s">
        <v>79</v>
      </c>
    </row>
    <row r="53" spans="1:13">
      <c r="B53" t="s">
        <v>32</v>
      </c>
      <c r="C53" s="309">
        <f>IFERROR('Data Sheet'!B58,0)</f>
        <v>41874.800000000003</v>
      </c>
      <c r="D53" s="309">
        <f>IFERROR('Data Sheet'!C58,0)</f>
        <v>45198.19</v>
      </c>
      <c r="E53" s="309">
        <f>IFERROR('Data Sheet'!D58,0)</f>
        <v>51289.68</v>
      </c>
      <c r="F53" s="309">
        <f>IFERROR('Data Sheet'!E58,0)</f>
        <v>57915.01</v>
      </c>
      <c r="G53" s="309">
        <f>IFERROR('Data Sheet'!F58,0)</f>
        <v>64044.04</v>
      </c>
      <c r="H53" s="309">
        <f>IFERROR('Data Sheet'!G58,0)</f>
        <v>59116.46</v>
      </c>
      <c r="I53" s="309">
        <f>IFERROR('Data Sheet'!H58,0)</f>
        <v>61223.24</v>
      </c>
      <c r="J53" s="309">
        <f>IFERROR('Data Sheet'!I58,0)</f>
        <v>67912.460000000006</v>
      </c>
      <c r="K53" s="309">
        <f>IFERROR('Data Sheet'!J58,0)</f>
        <v>73258.53</v>
      </c>
      <c r="L53" s="309">
        <f>IFERROR('Data Sheet'!K58,0)</f>
        <v>68778.64</v>
      </c>
      <c r="M53" s="311" t="s">
        <v>79</v>
      </c>
    </row>
    <row r="54" spans="1:13">
      <c r="B54" t="s">
        <v>33</v>
      </c>
      <c r="C54" s="309">
        <f>IFERROR('Data Sheet'!B59,0)</f>
        <v>83.78</v>
      </c>
      <c r="D54" s="309">
        <f>IFERROR('Data Sheet'!C59,0)</f>
        <v>45.72</v>
      </c>
      <c r="E54" s="309">
        <f>IFERROR('Data Sheet'!D59,0)</f>
        <v>35.92</v>
      </c>
      <c r="F54" s="309">
        <f>IFERROR('Data Sheet'!E59,0)</f>
        <v>13.44</v>
      </c>
      <c r="G54" s="309">
        <f>IFERROR('Data Sheet'!F59,0)</f>
        <v>277.45</v>
      </c>
      <c r="H54" s="309">
        <f>IFERROR('Data Sheet'!G59,0)</f>
        <v>270.83</v>
      </c>
      <c r="I54" s="309">
        <f>IFERROR('Data Sheet'!H59,0)</f>
        <v>249.44</v>
      </c>
      <c r="J54" s="309">
        <f>IFERROR('Data Sheet'!I59,0)</f>
        <v>306.04000000000002</v>
      </c>
      <c r="K54" s="309">
        <f>IFERROR('Data Sheet'!J59,0)</f>
        <v>303.43</v>
      </c>
      <c r="L54" s="309">
        <f>IFERROR('Data Sheet'!K59,0)</f>
        <v>284.54000000000002</v>
      </c>
      <c r="M54" s="311" t="s">
        <v>79</v>
      </c>
    </row>
    <row r="55" spans="1:13">
      <c r="B55" t="s">
        <v>34</v>
      </c>
      <c r="C55" s="309">
        <f>IFERROR('Data Sheet'!B60,0)</f>
        <v>8888.0400000000009</v>
      </c>
      <c r="D55" s="309">
        <f>IFERROR('Data Sheet'!C60,0)</f>
        <v>9439.67</v>
      </c>
      <c r="E55" s="309">
        <f>IFERROR('Data Sheet'!D60,0)</f>
        <v>11694.85</v>
      </c>
      <c r="F55" s="309">
        <f>IFERROR('Data Sheet'!E60,0)</f>
        <v>12584.73</v>
      </c>
      <c r="G55" s="309">
        <f>IFERROR('Data Sheet'!F60,0)</f>
        <v>11760.04</v>
      </c>
      <c r="H55" s="309">
        <f>IFERROR('Data Sheet'!G60,0)</f>
        <v>13142.59</v>
      </c>
      <c r="I55" s="309">
        <f>IFERROR('Data Sheet'!H60,0)</f>
        <v>14491.01</v>
      </c>
      <c r="J55" s="309">
        <f>IFERROR('Data Sheet'!I60,0)</f>
        <v>16369.66</v>
      </c>
      <c r="K55" s="309">
        <f>IFERROR('Data Sheet'!J60,0)</f>
        <v>16943.54</v>
      </c>
      <c r="L55" s="309">
        <f>IFERROR('Data Sheet'!K60,0)</f>
        <v>17688.11</v>
      </c>
      <c r="M55" s="311" t="s">
        <v>79</v>
      </c>
    </row>
    <row r="56" spans="1:13">
      <c r="B56" s="13" t="s">
        <v>81</v>
      </c>
      <c r="C56" s="310">
        <f>IFERROR('Data Sheet'!B61,0)</f>
        <v>51651.34</v>
      </c>
      <c r="D56" s="310">
        <f>IFERROR('Data Sheet'!C61,0)</f>
        <v>55898.32</v>
      </c>
      <c r="E56" s="310">
        <f>IFERROR('Data Sheet'!D61,0)</f>
        <v>64240.88</v>
      </c>
      <c r="F56" s="310">
        <f>IFERROR('Data Sheet'!E61,0)</f>
        <v>71739.039999999994</v>
      </c>
      <c r="G56" s="310">
        <f>IFERROR('Data Sheet'!F61,0)</f>
        <v>77310.75</v>
      </c>
      <c r="H56" s="310">
        <f>IFERROR('Data Sheet'!G61,0)</f>
        <v>73760.759999999995</v>
      </c>
      <c r="I56" s="310">
        <f>IFERROR('Data Sheet'!H61,0)</f>
        <v>77196.02</v>
      </c>
      <c r="J56" s="310">
        <f>IFERROR('Data Sheet'!I61,0)</f>
        <v>85830.96</v>
      </c>
      <c r="K56" s="310">
        <f>IFERROR('Data Sheet'!J61,0)</f>
        <v>91753.97</v>
      </c>
      <c r="L56" s="310">
        <f>IFERROR('Data Sheet'!K61,0)</f>
        <v>88002.7</v>
      </c>
      <c r="M56" s="311" t="s">
        <v>79</v>
      </c>
    </row>
    <row r="57" spans="1:13">
      <c r="C57" s="35"/>
      <c r="D57" s="35"/>
      <c r="E57" s="35"/>
      <c r="F57" s="35"/>
      <c r="G57" s="35"/>
      <c r="H57" s="35"/>
      <c r="I57" s="35"/>
      <c r="J57" s="35"/>
      <c r="K57" s="35"/>
      <c r="L57" s="35"/>
      <c r="M57" s="35"/>
    </row>
    <row r="58" spans="1:13">
      <c r="B58" t="s">
        <v>82</v>
      </c>
      <c r="C58" s="309">
        <f>IFERROR('Data Sheet'!B62,0)</f>
        <v>15106.63</v>
      </c>
      <c r="D58" s="309">
        <f>IFERROR('Data Sheet'!C62,0)</f>
        <v>15893.48</v>
      </c>
      <c r="E58" s="309">
        <f>IFERROR('Data Sheet'!D62,0)</f>
        <v>16523.96</v>
      </c>
      <c r="F58" s="309">
        <f>IFERROR('Data Sheet'!E62,0)</f>
        <v>19374.189999999999</v>
      </c>
      <c r="G58" s="309">
        <f>IFERROR('Data Sheet'!F62,0)</f>
        <v>21713.34</v>
      </c>
      <c r="H58" s="309">
        <f>IFERROR('Data Sheet'!G62,0)</f>
        <v>23298.48</v>
      </c>
      <c r="I58" s="309">
        <f>IFERROR('Data Sheet'!H62,0)</f>
        <v>24231.59</v>
      </c>
      <c r="J58" s="309">
        <f>IFERROR('Data Sheet'!I62,0)</f>
        <v>25851.27</v>
      </c>
      <c r="K58" s="309">
        <f>IFERROR('Data Sheet'!J62,0)</f>
        <v>27820.22</v>
      </c>
      <c r="L58" s="309">
        <f>IFERROR('Data Sheet'!K62,0)</f>
        <v>21954.85</v>
      </c>
      <c r="M58" s="311" t="s">
        <v>79</v>
      </c>
    </row>
    <row r="59" spans="1:13">
      <c r="B59" t="s">
        <v>37</v>
      </c>
      <c r="C59" s="309">
        <f>IFERROR('Data Sheet'!B63,0)</f>
        <v>2559.7199999999998</v>
      </c>
      <c r="D59" s="309">
        <f>IFERROR('Data Sheet'!C63,0)</f>
        <v>3729.89</v>
      </c>
      <c r="E59" s="309">
        <f>IFERROR('Data Sheet'!D63,0)</f>
        <v>5508.33</v>
      </c>
      <c r="F59" s="309">
        <f>IFERROR('Data Sheet'!E63,0)</f>
        <v>4136.42</v>
      </c>
      <c r="G59" s="309">
        <f>IFERROR('Data Sheet'!F63,0)</f>
        <v>3256.46</v>
      </c>
      <c r="H59" s="309">
        <f>IFERROR('Data Sheet'!G63,0)</f>
        <v>4011.29</v>
      </c>
      <c r="I59" s="309">
        <f>IFERROR('Data Sheet'!H63,0)</f>
        <v>3225.54</v>
      </c>
      <c r="J59" s="309">
        <f>IFERROR('Data Sheet'!I63,0)</f>
        <v>3003.3</v>
      </c>
      <c r="K59" s="309">
        <f>IFERROR('Data Sheet'!J63,0)</f>
        <v>2860.78</v>
      </c>
      <c r="L59" s="309">
        <f>IFERROR('Data Sheet'!K63,0)</f>
        <v>1090.9100000000001</v>
      </c>
      <c r="M59" s="311" t="s">
        <v>79</v>
      </c>
    </row>
    <row r="60" spans="1:13">
      <c r="B60" t="s">
        <v>38</v>
      </c>
      <c r="C60" s="309">
        <f>IFERROR('Data Sheet'!B64,0)</f>
        <v>11747.59</v>
      </c>
      <c r="D60" s="309">
        <f>IFERROR('Data Sheet'!C64,0)</f>
        <v>17581.38</v>
      </c>
      <c r="E60" s="309">
        <f>IFERROR('Data Sheet'!D64,0)</f>
        <v>22052.86</v>
      </c>
      <c r="F60" s="309">
        <f>IFERROR('Data Sheet'!E64,0)</f>
        <v>25043.49</v>
      </c>
      <c r="G60" s="309">
        <f>IFERROR('Data Sheet'!F64,0)</f>
        <v>28663.35</v>
      </c>
      <c r="H60" s="309">
        <f>IFERROR('Data Sheet'!G64,0)</f>
        <v>24870.87</v>
      </c>
      <c r="I60" s="309">
        <f>IFERROR('Data Sheet'!H64,0)</f>
        <v>24841.01</v>
      </c>
      <c r="J60" s="309">
        <f>IFERROR('Data Sheet'!I64,0)</f>
        <v>29415.02</v>
      </c>
      <c r="K60" s="309">
        <f>IFERROR('Data Sheet'!J64,0)</f>
        <v>31114.02</v>
      </c>
      <c r="L60" s="309">
        <f>IFERROR('Data Sheet'!K64,0)</f>
        <v>34719.82</v>
      </c>
      <c r="M60" s="311" t="s">
        <v>79</v>
      </c>
    </row>
    <row r="61" spans="1:13">
      <c r="B61" t="s">
        <v>39</v>
      </c>
      <c r="C61" s="309">
        <f>IFERROR('Data Sheet'!B65-SUM('Data Sheet'!B67:B69),0)</f>
        <v>5194.82</v>
      </c>
      <c r="D61" s="309">
        <f>IFERROR('Data Sheet'!C65-SUM('Data Sheet'!C67:C69),0)</f>
        <v>5135.7800000000007</v>
      </c>
      <c r="E61" s="309">
        <f>IFERROR('Data Sheet'!D65-SUM('Data Sheet'!D67:D69),0)</f>
        <v>7078.7499999999982</v>
      </c>
      <c r="F61" s="309">
        <f>IFERROR('Data Sheet'!E65-SUM('Data Sheet'!E67:E69),0)</f>
        <v>7138.07</v>
      </c>
      <c r="G61" s="309">
        <f>IFERROR('Data Sheet'!F65-SUM('Data Sheet'!F67:F69),0)</f>
        <v>4958.4499999999971</v>
      </c>
      <c r="H61" s="309">
        <f>IFERROR('Data Sheet'!G65-SUM('Data Sheet'!G67:G69),0)</f>
        <v>4022.239999999998</v>
      </c>
      <c r="I61" s="309">
        <f>IFERROR('Data Sheet'!H65-SUM('Data Sheet'!H67:H69),0)</f>
        <v>6917.41</v>
      </c>
      <c r="J61" s="309">
        <f>IFERROR('Data Sheet'!I65-SUM('Data Sheet'!I67:I69),0)</f>
        <v>7953.8499999999985</v>
      </c>
      <c r="K61" s="309">
        <f>IFERROR('Data Sheet'!J65-SUM('Data Sheet'!J67:J69),0)</f>
        <v>4562.57</v>
      </c>
      <c r="L61" s="309">
        <f>IFERROR('Data Sheet'!K65-SUM('Data Sheet'!K67:K69),0)</f>
        <v>5867.5299999999988</v>
      </c>
      <c r="M61" s="311" t="s">
        <v>79</v>
      </c>
    </row>
    <row r="62" spans="1:13">
      <c r="B62" s="13" t="s">
        <v>83</v>
      </c>
      <c r="C62" s="310">
        <f>SUM(C58:C61)</f>
        <v>34608.759999999995</v>
      </c>
      <c r="D62" s="310">
        <f t="shared" ref="D62:L62" si="19">SUM(D58:D61)</f>
        <v>42340.53</v>
      </c>
      <c r="E62" s="310">
        <f t="shared" si="19"/>
        <v>51163.9</v>
      </c>
      <c r="F62" s="310">
        <f t="shared" si="19"/>
        <v>55692.170000000006</v>
      </c>
      <c r="G62" s="310">
        <f t="shared" si="19"/>
        <v>58591.599999999991</v>
      </c>
      <c r="H62" s="310">
        <f t="shared" si="19"/>
        <v>56202.879999999997</v>
      </c>
      <c r="I62" s="310">
        <f t="shared" si="19"/>
        <v>59215.55</v>
      </c>
      <c r="J62" s="310">
        <f t="shared" si="19"/>
        <v>66223.44</v>
      </c>
      <c r="K62" s="310">
        <f t="shared" si="19"/>
        <v>66357.59</v>
      </c>
      <c r="L62" s="310">
        <f t="shared" si="19"/>
        <v>63633.11</v>
      </c>
      <c r="M62" s="311" t="s">
        <v>79</v>
      </c>
    </row>
    <row r="63" spans="1:13">
      <c r="C63" s="35"/>
      <c r="D63" s="35"/>
      <c r="E63" s="35"/>
      <c r="F63" s="35"/>
      <c r="G63" s="35"/>
      <c r="H63" s="35"/>
      <c r="I63" s="35"/>
      <c r="J63" s="35"/>
      <c r="K63" s="35"/>
      <c r="L63" s="35"/>
      <c r="M63" s="311"/>
    </row>
    <row r="64" spans="1:13">
      <c r="B64" t="s">
        <v>40</v>
      </c>
      <c r="C64" s="309">
        <f>IFERROR('Data Sheet'!B67,0)</f>
        <v>1917.18</v>
      </c>
      <c r="D64" s="309">
        <f>IFERROR('Data Sheet'!C67,0)</f>
        <v>2474.29</v>
      </c>
      <c r="E64" s="309">
        <f>IFERROR('Data Sheet'!D67,0)</f>
        <v>2682.29</v>
      </c>
      <c r="F64" s="309">
        <f>IFERROR('Data Sheet'!E67,0)</f>
        <v>4035.28</v>
      </c>
      <c r="G64" s="309">
        <f>IFERROR('Data Sheet'!F67,0)</f>
        <v>2562.48</v>
      </c>
      <c r="H64" s="309">
        <f>IFERROR('Data Sheet'!G67,0)</f>
        <v>2501.6999999999998</v>
      </c>
      <c r="I64" s="309">
        <f>IFERROR('Data Sheet'!H67,0)</f>
        <v>2461.9</v>
      </c>
      <c r="J64" s="309">
        <f>IFERROR('Data Sheet'!I67,0)</f>
        <v>2956.17</v>
      </c>
      <c r="K64" s="309">
        <f>IFERROR('Data Sheet'!J67,0)</f>
        <v>4025.82</v>
      </c>
      <c r="L64" s="309">
        <f>IFERROR('Data Sheet'!K67,0)</f>
        <v>4719.67</v>
      </c>
      <c r="M64" s="311" t="s">
        <v>79</v>
      </c>
    </row>
    <row r="65" spans="1:13">
      <c r="B65" t="s">
        <v>41</v>
      </c>
      <c r="C65" s="309">
        <f>IFERROR('Data Sheet'!B68,0)</f>
        <v>9062.1</v>
      </c>
      <c r="D65" s="309">
        <f>IFERROR('Data Sheet'!C68,0)</f>
        <v>8116.1</v>
      </c>
      <c r="E65" s="309">
        <f>IFERROR('Data Sheet'!D68,0)</f>
        <v>7495.09</v>
      </c>
      <c r="F65" s="309">
        <f>IFERROR('Data Sheet'!E68,0)</f>
        <v>7859.56</v>
      </c>
      <c r="G65" s="309">
        <f>IFERROR('Data Sheet'!F68,0)</f>
        <v>8879.33</v>
      </c>
      <c r="H65" s="309">
        <f>IFERROR('Data Sheet'!G68,0)</f>
        <v>10397.16</v>
      </c>
      <c r="I65" s="309">
        <f>IFERROR('Data Sheet'!H68,0)</f>
        <v>10864.15</v>
      </c>
      <c r="J65" s="309">
        <f>IFERROR('Data Sheet'!I68,0)</f>
        <v>11771.16</v>
      </c>
      <c r="K65" s="309">
        <f>IFERROR('Data Sheet'!J68,0)</f>
        <v>14152.88</v>
      </c>
      <c r="L65" s="309">
        <f>IFERROR('Data Sheet'!K68,0)</f>
        <v>15637.56</v>
      </c>
      <c r="M65" s="311" t="s">
        <v>79</v>
      </c>
    </row>
    <row r="66" spans="1:13">
      <c r="B66" t="s">
        <v>42</v>
      </c>
      <c r="C66" s="309">
        <f>IFERROR('Data Sheet'!B69,0)</f>
        <v>6063.3</v>
      </c>
      <c r="D66" s="309">
        <f>IFERROR('Data Sheet'!C69,0)</f>
        <v>2967.4</v>
      </c>
      <c r="E66" s="309">
        <f>IFERROR('Data Sheet'!D69,0)</f>
        <v>2899.6</v>
      </c>
      <c r="F66" s="309">
        <f>IFERROR('Data Sheet'!E69,0)</f>
        <v>4152.03</v>
      </c>
      <c r="G66" s="309">
        <f>IFERROR('Data Sheet'!F69,0)</f>
        <v>7277.34</v>
      </c>
      <c r="H66" s="309">
        <f>IFERROR('Data Sheet'!G69,0)</f>
        <v>4659.0200000000004</v>
      </c>
      <c r="I66" s="309">
        <f>IFERROR('Data Sheet'!H69,0)</f>
        <v>4654.42</v>
      </c>
      <c r="J66" s="309">
        <f>IFERROR('Data Sheet'!I69,0)</f>
        <v>4880.1899999999996</v>
      </c>
      <c r="K66" s="309">
        <f>IFERROR('Data Sheet'!J69,0)</f>
        <v>7217.68</v>
      </c>
      <c r="L66" s="309">
        <f>IFERROR('Data Sheet'!K69,0)</f>
        <v>4012.36</v>
      </c>
      <c r="M66" s="311" t="s">
        <v>79</v>
      </c>
    </row>
    <row r="67" spans="1:13">
      <c r="B67" s="13" t="s">
        <v>84</v>
      </c>
      <c r="C67" s="310">
        <f>SUM(C64:C66)</f>
        <v>17042.580000000002</v>
      </c>
      <c r="D67" s="310">
        <f t="shared" ref="D67:L67" si="20">SUM(D64:D66)</f>
        <v>13557.789999999999</v>
      </c>
      <c r="E67" s="310">
        <f t="shared" si="20"/>
        <v>13076.980000000001</v>
      </c>
      <c r="F67" s="310">
        <f t="shared" si="20"/>
        <v>16046.869999999999</v>
      </c>
      <c r="G67" s="310">
        <f t="shared" si="20"/>
        <v>18719.150000000001</v>
      </c>
      <c r="H67" s="310">
        <f t="shared" si="20"/>
        <v>17557.88</v>
      </c>
      <c r="I67" s="310">
        <f t="shared" si="20"/>
        <v>17980.47</v>
      </c>
      <c r="J67" s="310">
        <f t="shared" si="20"/>
        <v>19607.52</v>
      </c>
      <c r="K67" s="310">
        <f t="shared" si="20"/>
        <v>25396.38</v>
      </c>
      <c r="L67" s="310">
        <f t="shared" si="20"/>
        <v>24369.59</v>
      </c>
      <c r="M67" s="311" t="s">
        <v>79</v>
      </c>
    </row>
    <row r="68" spans="1:13">
      <c r="C68" s="309"/>
      <c r="D68" s="309"/>
      <c r="E68" s="309"/>
      <c r="F68" s="309"/>
      <c r="G68" s="309"/>
      <c r="H68" s="309"/>
      <c r="I68" s="309"/>
      <c r="J68" s="309"/>
      <c r="K68" s="309"/>
      <c r="L68" s="309"/>
      <c r="M68" s="311"/>
    </row>
    <row r="69" spans="1:13">
      <c r="B69" s="13" t="s">
        <v>85</v>
      </c>
      <c r="C69" s="310">
        <f>IFERROR(SUM(C67,C62),0)</f>
        <v>51651.34</v>
      </c>
      <c r="D69" s="310">
        <f t="shared" ref="D69:L69" si="21">IFERROR(SUM(D67,D62),0)</f>
        <v>55898.32</v>
      </c>
      <c r="E69" s="310">
        <f t="shared" si="21"/>
        <v>64240.880000000005</v>
      </c>
      <c r="F69" s="310">
        <f t="shared" si="21"/>
        <v>71739.040000000008</v>
      </c>
      <c r="G69" s="310">
        <f t="shared" si="21"/>
        <v>77310.75</v>
      </c>
      <c r="H69" s="310">
        <f t="shared" si="21"/>
        <v>73760.759999999995</v>
      </c>
      <c r="I69" s="310">
        <f t="shared" si="21"/>
        <v>77196.02</v>
      </c>
      <c r="J69" s="310">
        <f t="shared" si="21"/>
        <v>85830.96</v>
      </c>
      <c r="K69" s="310">
        <f t="shared" si="21"/>
        <v>91753.97</v>
      </c>
      <c r="L69" s="310">
        <f t="shared" si="21"/>
        <v>88002.7</v>
      </c>
      <c r="M69" s="311" t="s">
        <v>79</v>
      </c>
    </row>
    <row r="70" spans="1:13">
      <c r="C70" s="35"/>
      <c r="D70" s="35"/>
      <c r="E70" s="35"/>
      <c r="F70" s="35"/>
      <c r="G70" s="35"/>
      <c r="H70" s="35"/>
      <c r="I70" s="35"/>
      <c r="J70" s="35"/>
      <c r="K70" s="35"/>
      <c r="L70" s="35"/>
      <c r="M70" s="311"/>
    </row>
    <row r="71" spans="1:13">
      <c r="B71" s="16" t="s">
        <v>86</v>
      </c>
      <c r="C71" s="14" t="b">
        <f>C69=C56</f>
        <v>1</v>
      </c>
      <c r="D71" s="14" t="b">
        <f t="shared" ref="D71:L71" si="22">D69=D56</f>
        <v>1</v>
      </c>
      <c r="E71" s="14" t="b">
        <f t="shared" si="22"/>
        <v>1</v>
      </c>
      <c r="F71" s="14" t="b">
        <f t="shared" si="22"/>
        <v>1</v>
      </c>
      <c r="G71" s="14" t="b">
        <f t="shared" si="22"/>
        <v>1</v>
      </c>
      <c r="H71" s="14" t="b">
        <f t="shared" si="22"/>
        <v>1</v>
      </c>
      <c r="I71" s="14" t="b">
        <f t="shared" si="22"/>
        <v>1</v>
      </c>
      <c r="J71" s="14" t="b">
        <f t="shared" si="22"/>
        <v>1</v>
      </c>
      <c r="K71" s="14" t="b">
        <f t="shared" si="22"/>
        <v>1</v>
      </c>
      <c r="L71" s="14" t="b">
        <f t="shared" si="22"/>
        <v>1</v>
      </c>
      <c r="M71" s="311" t="s">
        <v>79</v>
      </c>
    </row>
    <row r="72" spans="1:13">
      <c r="A72" t="s">
        <v>78</v>
      </c>
      <c r="C72" s="35"/>
      <c r="D72" s="35"/>
      <c r="E72" s="35"/>
      <c r="F72" s="35"/>
      <c r="G72" s="35"/>
      <c r="H72" s="35"/>
      <c r="I72" s="35"/>
      <c r="J72" s="35"/>
      <c r="K72" s="35"/>
      <c r="L72" s="35"/>
      <c r="M72" s="35"/>
    </row>
    <row r="73" spans="1:13">
      <c r="B73" s="11" t="s">
        <v>87</v>
      </c>
      <c r="C73" s="313"/>
      <c r="D73" s="313"/>
      <c r="E73" s="313"/>
      <c r="F73" s="313"/>
      <c r="G73" s="313"/>
      <c r="H73" s="313"/>
      <c r="I73" s="313"/>
      <c r="J73" s="313"/>
      <c r="K73" s="313"/>
      <c r="L73" s="313"/>
      <c r="M73" s="313"/>
    </row>
    <row r="74" spans="1:13">
      <c r="C74" s="35"/>
      <c r="D74" s="35"/>
      <c r="E74" s="35"/>
      <c r="F74" s="35"/>
      <c r="G74" s="35"/>
      <c r="H74" s="35"/>
      <c r="I74" s="35"/>
      <c r="J74" s="35"/>
      <c r="K74" s="35"/>
      <c r="L74" s="35"/>
      <c r="M74" s="35"/>
    </row>
    <row r="75" spans="1:13">
      <c r="B75" t="s">
        <v>88</v>
      </c>
      <c r="C75" s="309">
        <f>'Data Sheet'!B82</f>
        <v>9799.0400000000009</v>
      </c>
      <c r="D75" s="309">
        <f>'Data Sheet'!C82</f>
        <v>10627.31</v>
      </c>
      <c r="E75" s="309">
        <f>'Data Sheet'!D82</f>
        <v>13169.4</v>
      </c>
      <c r="F75" s="309">
        <f>'Data Sheet'!E82</f>
        <v>12583.41</v>
      </c>
      <c r="G75" s="309">
        <f>'Data Sheet'!F82</f>
        <v>14689.66</v>
      </c>
      <c r="H75" s="309">
        <f>'Data Sheet'!G82</f>
        <v>12526.97</v>
      </c>
      <c r="I75" s="309">
        <f>'Data Sheet'!H82</f>
        <v>15775.51</v>
      </c>
      <c r="J75" s="309">
        <f>'Data Sheet'!I82</f>
        <v>18877.55</v>
      </c>
      <c r="K75" s="309">
        <f>'Data Sheet'!J82</f>
        <v>17178.86</v>
      </c>
      <c r="L75" s="309">
        <f>'Data Sheet'!K82</f>
        <v>17627.04</v>
      </c>
      <c r="M75" s="311" t="s">
        <v>79</v>
      </c>
    </row>
    <row r="76" spans="1:13">
      <c r="C76" s="309"/>
      <c r="D76" s="309"/>
      <c r="E76" s="309"/>
      <c r="F76" s="309"/>
      <c r="G76" s="309"/>
      <c r="H76" s="309"/>
      <c r="I76" s="309"/>
      <c r="J76" s="309"/>
      <c r="K76" s="309"/>
      <c r="L76" s="309"/>
      <c r="M76" s="35"/>
    </row>
    <row r="77" spans="1:13">
      <c r="B77" t="s">
        <v>89</v>
      </c>
      <c r="C77" s="309">
        <f>'Data Sheet'!B83</f>
        <v>-3920.73</v>
      </c>
      <c r="D77" s="309">
        <f>'Data Sheet'!C83</f>
        <v>-3250.93</v>
      </c>
      <c r="E77" s="309">
        <f>'Data Sheet'!D83</f>
        <v>-7113.89</v>
      </c>
      <c r="F77" s="309">
        <f>'Data Sheet'!E83</f>
        <v>-5545.68</v>
      </c>
      <c r="G77" s="309">
        <f>'Data Sheet'!F83</f>
        <v>-6174.02</v>
      </c>
      <c r="H77" s="309">
        <f>'Data Sheet'!G83</f>
        <v>5739.98</v>
      </c>
      <c r="I77" s="309">
        <f>'Data Sheet'!H83</f>
        <v>-2238.4899999999998</v>
      </c>
      <c r="J77" s="309">
        <f>'Data Sheet'!I83</f>
        <v>-5732.29</v>
      </c>
      <c r="K77" s="309">
        <f>'Data Sheet'!J83</f>
        <v>1562.77</v>
      </c>
      <c r="L77" s="309">
        <f>'Data Sheet'!K83</f>
        <v>-563.84</v>
      </c>
      <c r="M77" s="311" t="s">
        <v>79</v>
      </c>
    </row>
    <row r="78" spans="1:13">
      <c r="C78" s="309"/>
      <c r="D78" s="309"/>
      <c r="E78" s="309"/>
      <c r="F78" s="309"/>
      <c r="G78" s="309"/>
      <c r="H78" s="309"/>
      <c r="I78" s="309"/>
      <c r="J78" s="309"/>
      <c r="K78" s="309"/>
      <c r="L78" s="309"/>
      <c r="M78" s="35"/>
    </row>
    <row r="79" spans="1:13">
      <c r="B79" t="s">
        <v>90</v>
      </c>
      <c r="C79" s="309">
        <f>'Data Sheet'!B84</f>
        <v>-5612.52</v>
      </c>
      <c r="D79" s="309">
        <f>'Data Sheet'!C84</f>
        <v>-7301.03</v>
      </c>
      <c r="E79" s="309">
        <f>'Data Sheet'!D84</f>
        <v>-6221.13</v>
      </c>
      <c r="F79" s="309">
        <f>'Data Sheet'!E84</f>
        <v>-6868.64</v>
      </c>
      <c r="G79" s="309">
        <f>'Data Sheet'!F84</f>
        <v>-8181.48</v>
      </c>
      <c r="H79" s="309">
        <f>'Data Sheet'!G84</f>
        <v>-18633.830000000002</v>
      </c>
      <c r="I79" s="309">
        <f>'Data Sheet'!H84</f>
        <v>-13580.5</v>
      </c>
      <c r="J79" s="309">
        <f>'Data Sheet'!I84</f>
        <v>-13006.03</v>
      </c>
      <c r="K79" s="309">
        <f>'Data Sheet'!J84</f>
        <v>-18550.96</v>
      </c>
      <c r="L79" s="309">
        <f>'Data Sheet'!K84</f>
        <v>-17037.400000000001</v>
      </c>
      <c r="M79" s="311" t="s">
        <v>79</v>
      </c>
    </row>
    <row r="80" spans="1:13">
      <c r="C80" s="35"/>
      <c r="D80" s="35"/>
      <c r="E80" s="35"/>
      <c r="F80" s="35"/>
      <c r="G80" s="35"/>
      <c r="H80" s="35"/>
      <c r="I80" s="35"/>
      <c r="J80" s="35"/>
      <c r="K80" s="35"/>
      <c r="L80" s="35"/>
      <c r="M80" s="35"/>
    </row>
    <row r="81" spans="2:13">
      <c r="B81" s="17" t="s">
        <v>50</v>
      </c>
      <c r="C81" s="314">
        <f>C79+C77+C75</f>
        <v>265.79000000000087</v>
      </c>
      <c r="D81" s="314">
        <f t="shared" ref="D81:L81" si="23">D79+D77+D75</f>
        <v>75.350000000000364</v>
      </c>
      <c r="E81" s="314">
        <f t="shared" si="23"/>
        <v>-165.6200000000008</v>
      </c>
      <c r="F81" s="314">
        <f t="shared" si="23"/>
        <v>169.09000000000015</v>
      </c>
      <c r="G81" s="314">
        <f t="shared" si="23"/>
        <v>334.15999999999985</v>
      </c>
      <c r="H81" s="314">
        <f t="shared" si="23"/>
        <v>-366.88000000000284</v>
      </c>
      <c r="I81" s="314">
        <f t="shared" si="23"/>
        <v>-43.479999999999563</v>
      </c>
      <c r="J81" s="314">
        <f t="shared" si="23"/>
        <v>139.22999999999956</v>
      </c>
      <c r="K81" s="314">
        <f t="shared" si="23"/>
        <v>190.67000000000189</v>
      </c>
      <c r="L81" s="314">
        <f t="shared" si="23"/>
        <v>25.799999999999272</v>
      </c>
      <c r="M81" s="311" t="s">
        <v>79</v>
      </c>
    </row>
  </sheetData>
  <printOptions verticalCentered="1"/>
  <pageMargins left="0.31496062992125984" right="0.31496062992125984" top="0" bottom="0" header="0" footer="0"/>
  <pageSetup paperSize="9" scale="80" fitToHeight="0" orientation="landscape" r:id="rId1"/>
  <rowBreaks count="1" manualBreakCount="1">
    <brk id="45" max="16383" man="1"/>
  </rowBreaks>
  <colBreaks count="1" manualBreakCount="1">
    <brk id="13" max="1048575" man="1"/>
  </colBreaks>
  <ignoredErrors>
    <ignoredError sqref="C17:L17 M22 M8:M18 M24:M39"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4"/>
  <sheetViews>
    <sheetView showGridLines="0" topLeftCell="A11" workbookViewId="0">
      <selection activeCell="O15" sqref="O15"/>
    </sheetView>
  </sheetViews>
  <sheetFormatPr defaultRowHeight="15"/>
  <cols>
    <col min="1" max="1" width="1.85546875" style="3" customWidth="1"/>
    <col min="2" max="2" width="23.7109375" style="3" bestFit="1" customWidth="1"/>
    <col min="3" max="3" width="12" style="3" bestFit="1" customWidth="1"/>
    <col min="4" max="16384" width="9.140625" style="3"/>
  </cols>
  <sheetData>
    <row r="1" spans="1:12" ht="9.75" customHeight="1"/>
    <row r="2" spans="1:12" ht="18.75">
      <c r="B2" s="18" t="s">
        <v>91</v>
      </c>
      <c r="C2" s="19"/>
      <c r="D2" s="19"/>
      <c r="E2" s="19"/>
      <c r="F2" s="19"/>
      <c r="G2" s="19"/>
      <c r="H2" s="19"/>
      <c r="I2" s="19"/>
      <c r="J2" s="19"/>
      <c r="K2" s="19"/>
      <c r="L2" s="19"/>
    </row>
    <row r="3" spans="1:12">
      <c r="B3" s="20" t="str">
        <f>'Data Sheet'!B1</f>
        <v>ITC LTD</v>
      </c>
      <c r="C3" s="19"/>
      <c r="D3" s="19"/>
      <c r="E3" s="19"/>
      <c r="F3" s="19"/>
      <c r="G3" s="19"/>
      <c r="H3" s="19"/>
      <c r="I3" s="19"/>
      <c r="J3" s="19"/>
      <c r="K3" s="19"/>
      <c r="L3" s="19"/>
    </row>
    <row r="4" spans="1:12" ht="4.5" customHeight="1"/>
    <row r="5" spans="1:12">
      <c r="A5" s="3" t="s">
        <v>78</v>
      </c>
      <c r="B5" s="321" t="str">
        <f>"Common Size Income Statement"&amp;" "&amp;"- "&amp;'Data Sheet'!$B$1</f>
        <v>Common Size Income Statement - ITC LTD</v>
      </c>
      <c r="C5" s="321"/>
      <c r="D5" s="321"/>
      <c r="E5" s="321"/>
      <c r="F5" s="321"/>
      <c r="G5" s="321"/>
      <c r="H5" s="321"/>
      <c r="I5" s="321"/>
      <c r="J5" s="321"/>
      <c r="K5" s="321"/>
      <c r="L5" s="321"/>
    </row>
    <row r="6" spans="1:12" ht="4.5" customHeight="1"/>
    <row r="7" spans="1:12">
      <c r="B7" s="97" t="s">
        <v>92</v>
      </c>
      <c r="C7" s="98">
        <f>'Data Sheet'!B16</f>
        <v>42460</v>
      </c>
      <c r="D7" s="98">
        <f>'Data Sheet'!C16</f>
        <v>42825</v>
      </c>
      <c r="E7" s="98">
        <f>'Data Sheet'!D16</f>
        <v>43190</v>
      </c>
      <c r="F7" s="98">
        <f>'Data Sheet'!E16</f>
        <v>43555</v>
      </c>
      <c r="G7" s="98">
        <f>'Data Sheet'!F16</f>
        <v>43921</v>
      </c>
      <c r="H7" s="98">
        <f>'Data Sheet'!G16</f>
        <v>44286</v>
      </c>
      <c r="I7" s="98">
        <f>'Data Sheet'!H16</f>
        <v>44651</v>
      </c>
      <c r="J7" s="98">
        <f>'Data Sheet'!I16</f>
        <v>45016</v>
      </c>
      <c r="K7" s="98">
        <f>'Data Sheet'!J16</f>
        <v>45382</v>
      </c>
      <c r="L7" s="98">
        <f>'Data Sheet'!K16</f>
        <v>45747</v>
      </c>
    </row>
    <row r="8" spans="1:12" ht="6" customHeight="1"/>
    <row r="9" spans="1:12">
      <c r="B9" s="21" t="str">
        <f>'Data Sheet'!A17</f>
        <v>Sales</v>
      </c>
      <c r="C9" s="22">
        <f>'Data Sheet'!B17/'Data Sheet'!B$17</f>
        <v>1</v>
      </c>
      <c r="D9" s="22">
        <f>'Data Sheet'!C17/'Data Sheet'!C$17</f>
        <v>1</v>
      </c>
      <c r="E9" s="22">
        <f>'Data Sheet'!D17/'Data Sheet'!D$17</f>
        <v>1</v>
      </c>
      <c r="F9" s="22">
        <f>'Data Sheet'!E17/'Data Sheet'!E$17</f>
        <v>1</v>
      </c>
      <c r="G9" s="22">
        <f>'Data Sheet'!F17/'Data Sheet'!F$17</f>
        <v>1</v>
      </c>
      <c r="H9" s="22">
        <f>'Data Sheet'!G17/'Data Sheet'!G$17</f>
        <v>1</v>
      </c>
      <c r="I9" s="22">
        <f>'Data Sheet'!H17/'Data Sheet'!H$17</f>
        <v>1</v>
      </c>
      <c r="J9" s="22">
        <f>'Data Sheet'!I17/'Data Sheet'!I$17</f>
        <v>1</v>
      </c>
      <c r="K9" s="22">
        <f>'Data Sheet'!J17/'Data Sheet'!J$17</f>
        <v>1</v>
      </c>
      <c r="L9" s="22">
        <f>'Data Sheet'!K17/'Data Sheet'!K$17</f>
        <v>1</v>
      </c>
    </row>
    <row r="10" spans="1:12">
      <c r="B10" s="23" t="str">
        <f>'Data Sheet'!A18</f>
        <v>Raw Material Cost</v>
      </c>
      <c r="C10" s="24">
        <f>'Data Sheet'!B18/'Data Sheet'!B$17</f>
        <v>0.35119016332373104</v>
      </c>
      <c r="D10" s="24">
        <f>'Data Sheet'!C18/'Data Sheet'!C$17</f>
        <v>0.36140887026627638</v>
      </c>
      <c r="E10" s="24">
        <f>'Data Sheet'!D18/'Data Sheet'!D$17</f>
        <v>0.34126770411430057</v>
      </c>
      <c r="F10" s="24">
        <f>'Data Sheet'!E18/'Data Sheet'!E$17</f>
        <v>0.36457743323380137</v>
      </c>
      <c r="G10" s="24">
        <f>'Data Sheet'!F18/'Data Sheet'!F$17</f>
        <v>0.36544726723455434</v>
      </c>
      <c r="H10" s="24">
        <f>'Data Sheet'!G18/'Data Sheet'!G$17</f>
        <v>0.42179832695358777</v>
      </c>
      <c r="I10" s="24">
        <f>'Data Sheet'!H18/'Data Sheet'!H$17</f>
        <v>0.44638923800889574</v>
      </c>
      <c r="J10" s="24">
        <f>'Data Sheet'!I18/'Data Sheet'!I$17</f>
        <v>0.41405473255908887</v>
      </c>
      <c r="K10" s="24">
        <f>'Data Sheet'!J18/'Data Sheet'!J$17</f>
        <v>0.40258779596166394</v>
      </c>
      <c r="L10" s="24">
        <f>'Data Sheet'!K18/'Data Sheet'!K$17</f>
        <v>0.43418640224928956</v>
      </c>
    </row>
    <row r="11" spans="1:12">
      <c r="B11" s="23" t="str">
        <f>'Data Sheet'!A19</f>
        <v>Change in Inventory</v>
      </c>
      <c r="C11" s="24">
        <f>'Data Sheet'!B19/'Data Sheet'!B$17</f>
        <v>4.9851883415280122E-3</v>
      </c>
      <c r="D11" s="24">
        <f>'Data Sheet'!C19/'Data Sheet'!C$17</f>
        <v>-1.3855582263208599E-2</v>
      </c>
      <c r="E11" s="24">
        <f>'Data Sheet'!D19/'Data Sheet'!D$17</f>
        <v>-2.3654432075903346E-2</v>
      </c>
      <c r="F11" s="24">
        <f>'Data Sheet'!E19/'Data Sheet'!E$17</f>
        <v>4.2033877828479265E-3</v>
      </c>
      <c r="G11" s="24">
        <f>'Data Sheet'!F19/'Data Sheet'!F$17</f>
        <v>1.4236945636261661E-2</v>
      </c>
      <c r="H11" s="24">
        <f>'Data Sheet'!G19/'Data Sheet'!G$17</f>
        <v>1.3099947317613884E-2</v>
      </c>
      <c r="I11" s="24">
        <f>'Data Sheet'!H19/'Data Sheet'!H$17</f>
        <v>1.1311818013624969E-2</v>
      </c>
      <c r="J11" s="24">
        <f>'Data Sheet'!I19/'Data Sheet'!I$17</f>
        <v>5.0563297326542671E-3</v>
      </c>
      <c r="K11" s="24">
        <f>'Data Sheet'!J19/'Data Sheet'!J$17</f>
        <v>5.4138009307551057E-3</v>
      </c>
      <c r="L11" s="24">
        <f>'Data Sheet'!K19/'Data Sheet'!K$17</f>
        <v>9.6338000943665004E-3</v>
      </c>
    </row>
    <row r="12" spans="1:12">
      <c r="B12" s="23" t="str">
        <f>'Data Sheet'!A20</f>
        <v>Power and Fuel</v>
      </c>
      <c r="C12" s="24">
        <f>'Data Sheet'!B20/'Data Sheet'!B$17</f>
        <v>1.4591716187701094E-2</v>
      </c>
      <c r="D12" s="24">
        <f>'Data Sheet'!C20/'Data Sheet'!C$17</f>
        <v>1.366291304632479E-2</v>
      </c>
      <c r="E12" s="24">
        <f>'Data Sheet'!D20/'Data Sheet'!D$17</f>
        <v>1.5040643108899779E-2</v>
      </c>
      <c r="F12" s="24">
        <f>'Data Sheet'!E20/'Data Sheet'!E$17</f>
        <v>1.544758973909165E-2</v>
      </c>
      <c r="G12" s="24">
        <f>'Data Sheet'!F20/'Data Sheet'!F$17</f>
        <v>1.5810616813498098E-2</v>
      </c>
      <c r="H12" s="24">
        <f>'Data Sheet'!G20/'Data Sheet'!G$17</f>
        <v>1.4202115619058639E-2</v>
      </c>
      <c r="I12" s="24">
        <f>'Data Sheet'!H20/'Data Sheet'!H$17</f>
        <v>1.4671889670529284E-2</v>
      </c>
      <c r="J12" s="24">
        <f>'Data Sheet'!I20/'Data Sheet'!I$17</f>
        <v>1.7376718209484814E-2</v>
      </c>
      <c r="K12" s="24">
        <f>'Data Sheet'!J20/'Data Sheet'!J$17</f>
        <v>1.4027274946071023E-2</v>
      </c>
      <c r="L12" s="24">
        <f>'Data Sheet'!K20/'Data Sheet'!K$17</f>
        <v>1.2948841620671628E-2</v>
      </c>
    </row>
    <row r="13" spans="1:12">
      <c r="B13" s="23" t="str">
        <f>'Data Sheet'!A21</f>
        <v>Other Mfr. Exp</v>
      </c>
      <c r="C13" s="24">
        <f>'Data Sheet'!B21/'Data Sheet'!B$17</f>
        <v>4.035481640432638E-2</v>
      </c>
      <c r="D13" s="24">
        <f>'Data Sheet'!C21/'Data Sheet'!C$17</f>
        <v>3.9373263872651262E-2</v>
      </c>
      <c r="E13" s="24">
        <f>'Data Sheet'!D21/'Data Sheet'!D$17</f>
        <v>3.9071609111752781E-2</v>
      </c>
      <c r="F13" s="24">
        <f>'Data Sheet'!E21/'Data Sheet'!E$17</f>
        <v>3.8705549365550963E-2</v>
      </c>
      <c r="G13" s="24">
        <f>'Data Sheet'!F21/'Data Sheet'!F$17</f>
        <v>3.8638972861663935E-2</v>
      </c>
      <c r="H13" s="24">
        <f>'Data Sheet'!G21/'Data Sheet'!G$17</f>
        <v>3.2222130865483298E-2</v>
      </c>
      <c r="I13" s="24">
        <f>'Data Sheet'!H21/'Data Sheet'!H$17</f>
        <v>3.1126792288308232E-2</v>
      </c>
      <c r="J13" s="24">
        <f>'Data Sheet'!I21/'Data Sheet'!I$17</f>
        <v>3.2823347978673707E-2</v>
      </c>
      <c r="K13" s="24">
        <f>'Data Sheet'!J21/'Data Sheet'!J$17</f>
        <v>3.2146292303738125E-2</v>
      </c>
      <c r="L13" s="24">
        <f>'Data Sheet'!K21/'Data Sheet'!K$17</f>
        <v>3.1137227849959922E-2</v>
      </c>
    </row>
    <row r="14" spans="1:12">
      <c r="B14" s="23" t="str">
        <f>'Data Sheet'!A22</f>
        <v>Employee Cost</v>
      </c>
      <c r="C14" s="24">
        <f>'Data Sheet'!B22/'Data Sheet'!B$17</f>
        <v>8.779754083093276E-2</v>
      </c>
      <c r="D14" s="24">
        <f>'Data Sheet'!C22/'Data Sheet'!C$17</f>
        <v>8.4917788232213173E-2</v>
      </c>
      <c r="E14" s="24">
        <f>'Data Sheet'!D22/'Data Sheet'!D$17</f>
        <v>8.6559073708127279E-2</v>
      </c>
      <c r="F14" s="24">
        <f>'Data Sheet'!E22/'Data Sheet'!E$17</f>
        <v>8.6427726513138917E-2</v>
      </c>
      <c r="G14" s="24">
        <f>'Data Sheet'!F22/'Data Sheet'!F$17</f>
        <v>8.6980968945709156E-2</v>
      </c>
      <c r="H14" s="24">
        <f>'Data Sheet'!G22/'Data Sheet'!G$17</f>
        <v>9.0612283015056611E-2</v>
      </c>
      <c r="I14" s="24">
        <f>'Data Sheet'!H22/'Data Sheet'!H$17</f>
        <v>8.0642874032847811E-2</v>
      </c>
      <c r="J14" s="24">
        <f>'Data Sheet'!I22/'Data Sheet'!I$17</f>
        <v>8.0884073005510662E-2</v>
      </c>
      <c r="K14" s="24">
        <f>'Data Sheet'!J22/'Data Sheet'!J$17</f>
        <v>8.167777925965311E-2</v>
      </c>
      <c r="L14" s="24">
        <f>'Data Sheet'!K22/'Data Sheet'!K$17</f>
        <v>8.1910600353091084E-2</v>
      </c>
    </row>
    <row r="15" spans="1:12">
      <c r="B15" s="23" t="str">
        <f>'Data Sheet'!A23</f>
        <v>Selling and admin</v>
      </c>
      <c r="C15" s="24">
        <f>'Data Sheet'!B23/'Data Sheet'!B$17</f>
        <v>0.10874079214943828</v>
      </c>
      <c r="D15" s="24">
        <f>'Data Sheet'!C23/'Data Sheet'!C$17</f>
        <v>9.7731460264312231E-2</v>
      </c>
      <c r="E15" s="24">
        <f>'Data Sheet'!D23/'Data Sheet'!D$17</f>
        <v>9.1023394356686257E-2</v>
      </c>
      <c r="F15" s="24">
        <f>'Data Sheet'!E23/'Data Sheet'!E$17</f>
        <v>9.4051086087218794E-2</v>
      </c>
      <c r="G15" s="24">
        <f>'Data Sheet'!F23/'Data Sheet'!F$17</f>
        <v>9.088558487234677E-2</v>
      </c>
      <c r="H15" s="24">
        <f>'Data Sheet'!G23/'Data Sheet'!G$17</f>
        <v>8.6012775732401917E-2</v>
      </c>
      <c r="I15" s="24">
        <f>'Data Sheet'!H23/'Data Sheet'!H$17</f>
        <v>8.0112405832412942E-2</v>
      </c>
      <c r="J15" s="24">
        <f>'Data Sheet'!I23/'Data Sheet'!I$17</f>
        <v>7.9020821350771431E-2</v>
      </c>
      <c r="K15" s="24">
        <f>'Data Sheet'!J23/'Data Sheet'!J$17</f>
        <v>7.8202536244364573E-2</v>
      </c>
      <c r="L15" s="24">
        <f>'Data Sheet'!K23/'Data Sheet'!K$17</f>
        <v>7.691228243463448E-2</v>
      </c>
    </row>
    <row r="16" spans="1:12">
      <c r="B16" s="23" t="str">
        <f>'Data Sheet'!A24</f>
        <v>Other Expenses</v>
      </c>
      <c r="C16" s="24">
        <f>'Data Sheet'!B24/'Data Sheet'!B$17</f>
        <v>3.1534161221266538E-2</v>
      </c>
      <c r="D16" s="24">
        <f>'Data Sheet'!C24/'Data Sheet'!C$17</f>
        <v>2.7339153938963141E-2</v>
      </c>
      <c r="E16" s="24">
        <f>'Data Sheet'!D24/'Data Sheet'!D$17</f>
        <v>2.3153154024010712E-2</v>
      </c>
      <c r="F16" s="24">
        <f>'Data Sheet'!E24/'Data Sheet'!E$17</f>
        <v>2.1511357773484997E-2</v>
      </c>
      <c r="G16" s="24">
        <f>'Data Sheet'!F24/'Data Sheet'!F$17</f>
        <v>2.4806378916207884E-2</v>
      </c>
      <c r="H16" s="24">
        <f>'Data Sheet'!G24/'Data Sheet'!G$17</f>
        <v>2.1811725941964111E-2</v>
      </c>
      <c r="I16" s="24">
        <f>'Data Sheet'!H24/'Data Sheet'!H$17</f>
        <v>1.8302554525106464E-2</v>
      </c>
      <c r="J16" s="24">
        <f>'Data Sheet'!I24/'Data Sheet'!I$17</f>
        <v>1.8451465001706874E-2</v>
      </c>
      <c r="K16" s="24">
        <f>'Data Sheet'!J24/'Data Sheet'!J$17</f>
        <v>2.5996166162779982E-2</v>
      </c>
      <c r="L16" s="24">
        <f>'Data Sheet'!K24/'Data Sheet'!K$17</f>
        <v>2.9491390052538827E-2</v>
      </c>
    </row>
    <row r="17" spans="1:12">
      <c r="B17" s="23" t="str">
        <f>'Data Sheet'!A25</f>
        <v>Other Income</v>
      </c>
      <c r="C17" s="24">
        <f>'Data Sheet'!B25/'Data Sheet'!B$17</f>
        <v>3.7842065110060448E-2</v>
      </c>
      <c r="D17" s="24">
        <f>'Data Sheet'!C25/'Data Sheet'!C$17</f>
        <v>4.1120614670919112E-2</v>
      </c>
      <c r="E17" s="24">
        <f>'Data Sheet'!D25/'Data Sheet'!D$17</f>
        <v>5.1550394555080051E-2</v>
      </c>
      <c r="F17" s="24">
        <f>'Data Sheet'!E25/'Data Sheet'!E$17</f>
        <v>4.3038023913323203E-2</v>
      </c>
      <c r="G17" s="24">
        <f>'Data Sheet'!F25/'Data Sheet'!F$17</f>
        <v>4.8945790146129507E-2</v>
      </c>
      <c r="H17" s="24">
        <f>'Data Sheet'!G25/'Data Sheet'!G$17</f>
        <v>5.2315944085615476E-2</v>
      </c>
      <c r="I17" s="24">
        <f>'Data Sheet'!H25/'Data Sheet'!H$17</f>
        <v>3.1490386438746173E-2</v>
      </c>
      <c r="J17" s="24">
        <f>'Data Sheet'!I25/'Data Sheet'!I$17</f>
        <v>2.957795672050224E-2</v>
      </c>
      <c r="K17" s="24">
        <f>'Data Sheet'!J25/'Data Sheet'!J$17</f>
        <v>4.9026275416247496E-2</v>
      </c>
      <c r="L17" s="24">
        <f>'Data Sheet'!K25/'Data Sheet'!K$17</f>
        <v>0.23624656049506038</v>
      </c>
    </row>
    <row r="18" spans="1:12">
      <c r="B18" s="23" t="str">
        <f>'Data Sheet'!A26</f>
        <v>Depreciation</v>
      </c>
      <c r="C18" s="24">
        <f>'Data Sheet'!B26/'Data Sheet'!B$17</f>
        <v>2.7490234001240049E-2</v>
      </c>
      <c r="D18" s="24">
        <f>'Data Sheet'!C26/'Data Sheet'!C$17</f>
        <v>2.6954750792656124E-2</v>
      </c>
      <c r="E18" s="24">
        <f>'Data Sheet'!D26/'Data Sheet'!D$17</f>
        <v>2.845362855802696E-2</v>
      </c>
      <c r="F18" s="24">
        <f>'Data Sheet'!E26/'Data Sheet'!E$17</f>
        <v>2.8891645314253867E-2</v>
      </c>
      <c r="G18" s="24">
        <f>'Data Sheet'!F26/'Data Sheet'!F$17</f>
        <v>3.3306066085280348E-2</v>
      </c>
      <c r="H18" s="24">
        <f>'Data Sheet'!G26/'Data Sheet'!G$17</f>
        <v>3.3407941336792708E-2</v>
      </c>
      <c r="I18" s="24">
        <f>'Data Sheet'!H26/'Data Sheet'!H$17</f>
        <v>2.8566627762367396E-2</v>
      </c>
      <c r="J18" s="24">
        <f>'Data Sheet'!I26/'Data Sheet'!I$17</f>
        <v>2.550810410125463E-2</v>
      </c>
      <c r="K18" s="24">
        <f>'Data Sheet'!J26/'Data Sheet'!J$17</f>
        <v>2.2346631054552542E-2</v>
      </c>
      <c r="L18" s="24">
        <f>'Data Sheet'!K26/'Data Sheet'!K$17</f>
        <v>2.1856704707996222E-2</v>
      </c>
    </row>
    <row r="19" spans="1:12">
      <c r="B19" s="23" t="str">
        <f>'Data Sheet'!A27</f>
        <v>Interest</v>
      </c>
      <c r="C19" s="24">
        <f>'Data Sheet'!B27/'Data Sheet'!B$17</f>
        <v>1.9935139989946953E-3</v>
      </c>
      <c r="D19" s="24">
        <f>'Data Sheet'!C27/'Data Sheet'!C$17</f>
        <v>1.146428604831695E-3</v>
      </c>
      <c r="E19" s="24">
        <f>'Data Sheet'!D27/'Data Sheet'!D$17</f>
        <v>2.647015094039118E-3</v>
      </c>
      <c r="F19" s="24">
        <f>'Data Sheet'!E27/'Data Sheet'!E$17</f>
        <v>1.4770504832685763E-3</v>
      </c>
      <c r="G19" s="24">
        <f>'Data Sheet'!F27/'Data Sheet'!F$17</f>
        <v>1.647778697934911E-3</v>
      </c>
      <c r="H19" s="24">
        <f>'Data Sheet'!G27/'Data Sheet'!G$17</f>
        <v>1.1768778123918311E-3</v>
      </c>
      <c r="I19" s="24">
        <f>'Data Sheet'!H27/'Data Sheet'!H$17</f>
        <v>9.8920694262006107E-4</v>
      </c>
      <c r="J19" s="24">
        <f>'Data Sheet'!I27/'Data Sheet'!I$17</f>
        <v>1.0966027031108574E-3</v>
      </c>
      <c r="K19" s="24">
        <f>'Data Sheet'!J27/'Data Sheet'!J$17</f>
        <v>5.7572329010477244E-4</v>
      </c>
      <c r="L19" s="24">
        <f>'Data Sheet'!K27/'Data Sheet'!K$17</f>
        <v>5.9822094984104534E-4</v>
      </c>
    </row>
    <row r="20" spans="1:12">
      <c r="B20" s="23" t="str">
        <f>'Data Sheet'!A28</f>
        <v>Profit before tax</v>
      </c>
      <c r="C20" s="24">
        <f>'Data Sheet'!B28/'Data Sheet'!B$17</f>
        <v>0.37913431533395764</v>
      </c>
      <c r="D20" s="24">
        <f>'Data Sheet'!C28/'Data Sheet'!C$17</f>
        <v>0.37473040338948177</v>
      </c>
      <c r="E20" s="24">
        <f>'Data Sheet'!D28/'Data Sheet'!D$17</f>
        <v>0.40067974040333321</v>
      </c>
      <c r="F20" s="24">
        <f>'Data Sheet'!E28/'Data Sheet'!E$17</f>
        <v>0.39615197318636197</v>
      </c>
      <c r="G20" s="24">
        <f>'Data Sheet'!F28/'Data Sheet'!F$17</f>
        <v>0.40565910135519573</v>
      </c>
      <c r="H20" s="24">
        <f>'Data Sheet'!G28/'Data Sheet'!G$17</f>
        <v>0.36417171412649252</v>
      </c>
      <c r="I20" s="24">
        <f>'Data Sheet'!H28/'Data Sheet'!H$17</f>
        <v>0.34200061538928322</v>
      </c>
      <c r="J20" s="24">
        <f>'Data Sheet'!I28/'Data Sheet'!I$17</f>
        <v>0.36541842154355464</v>
      </c>
      <c r="K20" s="24">
        <f>'Data Sheet'!J28/'Data Sheet'!J$17</f>
        <v>0.39687987712407446</v>
      </c>
      <c r="L20" s="24">
        <f>'Data Sheet'!K28/'Data Sheet'!K$17</f>
        <v>0.5568386903714041</v>
      </c>
    </row>
    <row r="21" spans="1:12">
      <c r="B21" s="23" t="str">
        <f>'Data Sheet'!A29</f>
        <v>Tax</v>
      </c>
      <c r="C21" s="24">
        <f>'Data Sheet'!B29/'Data Sheet'!B$17</f>
        <v>0.13671658318895902</v>
      </c>
      <c r="D21" s="24">
        <f>'Data Sheet'!C29/'Data Sheet'!C$17</f>
        <v>0.12974985736866226</v>
      </c>
      <c r="E21" s="24">
        <f>'Data Sheet'!D29/'Data Sheet'!D$17</f>
        <v>0.13616972013586523</v>
      </c>
      <c r="F21" s="24">
        <f>'Data Sheet'!E29/'Data Sheet'!E$17</f>
        <v>0.13061594660110823</v>
      </c>
      <c r="G21" s="24">
        <f>'Data Sheet'!F29/'Data Sheet'!F$17</f>
        <v>8.9937170591058102E-2</v>
      </c>
      <c r="H21" s="24">
        <f>'Data Sheet'!G29/'Data Sheet'!G$17</f>
        <v>9.2479208728831891E-2</v>
      </c>
      <c r="I21" s="24">
        <f>'Data Sheet'!H29/'Data Sheet'!H$17</f>
        <v>8.636127836075598E-2</v>
      </c>
      <c r="J21" s="24">
        <f>'Data Sheet'!I29/'Data Sheet'!I$17</f>
        <v>9.0785223655766301E-2</v>
      </c>
      <c r="K21" s="24">
        <f>'Data Sheet'!J29/'Data Sheet'!J$17</f>
        <v>9.1407075964560991E-2</v>
      </c>
      <c r="L21" s="24">
        <f>'Data Sheet'!K29/'Data Sheet'!K$17</f>
        <v>9.1478551004243847E-2</v>
      </c>
    </row>
    <row r="22" spans="1:12">
      <c r="B22" s="23" t="str">
        <f>'Data Sheet'!A30</f>
        <v>Net profit</v>
      </c>
      <c r="C22" s="24">
        <f>'Data Sheet'!B30/'Data Sheet'!B$17</f>
        <v>0.23842687684507849</v>
      </c>
      <c r="D22" s="24">
        <f>'Data Sheet'!C30/'Data Sheet'!C$17</f>
        <v>0.2405896052151629</v>
      </c>
      <c r="E22" s="24">
        <f>'Data Sheet'!D30/'Data Sheet'!D$17</f>
        <v>0.25941254263049918</v>
      </c>
      <c r="F22" s="24">
        <f>'Data Sheet'!E30/'Data Sheet'!E$17</f>
        <v>0.26049729848707825</v>
      </c>
      <c r="G22" s="24">
        <f>'Data Sheet'!F30/'Data Sheet'!F$17</f>
        <v>0.30991987883622846</v>
      </c>
      <c r="H22" s="24">
        <f>'Data Sheet'!G30/'Data Sheet'!G$17</f>
        <v>0.26719186640802561</v>
      </c>
      <c r="I22" s="24">
        <f>'Data Sheet'!H30/'Data Sheet'!H$17</f>
        <v>0.25134430898478244</v>
      </c>
      <c r="J22" s="24">
        <f>'Data Sheet'!I30/'Data Sheet'!I$17</f>
        <v>0.27061368436652333</v>
      </c>
      <c r="K22" s="24">
        <f>'Data Sheet'!J30/'Data Sheet'!J$17</f>
        <v>0.30116584334261615</v>
      </c>
      <c r="L22" s="24">
        <f>'Data Sheet'!K30/'Data Sheet'!K$17</f>
        <v>0.46129964497060272</v>
      </c>
    </row>
    <row r="23" spans="1:12">
      <c r="B23" s="23" t="str">
        <f>'Data Sheet'!A31</f>
        <v>Dividend Amount</v>
      </c>
      <c r="C23" s="24">
        <f>'Data Sheet'!B31/'Data Sheet'!B$17</f>
        <v>0.17452802988357347</v>
      </c>
      <c r="D23" s="24">
        <f>'Data Sheet'!C31/'Data Sheet'!C$17</f>
        <v>0.13491568383542682</v>
      </c>
      <c r="E23" s="24">
        <f>'Data Sheet'!D31/'Data Sheet'!D$17</f>
        <v>0.14465738404665338</v>
      </c>
      <c r="F23" s="24">
        <f>'Data Sheet'!E31/'Data Sheet'!E$17</f>
        <v>0.14581632691057719</v>
      </c>
      <c r="G23" s="24">
        <f>'Data Sheet'!F31/'Data Sheet'!F$17</f>
        <v>0.25262524879676518</v>
      </c>
      <c r="H23" s="24">
        <f>'Data Sheet'!G31/'Data Sheet'!G$17</f>
        <v>0.26862860338892897</v>
      </c>
      <c r="I23" s="24">
        <f>'Data Sheet'!H31/'Data Sheet'!H$17</f>
        <v>0.23368633021208504</v>
      </c>
      <c r="J23" s="24">
        <f>'Data Sheet'!I31/'Data Sheet'!I$17</f>
        <v>0.27162526052598296</v>
      </c>
      <c r="K23" s="24">
        <f>'Data Sheet'!J31/'Data Sheet'!J$17</f>
        <v>0.2527008650128349</v>
      </c>
      <c r="L23" s="24">
        <f>'Data Sheet'!K31/'Data Sheet'!K$17</f>
        <v>0.23840857296025375</v>
      </c>
    </row>
    <row r="24" spans="1:12">
      <c r="B24" s="23"/>
      <c r="C24" s="24"/>
      <c r="D24" s="24"/>
      <c r="E24" s="24"/>
      <c r="F24" s="24"/>
      <c r="G24" s="24"/>
      <c r="H24" s="24"/>
      <c r="I24" s="24"/>
      <c r="J24" s="24"/>
      <c r="K24" s="24"/>
      <c r="L24" s="24"/>
    </row>
    <row r="25" spans="1:12">
      <c r="B25" s="184" t="str">
        <f>'Data Sheet'!A34</f>
        <v>EBITDA</v>
      </c>
      <c r="C25" s="25">
        <f>'Data Sheet'!B34/'Data Sheet'!B$17</f>
        <v>0.40861806333419232</v>
      </c>
      <c r="D25" s="25">
        <f>'Data Sheet'!C34/'Data Sheet'!C$17</f>
        <v>0.40283158278696957</v>
      </c>
      <c r="E25" s="25">
        <f>'Data Sheet'!D34/'Data Sheet'!D$17</f>
        <v>0.4317803840553992</v>
      </c>
      <c r="F25" s="25">
        <f>'Data Sheet'!E34/'Data Sheet'!E$17</f>
        <v>0.42652066898388447</v>
      </c>
      <c r="G25" s="25">
        <f>'Data Sheet'!F34/'Data Sheet'!F$17</f>
        <v>0.44061294613841101</v>
      </c>
      <c r="H25" s="25">
        <f>'Data Sheet'!G34/'Data Sheet'!G$17</f>
        <v>0.39875653327567712</v>
      </c>
      <c r="I25" s="25">
        <f>'Data Sheet'!H34/'Data Sheet'!H$17</f>
        <v>0.37155645009427068</v>
      </c>
      <c r="J25" s="25">
        <f>'Data Sheet'!I34/'Data Sheet'!I$17</f>
        <v>0.39202312834792014</v>
      </c>
      <c r="K25" s="25">
        <f>'Data Sheet'!J34/'Data Sheet'!J$17</f>
        <v>0.41980223146873175</v>
      </c>
      <c r="L25" s="25">
        <f>'Data Sheet'!K34/'Data Sheet'!K$17</f>
        <v>0.57929361602924134</v>
      </c>
    </row>
    <row r="27" spans="1:12">
      <c r="A27" s="3" t="s">
        <v>78</v>
      </c>
      <c r="B27" s="321" t="str">
        <f>"Common Size Balance Sheet"&amp;" "&amp;"- "&amp;'Data Sheet'!$B$1</f>
        <v>Common Size Balance Sheet - ITC LTD</v>
      </c>
      <c r="C27" s="321"/>
      <c r="D27" s="321"/>
      <c r="E27" s="321"/>
      <c r="F27" s="321"/>
      <c r="G27" s="321"/>
      <c r="H27" s="321"/>
      <c r="I27" s="321"/>
      <c r="J27" s="321"/>
      <c r="K27" s="321"/>
      <c r="L27" s="321"/>
    </row>
    <row r="28" spans="1:12" ht="4.5" customHeight="1"/>
    <row r="29" spans="1:12">
      <c r="B29" s="97" t="s">
        <v>92</v>
      </c>
      <c r="C29" s="98">
        <f>'Data Sheet'!B56</f>
        <v>42460</v>
      </c>
      <c r="D29" s="98">
        <f>'Data Sheet'!C56</f>
        <v>42825</v>
      </c>
      <c r="E29" s="98">
        <f>'Data Sheet'!D56</f>
        <v>43190</v>
      </c>
      <c r="F29" s="98">
        <f>'Data Sheet'!E56</f>
        <v>43555</v>
      </c>
      <c r="G29" s="98">
        <f>'Data Sheet'!F56</f>
        <v>43921</v>
      </c>
      <c r="H29" s="98">
        <f>'Data Sheet'!G56</f>
        <v>44286</v>
      </c>
      <c r="I29" s="98">
        <f>'Data Sheet'!H56</f>
        <v>44651</v>
      </c>
      <c r="J29" s="98">
        <f>'Data Sheet'!I56</f>
        <v>45016</v>
      </c>
      <c r="K29" s="98">
        <f>'Data Sheet'!J56</f>
        <v>45382</v>
      </c>
      <c r="L29" s="98">
        <f>'Data Sheet'!K56</f>
        <v>45747</v>
      </c>
    </row>
    <row r="30" spans="1:12" ht="6" customHeight="1">
      <c r="B30" s="26"/>
      <c r="C30" s="27"/>
      <c r="D30" s="27"/>
      <c r="E30" s="27"/>
      <c r="F30" s="27"/>
      <c r="G30" s="27"/>
      <c r="H30" s="27"/>
      <c r="I30" s="27"/>
      <c r="J30" s="27"/>
      <c r="K30" s="27"/>
      <c r="L30" s="27"/>
    </row>
    <row r="31" spans="1:12">
      <c r="B31" s="21" t="s">
        <v>81</v>
      </c>
      <c r="C31" s="28">
        <f>'Data Sheet'!B61/'Data Sheet'!B$61</f>
        <v>1</v>
      </c>
      <c r="D31" s="28">
        <f>'Data Sheet'!C61/'Data Sheet'!C$61</f>
        <v>1</v>
      </c>
      <c r="E31" s="28">
        <f>'Data Sheet'!D61/'Data Sheet'!D$61</f>
        <v>1</v>
      </c>
      <c r="F31" s="28">
        <f>'Data Sheet'!E61/'Data Sheet'!E$61</f>
        <v>1</v>
      </c>
      <c r="G31" s="28">
        <f>'Data Sheet'!F61/'Data Sheet'!F$61</f>
        <v>1</v>
      </c>
      <c r="H31" s="28">
        <f>'Data Sheet'!G61/'Data Sheet'!G$61</f>
        <v>1</v>
      </c>
      <c r="I31" s="28">
        <f>'Data Sheet'!H61/'Data Sheet'!H$61</f>
        <v>1</v>
      </c>
      <c r="J31" s="28">
        <f>'Data Sheet'!I61/'Data Sheet'!I$61</f>
        <v>1</v>
      </c>
      <c r="K31" s="28">
        <f>'Data Sheet'!J61/'Data Sheet'!J$61</f>
        <v>1</v>
      </c>
      <c r="L31" s="28">
        <f>'Data Sheet'!K61/'Data Sheet'!K$61</f>
        <v>1</v>
      </c>
    </row>
    <row r="32" spans="1:12">
      <c r="B32" s="23" t="str">
        <f>'Data Sheet'!A57</f>
        <v>Equity Share Capital</v>
      </c>
      <c r="C32" s="24">
        <f>'Data Sheet'!B57/'Data Sheet'!B$61</f>
        <v>1.5579847492824001E-2</v>
      </c>
      <c r="D32" s="24">
        <f>'Data Sheet'!C57/'Data Sheet'!C$61</f>
        <v>2.1731243443452324E-2</v>
      </c>
      <c r="E32" s="24">
        <f>'Data Sheet'!D57/'Data Sheet'!D$61</f>
        <v>1.8997716096043518E-2</v>
      </c>
      <c r="F32" s="24">
        <f>'Data Sheet'!E57/'Data Sheet'!E$61</f>
        <v>1.7087766995488092E-2</v>
      </c>
      <c r="G32" s="24">
        <f>'Data Sheet'!F57/'Data Sheet'!F$61</f>
        <v>1.5899729339063456E-2</v>
      </c>
      <c r="H32" s="24">
        <f>'Data Sheet'!G57/'Data Sheet'!G$61</f>
        <v>1.6687463632424616E-2</v>
      </c>
      <c r="I32" s="24">
        <f>'Data Sheet'!H57/'Data Sheet'!H$61</f>
        <v>1.5963646830497218E-2</v>
      </c>
      <c r="J32" s="24">
        <f>'Data Sheet'!I57/'Data Sheet'!I$61</f>
        <v>1.447962366959428E-2</v>
      </c>
      <c r="K32" s="24">
        <f>'Data Sheet'!J57/'Data Sheet'!J$61</f>
        <v>1.3606713693151371E-2</v>
      </c>
      <c r="L32" s="24">
        <f>'Data Sheet'!K57/'Data Sheet'!K$61</f>
        <v>1.4220131882317249E-2</v>
      </c>
    </row>
    <row r="33" spans="2:12">
      <c r="B33" s="23" t="str">
        <f>'Data Sheet'!A58</f>
        <v>Reserves</v>
      </c>
      <c r="C33" s="24">
        <f>'Data Sheet'!B58/'Data Sheet'!B$61</f>
        <v>0.81072049631239007</v>
      </c>
      <c r="D33" s="24">
        <f>'Data Sheet'!C58/'Data Sheet'!C$61</f>
        <v>0.80857868358118823</v>
      </c>
      <c r="E33" s="24">
        <f>'Data Sheet'!D58/'Data Sheet'!D$61</f>
        <v>0.79839628597864787</v>
      </c>
      <c r="F33" s="24">
        <f>'Data Sheet'!E58/'Data Sheet'!E$61</f>
        <v>0.80730115708267081</v>
      </c>
      <c r="G33" s="24">
        <f>'Data Sheet'!F58/'Data Sheet'!F$61</f>
        <v>0.82839760317937672</v>
      </c>
      <c r="H33" s="24">
        <f>'Data Sheet'!G58/'Data Sheet'!G$61</f>
        <v>0.80146218666944324</v>
      </c>
      <c r="I33" s="24">
        <f>'Data Sheet'!H58/'Data Sheet'!H$61</f>
        <v>0.79308803744027212</v>
      </c>
      <c r="J33" s="24">
        <f>'Data Sheet'!I58/'Data Sheet'!I$61</f>
        <v>0.79123500424555426</v>
      </c>
      <c r="K33" s="24">
        <f>'Data Sheet'!J58/'Data Sheet'!J$61</f>
        <v>0.79842354505205604</v>
      </c>
      <c r="L33" s="24">
        <f>'Data Sheet'!K58/'Data Sheet'!K$61</f>
        <v>0.78155147512519507</v>
      </c>
    </row>
    <row r="34" spans="2:12">
      <c r="B34" s="23" t="str">
        <f>'Data Sheet'!A59</f>
        <v>Borrowings</v>
      </c>
      <c r="C34" s="24">
        <f>'Data Sheet'!B59/'Data Sheet'!B$61</f>
        <v>1.6220295543155319E-3</v>
      </c>
      <c r="D34" s="24">
        <f>'Data Sheet'!C59/'Data Sheet'!C$61</f>
        <v>8.1791366896178633E-4</v>
      </c>
      <c r="E34" s="24">
        <f>'Data Sheet'!D59/'Data Sheet'!D$61</f>
        <v>5.5914551606391452E-4</v>
      </c>
      <c r="F34" s="24">
        <f>'Data Sheet'!E59/'Data Sheet'!E$61</f>
        <v>1.8734569071456771E-4</v>
      </c>
      <c r="G34" s="24">
        <f>'Data Sheet'!F59/'Data Sheet'!F$61</f>
        <v>3.5887635290046986E-3</v>
      </c>
      <c r="H34" s="24">
        <f>'Data Sheet'!G59/'Data Sheet'!G$61</f>
        <v>3.6717354864564847E-3</v>
      </c>
      <c r="I34" s="24">
        <f>'Data Sheet'!H59/'Data Sheet'!H$61</f>
        <v>3.2312546683106198E-3</v>
      </c>
      <c r="J34" s="24">
        <f>'Data Sheet'!I59/'Data Sheet'!I$61</f>
        <v>3.5656131540413856E-3</v>
      </c>
      <c r="K34" s="24">
        <f>'Data Sheet'!J59/'Data Sheet'!J$61</f>
        <v>3.3069958716772691E-3</v>
      </c>
      <c r="L34" s="24">
        <f>'Data Sheet'!K59/'Data Sheet'!K$61</f>
        <v>3.2333098870830101E-3</v>
      </c>
    </row>
    <row r="35" spans="2:12">
      <c r="B35" s="23" t="str">
        <f>'Data Sheet'!A60</f>
        <v>Other Liabilities</v>
      </c>
      <c r="C35" s="24">
        <f>'Data Sheet'!B60/'Data Sheet'!B$61</f>
        <v>0.17207762664047055</v>
      </c>
      <c r="D35" s="24">
        <f>'Data Sheet'!C60/'Data Sheet'!C$61</f>
        <v>0.16887215930639776</v>
      </c>
      <c r="E35" s="24">
        <f>'Data Sheet'!D60/'Data Sheet'!D$61</f>
        <v>0.18204685240924473</v>
      </c>
      <c r="F35" s="24">
        <f>'Data Sheet'!E60/'Data Sheet'!E$61</f>
        <v>0.17542373023112662</v>
      </c>
      <c r="G35" s="24">
        <f>'Data Sheet'!F60/'Data Sheet'!F$61</f>
        <v>0.15211390395255511</v>
      </c>
      <c r="H35" s="24">
        <f>'Data Sheet'!G60/'Data Sheet'!G$61</f>
        <v>0.17817861421167572</v>
      </c>
      <c r="I35" s="24">
        <f>'Data Sheet'!H60/'Data Sheet'!H$61</f>
        <v>0.18771706106091998</v>
      </c>
      <c r="J35" s="24">
        <f>'Data Sheet'!I60/'Data Sheet'!I$61</f>
        <v>0.19071975893081003</v>
      </c>
      <c r="K35" s="24">
        <f>'Data Sheet'!J60/'Data Sheet'!J$61</f>
        <v>0.18466274538311531</v>
      </c>
      <c r="L35" s="24">
        <f>'Data Sheet'!K60/'Data Sheet'!K$61</f>
        <v>0.20099508310540473</v>
      </c>
    </row>
    <row r="36" spans="2:12" ht="6" customHeight="1">
      <c r="B36" s="23"/>
    </row>
    <row r="37" spans="2:12">
      <c r="B37" s="21" t="s">
        <v>85</v>
      </c>
      <c r="C37" s="22">
        <f>'Data Sheet'!B76/'Data Sheet'!B$76</f>
        <v>1</v>
      </c>
      <c r="D37" s="22">
        <f>'Data Sheet'!C76/'Data Sheet'!C$76</f>
        <v>1</v>
      </c>
      <c r="E37" s="22">
        <f>'Data Sheet'!D76/'Data Sheet'!D$76</f>
        <v>1</v>
      </c>
      <c r="F37" s="22">
        <f>'Data Sheet'!E76/'Data Sheet'!E$76</f>
        <v>1</v>
      </c>
      <c r="G37" s="22">
        <f>'Data Sheet'!F76/'Data Sheet'!F$76</f>
        <v>1</v>
      </c>
      <c r="H37" s="22">
        <f>'Data Sheet'!G76/'Data Sheet'!G$76</f>
        <v>1</v>
      </c>
      <c r="I37" s="22">
        <f>'Data Sheet'!H76/'Data Sheet'!H$76</f>
        <v>1</v>
      </c>
      <c r="J37" s="22">
        <f>'Data Sheet'!I76/'Data Sheet'!I$76</f>
        <v>1</v>
      </c>
      <c r="K37" s="22">
        <f>'Data Sheet'!J76/'Data Sheet'!J$76</f>
        <v>1</v>
      </c>
      <c r="L37" s="22">
        <f>'Data Sheet'!K76/'Data Sheet'!K$76</f>
        <v>1</v>
      </c>
    </row>
    <row r="38" spans="2:12">
      <c r="B38" s="23" t="str">
        <f>'Data Sheet'!A62</f>
        <v>Net Block</v>
      </c>
      <c r="C38" s="24">
        <f>'Data Sheet'!B62/'Data Sheet'!B$76</f>
        <v>0.29247314784088857</v>
      </c>
      <c r="D38" s="24">
        <f>'Data Sheet'!C62/'Data Sheet'!C$76</f>
        <v>0.2843284019984858</v>
      </c>
      <c r="E38" s="24">
        <f>'Data Sheet'!D62/'Data Sheet'!D$76</f>
        <v>0.25721876786245768</v>
      </c>
      <c r="F38" s="24">
        <f>'Data Sheet'!E62/'Data Sheet'!E$76</f>
        <v>0.27006480711199926</v>
      </c>
      <c r="G38" s="24">
        <f>'Data Sheet'!F62/'Data Sheet'!F$76</f>
        <v>0.28085796606552127</v>
      </c>
      <c r="H38" s="24">
        <f>'Data Sheet'!G62/'Data Sheet'!G$76</f>
        <v>0.31586550897794441</v>
      </c>
      <c r="I38" s="24">
        <f>'Data Sheet'!H62/'Data Sheet'!H$76</f>
        <v>0.31389688224859258</v>
      </c>
      <c r="J38" s="24">
        <f>'Data Sheet'!I62/'Data Sheet'!I$76</f>
        <v>0.30118817265937603</v>
      </c>
      <c r="K38" s="24">
        <f>'Data Sheet'!J62/'Data Sheet'!J$76</f>
        <v>0.30320453708978479</v>
      </c>
      <c r="L38" s="24">
        <f>'Data Sheet'!K62/'Data Sheet'!K$76</f>
        <v>0.24947927734035433</v>
      </c>
    </row>
    <row r="39" spans="2:12">
      <c r="B39" s="23" t="str">
        <f>'Data Sheet'!A63</f>
        <v>Capital Work in Progress</v>
      </c>
      <c r="C39" s="24">
        <f>'Data Sheet'!B63/'Data Sheet'!B$76</f>
        <v>4.9557668784585257E-2</v>
      </c>
      <c r="D39" s="24">
        <f>'Data Sheet'!C63/'Data Sheet'!C$76</f>
        <v>6.6726334530268522E-2</v>
      </c>
      <c r="E39" s="24">
        <f>'Data Sheet'!D63/'Data Sheet'!D$76</f>
        <v>8.5744933755577443E-2</v>
      </c>
      <c r="F39" s="24">
        <f>'Data Sheet'!E63/'Data Sheet'!E$76</f>
        <v>5.7659260564401203E-2</v>
      </c>
      <c r="G39" s="24">
        <f>'Data Sheet'!F63/'Data Sheet'!F$76</f>
        <v>4.2121697176653962E-2</v>
      </c>
      <c r="H39" s="24">
        <f>'Data Sheet'!G63/'Data Sheet'!G$76</f>
        <v>5.4382438575741363E-2</v>
      </c>
      <c r="I39" s="24">
        <f>'Data Sheet'!H63/'Data Sheet'!H$76</f>
        <v>4.1783760354484591E-2</v>
      </c>
      <c r="J39" s="24">
        <f>'Data Sheet'!I63/'Data Sheet'!I$76</f>
        <v>3.4990870427174532E-2</v>
      </c>
      <c r="K39" s="24">
        <f>'Data Sheet'!J63/'Data Sheet'!J$76</f>
        <v>3.1178814388085879E-2</v>
      </c>
      <c r="L39" s="24">
        <f>'Data Sheet'!K63/'Data Sheet'!K$76</f>
        <v>1.2396324203689206E-2</v>
      </c>
    </row>
    <row r="40" spans="2:12">
      <c r="B40" s="23" t="str">
        <f>'Data Sheet'!A64</f>
        <v>Investments</v>
      </c>
      <c r="C40" s="24">
        <f>'Data Sheet'!B64/'Data Sheet'!B$76</f>
        <v>0.22744017870591549</v>
      </c>
      <c r="D40" s="24">
        <f>'Data Sheet'!C64/'Data Sheet'!C$76</f>
        <v>0.31452430055142983</v>
      </c>
      <c r="E40" s="24">
        <f>'Data Sheet'!D64/'Data Sheet'!D$76</f>
        <v>0.34328390271117087</v>
      </c>
      <c r="F40" s="24">
        <f>'Data Sheet'!E64/'Data Sheet'!E$76</f>
        <v>0.34909151279414952</v>
      </c>
      <c r="G40" s="24">
        <f>'Data Sheet'!F64/'Data Sheet'!F$76</f>
        <v>0.37075503730076348</v>
      </c>
      <c r="H40" s="24">
        <f>'Data Sheet'!G64/'Data Sheet'!G$76</f>
        <v>0.33718294117359965</v>
      </c>
      <c r="I40" s="24">
        <f>'Data Sheet'!H64/'Data Sheet'!H$76</f>
        <v>0.3217913306929554</v>
      </c>
      <c r="J40" s="24">
        <f>'Data Sheet'!I64/'Data Sheet'!I$76</f>
        <v>0.34270873819889697</v>
      </c>
      <c r="K40" s="24">
        <f>'Data Sheet'!J64/'Data Sheet'!J$76</f>
        <v>0.33910271130502584</v>
      </c>
      <c r="L40" s="24">
        <f>'Data Sheet'!K64/'Data Sheet'!K$76</f>
        <v>0.39453130415316806</v>
      </c>
    </row>
    <row r="41" spans="2:12">
      <c r="B41" s="23" t="str">
        <f>'Data Sheet'!A65</f>
        <v>Other Assets</v>
      </c>
      <c r="C41" s="24">
        <f>'Data Sheet'!B74/'Data Sheet'!B$76</f>
        <v>0.10057473823525198</v>
      </c>
      <c r="D41" s="24">
        <f>'Data Sheet'!C74/'Data Sheet'!C$76</f>
        <v>9.1877179850843468E-2</v>
      </c>
      <c r="E41" s="24">
        <f>'Data Sheet'!D74/'Data Sheet'!D$76</f>
        <v>0.11019073835850315</v>
      </c>
      <c r="F41" s="24">
        <f>'Data Sheet'!E74/'Data Sheet'!E$76</f>
        <v>9.9500495127896896E-2</v>
      </c>
      <c r="G41" s="24">
        <f>'Data Sheet'!F74/'Data Sheet'!F$76</f>
        <v>6.4136617482044828E-2</v>
      </c>
      <c r="H41" s="24">
        <f>'Data Sheet'!G74/'Data Sheet'!G$76</f>
        <v>5.4530891492983506E-2</v>
      </c>
      <c r="I41" s="24">
        <f>'Data Sheet'!H74/'Data Sheet'!H$76</f>
        <v>8.9608376183124464E-2</v>
      </c>
      <c r="J41" s="24">
        <f>'Data Sheet'!I74/'Data Sheet'!I$76</f>
        <v>9.2668775928872266E-2</v>
      </c>
      <c r="K41" s="24">
        <f>'Data Sheet'!J74/'Data Sheet'!J$76</f>
        <v>4.9726131741220564E-2</v>
      </c>
      <c r="L41" s="24">
        <f>'Data Sheet'!K74/'Data Sheet'!K$76</f>
        <v>6.6674431579940144E-2</v>
      </c>
    </row>
    <row r="42" spans="2:12">
      <c r="B42" s="23" t="str">
        <f>'Data Sheet'!A67</f>
        <v>Receivables</v>
      </c>
      <c r="C42" s="24">
        <f>'Data Sheet'!B67/'Data Sheet'!B$76</f>
        <v>3.7117720469594793E-2</v>
      </c>
      <c r="D42" s="24">
        <f>'Data Sheet'!C67/'Data Sheet'!C$76</f>
        <v>4.4264120996838546E-2</v>
      </c>
      <c r="E42" s="24">
        <f>'Data Sheet'!D67/'Data Sheet'!D$76</f>
        <v>4.1753631021243798E-2</v>
      </c>
      <c r="F42" s="24">
        <f>'Data Sheet'!E67/'Data Sheet'!E$76</f>
        <v>5.6249428484128033E-2</v>
      </c>
      <c r="G42" s="24">
        <f>'Data Sheet'!F67/'Data Sheet'!F$76</f>
        <v>3.3145196495959491E-2</v>
      </c>
      <c r="H42" s="24">
        <f>'Data Sheet'!G67/'Data Sheet'!G$76</f>
        <v>3.3916407585822053E-2</v>
      </c>
      <c r="I42" s="24">
        <f>'Data Sheet'!H67/'Data Sheet'!H$76</f>
        <v>3.1891540522425897E-2</v>
      </c>
      <c r="J42" s="24">
        <f>'Data Sheet'!I67/'Data Sheet'!I$76</f>
        <v>3.4441767865581369E-2</v>
      </c>
      <c r="K42" s="24">
        <f>'Data Sheet'!J67/'Data Sheet'!J$76</f>
        <v>4.3876248624446439E-2</v>
      </c>
      <c r="L42" s="24">
        <f>'Data Sheet'!K67/'Data Sheet'!K$76</f>
        <v>5.3630968140750232E-2</v>
      </c>
    </row>
    <row r="43" spans="2:12">
      <c r="B43" s="23" t="str">
        <f>'Data Sheet'!A68</f>
        <v>Inventory</v>
      </c>
      <c r="C43" s="24">
        <f>'Data Sheet'!B68/'Data Sheet'!B$76</f>
        <v>0.17544752953166368</v>
      </c>
      <c r="D43" s="24">
        <f>'Data Sheet'!C68/'Data Sheet'!C$76</f>
        <v>0.14519398794096139</v>
      </c>
      <c r="E43" s="24">
        <f>'Data Sheet'!D68/'Data Sheet'!D$76</f>
        <v>0.11667165829608811</v>
      </c>
      <c r="F43" s="24">
        <f>'Data Sheet'!E68/'Data Sheet'!E$76</f>
        <v>0.10955764113932945</v>
      </c>
      <c r="G43" s="24">
        <f>'Data Sheet'!F68/'Data Sheet'!F$76</f>
        <v>0.11485246230310792</v>
      </c>
      <c r="H43" s="24">
        <f>'Data Sheet'!G68/'Data Sheet'!G$76</f>
        <v>0.14095787516289149</v>
      </c>
      <c r="I43" s="24">
        <f>'Data Sheet'!H68/'Data Sheet'!H$76</f>
        <v>0.14073458709399783</v>
      </c>
      <c r="J43" s="24">
        <f>'Data Sheet'!I68/'Data Sheet'!I$76</f>
        <v>0.13714352024024895</v>
      </c>
      <c r="K43" s="24">
        <f>'Data Sheet'!J68/'Data Sheet'!J$76</f>
        <v>0.1542481486087196</v>
      </c>
      <c r="L43" s="24">
        <f>'Data Sheet'!K68/'Data Sheet'!K$76</f>
        <v>0.17769409347667742</v>
      </c>
    </row>
    <row r="44" spans="2:12">
      <c r="B44" s="23" t="str">
        <f>'Data Sheet'!A69</f>
        <v>Cash &amp; Bank</v>
      </c>
      <c r="C44" s="24">
        <f>'Data Sheet'!B69/'Data Sheet'!B$76</f>
        <v>0.11738901643210033</v>
      </c>
      <c r="D44" s="24">
        <f>'Data Sheet'!C69/'Data Sheet'!C$76</f>
        <v>5.3085674131172461E-2</v>
      </c>
      <c r="E44" s="24">
        <f>'Data Sheet'!D69/'Data Sheet'!D$76</f>
        <v>4.5136367994958973E-2</v>
      </c>
      <c r="F44" s="24">
        <f>'Data Sheet'!E69/'Data Sheet'!E$76</f>
        <v>5.7876854778095725E-2</v>
      </c>
      <c r="G44" s="24">
        <f>'Data Sheet'!F69/'Data Sheet'!F$76</f>
        <v>9.4131023175949013E-2</v>
      </c>
      <c r="H44" s="24">
        <f>'Data Sheet'!G69/'Data Sheet'!G$76</f>
        <v>6.3163937031017581E-2</v>
      </c>
      <c r="I44" s="24">
        <f>'Data Sheet'!H69/'Data Sheet'!H$76</f>
        <v>6.0293522904419167E-2</v>
      </c>
      <c r="J44" s="24">
        <f>'Data Sheet'!I69/'Data Sheet'!I$76</f>
        <v>5.6858154679849782E-2</v>
      </c>
      <c r="K44" s="24">
        <f>'Data Sheet'!J69/'Data Sheet'!J$76</f>
        <v>7.8663408242716906E-2</v>
      </c>
      <c r="L44" s="24">
        <f>'Data Sheet'!K69/'Data Sheet'!K$76</f>
        <v>4.5593601105420635E-2</v>
      </c>
    </row>
  </sheetData>
  <mergeCells count="2">
    <mergeCell ref="B5:L5"/>
    <mergeCell ref="B27:L2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63"/>
  <sheetViews>
    <sheetView showGridLines="0" zoomScaleNormal="100" workbookViewId="0">
      <pane xSplit="1" ySplit="6" topLeftCell="B7" activePane="bottomRight" state="frozen"/>
      <selection pane="topRight" activeCell="B1" sqref="B1"/>
      <selection pane="bottomLeft" activeCell="A5" sqref="A5"/>
      <selection pane="bottomRight" activeCell="Q28" sqref="Q28"/>
    </sheetView>
  </sheetViews>
  <sheetFormatPr defaultRowHeight="15"/>
  <cols>
    <col min="1" max="1" width="1.85546875" customWidth="1"/>
    <col min="2" max="2" width="30.140625" customWidth="1"/>
    <col min="3" max="7" width="12.140625" customWidth="1"/>
    <col min="8" max="8" width="5.7109375" customWidth="1"/>
    <col min="9" max="9" width="15" customWidth="1"/>
    <col min="10" max="10" width="2.7109375" customWidth="1"/>
    <col min="11" max="11" width="9.28515625" customWidth="1"/>
    <col min="12" max="12" width="13" style="227" customWidth="1"/>
    <col min="13" max="13" width="12.140625" customWidth="1"/>
    <col min="14" max="14" width="13.140625" bestFit="1" customWidth="1"/>
  </cols>
  <sheetData>
    <row r="1" spans="1:12" ht="9.75" customHeight="1"/>
    <row r="2" spans="1:12" ht="18.75">
      <c r="B2" s="18" t="s">
        <v>8752</v>
      </c>
      <c r="C2" s="9"/>
      <c r="D2" s="9"/>
      <c r="E2" s="9"/>
      <c r="F2" s="9"/>
      <c r="G2" s="9"/>
      <c r="H2" s="9"/>
      <c r="I2" s="9"/>
      <c r="J2" s="9"/>
      <c r="K2" s="9"/>
      <c r="L2" s="266"/>
    </row>
    <row r="3" spans="1:12">
      <c r="B3" s="20" t="str">
        <f>'Data Sheet'!B1</f>
        <v>ITC LTD</v>
      </c>
      <c r="C3" s="9"/>
      <c r="D3" s="9"/>
      <c r="E3" s="9"/>
      <c r="F3" s="9"/>
      <c r="G3" s="9"/>
      <c r="H3" s="9"/>
      <c r="I3" s="9"/>
      <c r="J3" s="9"/>
      <c r="K3" s="9"/>
      <c r="L3" s="266"/>
    </row>
    <row r="4" spans="1:12" ht="4.5" customHeight="1">
      <c r="B4" s="318"/>
      <c r="C4" s="319"/>
      <c r="D4" s="319"/>
      <c r="E4" s="319"/>
      <c r="F4" s="319"/>
      <c r="G4" s="319"/>
      <c r="H4" s="319"/>
      <c r="I4" s="319"/>
      <c r="J4" s="319"/>
      <c r="K4" s="319"/>
      <c r="L4" s="320"/>
    </row>
    <row r="5" spans="1:12">
      <c r="B5" s="20"/>
      <c r="C5" s="9"/>
      <c r="D5" s="322" t="s">
        <v>8755</v>
      </c>
      <c r="E5" s="322"/>
      <c r="F5" s="322"/>
      <c r="G5" s="322"/>
      <c r="H5" s="9"/>
      <c r="I5" s="9"/>
      <c r="J5" s="9"/>
      <c r="K5" s="9"/>
      <c r="L5" s="266"/>
    </row>
    <row r="6" spans="1:12">
      <c r="B6" s="9" t="s">
        <v>92</v>
      </c>
      <c r="C6" s="10">
        <f>'Data Sheet'!G16</f>
        <v>44286</v>
      </c>
      <c r="D6" s="10">
        <f>'Data Sheet'!H16</f>
        <v>44651</v>
      </c>
      <c r="E6" s="10">
        <f>'Data Sheet'!I16</f>
        <v>45016</v>
      </c>
      <c r="F6" s="10">
        <f>'Data Sheet'!J16</f>
        <v>45382</v>
      </c>
      <c r="G6" s="10">
        <f>'Data Sheet'!K16</f>
        <v>45747</v>
      </c>
      <c r="H6" s="10"/>
      <c r="I6" s="182" t="s">
        <v>434</v>
      </c>
      <c r="J6" s="225"/>
      <c r="K6" s="225" t="s">
        <v>95</v>
      </c>
      <c r="L6" s="292" t="s">
        <v>8753</v>
      </c>
    </row>
    <row r="7" spans="1:12" ht="4.5" customHeight="1"/>
    <row r="8" spans="1:12">
      <c r="A8" t="s">
        <v>78</v>
      </c>
      <c r="B8" s="256" t="s">
        <v>454</v>
      </c>
    </row>
    <row r="9" spans="1:12">
      <c r="B9" s="247" t="s">
        <v>97</v>
      </c>
      <c r="C9" s="293">
        <f>IFERROR('Historical FS'!H9,0)</f>
        <v>-2.6372963308678443E-3</v>
      </c>
      <c r="D9" s="299">
        <f>IFERROR('Historical FS'!I9,0)</f>
        <v>0.23117497962237188</v>
      </c>
      <c r="E9" s="293">
        <f>IFERROR('Historical FS'!J9,0)</f>
        <v>0.1694215175842706</v>
      </c>
      <c r="F9" s="293">
        <f>IFERROR('Historical FS'!K9,0)</f>
        <v>-4.2119724423754779E-2</v>
      </c>
      <c r="G9" s="293">
        <f>IFERROR('Historical FS'!L9,0)</f>
        <v>0.10880596078957838</v>
      </c>
      <c r="H9" s="248"/>
      <c r="I9" s="247"/>
      <c r="J9" s="258"/>
      <c r="K9" s="272">
        <f t="shared" ref="K9:K15" si="0">AVERAGE(C9:G9)</f>
        <v>9.2929087448319653E-2</v>
      </c>
      <c r="L9" s="282">
        <v>0.1</v>
      </c>
    </row>
    <row r="10" spans="1:12">
      <c r="B10" s="249" t="s">
        <v>98</v>
      </c>
      <c r="C10" s="294">
        <f>IFERROR(('Historical FS'!H14/'Historical FS'!G14)-1,0)</f>
        <v>-0.10700913506243692</v>
      </c>
      <c r="D10" s="294">
        <f>IFERROR(('Historical FS'!I14/'Historical FS'!H14)-1,0)</f>
        <v>0.1883961076048648</v>
      </c>
      <c r="E10" s="297">
        <f>IFERROR(('Historical FS'!J14/'Historical FS'!I14)-1,0)</f>
        <v>0.22659212650066851</v>
      </c>
      <c r="F10" s="294">
        <f>IFERROR(('Historical FS'!K14/'Historical FS'!J14)-1,0)</f>
        <v>-1.0759759511173583E-2</v>
      </c>
      <c r="G10" s="294">
        <f>IFERROR(('Historical FS'!L14/'Historical FS'!K14)-1,0)</f>
        <v>4.9221547792642095E-2</v>
      </c>
      <c r="H10" s="253"/>
      <c r="I10" s="249"/>
      <c r="J10" s="259"/>
      <c r="K10" s="274">
        <f t="shared" si="0"/>
        <v>6.9288177464912976E-2</v>
      </c>
      <c r="L10" s="283" t="s">
        <v>79</v>
      </c>
    </row>
    <row r="11" spans="1:12">
      <c r="B11" s="249" t="s">
        <v>99</v>
      </c>
      <c r="C11" s="294">
        <f>IFERROR(('Historical FS'!H23/'Historical FS'!G23)-1,0)</f>
        <v>-9.738264020815357E-2</v>
      </c>
      <c r="D11" s="294">
        <f>IFERROR(('Historical FS'!I23/'Historical FS'!H23)-1,0)</f>
        <v>0.14719375533621504</v>
      </c>
      <c r="E11" s="297">
        <f>IFERROR(('Historical FS'!J23/'Historical FS'!I23)-1,0)</f>
        <v>0.23383750050481811</v>
      </c>
      <c r="F11" s="294">
        <f>IFERROR(('Historical FS'!K23/'Historical FS'!J23)-1,0)</f>
        <v>2.5756513044072671E-2</v>
      </c>
      <c r="G11" s="294">
        <f>IFERROR(('Historical FS'!L23/'Historical FS'!K23)-1,0)</f>
        <v>0.53006384042628563</v>
      </c>
      <c r="H11" s="253"/>
      <c r="I11" s="249"/>
      <c r="J11" s="259"/>
      <c r="K11" s="274">
        <f t="shared" si="0"/>
        <v>0.16789379382064756</v>
      </c>
      <c r="L11" s="283" t="s">
        <v>79</v>
      </c>
    </row>
    <row r="12" spans="1:12">
      <c r="B12" s="249" t="s">
        <v>100</v>
      </c>
      <c r="C12" s="294">
        <f>IFERROR(('Historical FS'!H32/'Historical FS'!G32)-1,0)</f>
        <v>-0.10463913126161439</v>
      </c>
      <c r="D12" s="294">
        <f>IFERROR(('Historical FS'!I32/'Historical FS'!H32)-1,0)</f>
        <v>0.15621994885765922</v>
      </c>
      <c r="E12" s="294">
        <f>IFERROR(('Historical FS'!J32/'Historical FS'!I32)-1,0)</f>
        <v>0.24949531037628381</v>
      </c>
      <c r="F12" s="294">
        <f>IFERROR(('Historical FS'!K32/'Historical FS'!J32)-1,0)</f>
        <v>4.0350961137745278E-2</v>
      </c>
      <c r="G12" s="297">
        <f>IFERROR(('Historical FS'!L32/'Historical FS'!K32)-1,0)</f>
        <v>0.55570008627334055</v>
      </c>
      <c r="H12" s="253"/>
      <c r="I12" s="249"/>
      <c r="J12" s="259"/>
      <c r="K12" s="273">
        <f t="shared" si="0"/>
        <v>0.1794254350766829</v>
      </c>
      <c r="L12" s="283">
        <v>3.4000000000000002E-2</v>
      </c>
    </row>
    <row r="13" spans="1:12">
      <c r="B13" s="249" t="s">
        <v>101</v>
      </c>
      <c r="C13" s="294">
        <f>IFERROR(('Historical FS'!H38/'Historical FS'!G38)-1,0)</f>
        <v>-0.14172585004085236</v>
      </c>
      <c r="D13" s="294">
        <f>IFERROR(('Historical FS'!I38/'Historical FS'!H38)-1,0)</f>
        <v>0.15843002403070172</v>
      </c>
      <c r="E13" s="294">
        <f>IFERROR(('Historical FS'!J38/'Historical FS'!I38)-1,0)</f>
        <v>0.25630888730211265</v>
      </c>
      <c r="F13" s="294">
        <f>IFERROR(('Historical FS'!K38/'Historical FS'!J38)-1,0)</f>
        <v>6.5444284253201035E-2</v>
      </c>
      <c r="G13" s="297">
        <f>IFERROR(('Historical FS'!L38/'Historical FS'!K38)-1,0)</f>
        <v>0.68916543301258337</v>
      </c>
      <c r="H13" s="253"/>
      <c r="I13" s="249"/>
      <c r="J13" s="259"/>
      <c r="K13" s="273">
        <f t="shared" si="0"/>
        <v>0.20552455571154926</v>
      </c>
      <c r="L13" s="284">
        <v>4.1000000000000002E-2</v>
      </c>
    </row>
    <row r="14" spans="1:12">
      <c r="B14" s="249" t="s">
        <v>113</v>
      </c>
      <c r="C14" s="274">
        <f t="shared" ref="C14:G14" si="1">C27*C28</f>
        <v>2.5008558786517934E-3</v>
      </c>
      <c r="D14" s="274">
        <f t="shared" si="1"/>
        <v>2.1316433426193927E-2</v>
      </c>
      <c r="E14" s="274">
        <f t="shared" si="1"/>
        <v>3.0846532859538341E-3</v>
      </c>
      <c r="F14" s="274">
        <f t="shared" si="1"/>
        <v>4.8114942220194093E-2</v>
      </c>
      <c r="G14" s="297">
        <f t="shared" si="1"/>
        <v>0.24410592310015491</v>
      </c>
      <c r="H14" s="254"/>
      <c r="I14" s="249"/>
      <c r="J14" s="259"/>
      <c r="K14" s="274">
        <f t="shared" si="0"/>
        <v>6.3824561582229711E-2</v>
      </c>
      <c r="L14" s="283" t="s">
        <v>79</v>
      </c>
    </row>
    <row r="15" spans="1:12">
      <c r="B15" s="249" t="s">
        <v>102</v>
      </c>
      <c r="C15" s="294">
        <f>IFERROR(('Data Sheet'!G34/'Data Sheet'!F34)-1,0)</f>
        <v>-9.738264020815357E-2</v>
      </c>
      <c r="D15" s="294">
        <f>IFERROR(('Data Sheet'!H34/'Data Sheet'!G34)-1,0)</f>
        <v>0.14719375533621548</v>
      </c>
      <c r="E15" s="294">
        <f>IFERROR(('Data Sheet'!I34/'Data Sheet'!H34)-1,0)</f>
        <v>0.23383750050481789</v>
      </c>
      <c r="F15" s="294">
        <f>IFERROR(('Data Sheet'!J34/'Data Sheet'!I34)-1,0)</f>
        <v>2.5756513044072671E-2</v>
      </c>
      <c r="G15" s="297">
        <f>IFERROR(('Data Sheet'!K34/'Data Sheet'!J34)-1,0)</f>
        <v>0.53006384042628518</v>
      </c>
      <c r="H15" s="253"/>
      <c r="I15" s="249"/>
      <c r="J15" s="259"/>
      <c r="K15" s="273">
        <f t="shared" si="0"/>
        <v>0.16789379382064754</v>
      </c>
      <c r="L15" s="284">
        <v>0.124</v>
      </c>
    </row>
    <row r="16" spans="1:12" ht="6" customHeight="1">
      <c r="B16" s="246"/>
      <c r="C16" s="275"/>
      <c r="D16" s="275"/>
      <c r="E16" s="275"/>
      <c r="F16" s="275"/>
      <c r="G16" s="275"/>
      <c r="H16" s="246"/>
      <c r="I16" s="246"/>
      <c r="J16" s="260"/>
      <c r="K16" s="275"/>
      <c r="L16" s="267"/>
    </row>
    <row r="17" spans="1:12">
      <c r="A17" t="s">
        <v>78</v>
      </c>
      <c r="B17" s="257" t="s">
        <v>455</v>
      </c>
      <c r="C17" s="275"/>
      <c r="D17" s="275"/>
      <c r="E17" s="275"/>
      <c r="F17" s="275"/>
      <c r="G17" s="275"/>
      <c r="H17" s="246"/>
      <c r="I17" s="246"/>
      <c r="J17" s="260"/>
      <c r="K17" s="275"/>
      <c r="L17" s="267"/>
    </row>
    <row r="18" spans="1:12">
      <c r="B18" s="247" t="s">
        <v>103</v>
      </c>
      <c r="C18" s="293">
        <f>IFERROR('Historical FS'!H15,0)</f>
        <v>0.45426509086442762</v>
      </c>
      <c r="D18" s="293">
        <f>IFERROR('Historical FS'!I15,0)</f>
        <v>0.43848102401304379</v>
      </c>
      <c r="E18" s="293">
        <f>IFERROR('Historical FS'!J15,0)</f>
        <v>0.45991745797989614</v>
      </c>
      <c r="F18" s="299">
        <f>IFERROR('Historical FS'!K15,0)</f>
        <v>0.47497465845962877</v>
      </c>
      <c r="G18" s="293">
        <f>IFERROR('Historical FS'!L15,0)</f>
        <v>0.44945072802135433</v>
      </c>
      <c r="H18" s="248"/>
      <c r="I18" s="247"/>
      <c r="J18" s="258"/>
      <c r="K18" s="276">
        <f t="shared" ref="K18:K28" si="2">AVERAGE(C18:G18)</f>
        <v>0.45541779186767012</v>
      </c>
      <c r="L18" s="282" t="s">
        <v>79</v>
      </c>
    </row>
    <row r="19" spans="1:12">
      <c r="B19" s="249" t="s">
        <v>104</v>
      </c>
      <c r="C19" s="294">
        <f>IFERROR('Historical FS'!H24,0)</f>
        <v>0.39875653327567712</v>
      </c>
      <c r="D19" s="294">
        <f>IFERROR('Historical FS'!I24,0)</f>
        <v>0.37155645009427057</v>
      </c>
      <c r="E19" s="294">
        <f>IFERROR('Historical FS'!J24,0)</f>
        <v>0.39202312834792008</v>
      </c>
      <c r="F19" s="294">
        <f>IFERROR('Historical FS'!K24,0)</f>
        <v>0.41980223146873175</v>
      </c>
      <c r="G19" s="297">
        <f>IFERROR('Historical FS'!L24,0)</f>
        <v>0.57929361602924145</v>
      </c>
      <c r="H19" s="253"/>
      <c r="I19" s="249"/>
      <c r="J19" s="259"/>
      <c r="K19" s="274">
        <f t="shared" si="2"/>
        <v>0.43228639184316819</v>
      </c>
      <c r="L19" s="283" t="s">
        <v>79</v>
      </c>
    </row>
    <row r="20" spans="1:12">
      <c r="B20" s="249" t="s">
        <v>105</v>
      </c>
      <c r="C20" s="294">
        <f>IFERROR('Data Sheet'!G33/'Data Sheet'!G17,0)</f>
        <v>0.36534859193888436</v>
      </c>
      <c r="D20" s="294">
        <f>IFERROR('Data Sheet'!H33/'Data Sheet'!H17,0)</f>
        <v>0.34298982233190328</v>
      </c>
      <c r="E20" s="294">
        <f>IFERROR('Data Sheet'!I33/'Data Sheet'!I17,0)</f>
        <v>0.36651502424666554</v>
      </c>
      <c r="F20" s="294">
        <f>IFERROR('Data Sheet'!J33/'Data Sheet'!J17,0)</f>
        <v>0.39745560041417927</v>
      </c>
      <c r="G20" s="297">
        <f>IFERROR('Data Sheet'!K33/'Data Sheet'!K17,0)</f>
        <v>0.55743691132124518</v>
      </c>
      <c r="H20" s="253"/>
      <c r="I20" s="249"/>
      <c r="J20" s="259"/>
      <c r="K20" s="274">
        <f t="shared" si="2"/>
        <v>0.4059491900505755</v>
      </c>
      <c r="L20" s="283" t="s">
        <v>79</v>
      </c>
    </row>
    <row r="21" spans="1:12">
      <c r="B21" s="249" t="s">
        <v>106</v>
      </c>
      <c r="C21" s="294">
        <f>IFERROR('Historical FS'!H33,0)</f>
        <v>0.36417171412649252</v>
      </c>
      <c r="D21" s="294">
        <f>IFERROR('Historical FS'!I33,0)</f>
        <v>0.34200061538928306</v>
      </c>
      <c r="E21" s="294">
        <f>IFERROR('Historical FS'!J33,0)</f>
        <v>0.36541842154355458</v>
      </c>
      <c r="F21" s="294">
        <f>IFERROR('Historical FS'!K33,0)</f>
        <v>0.39687987712407446</v>
      </c>
      <c r="G21" s="297">
        <f>IFERROR('Historical FS'!L33,0)</f>
        <v>0.55683869037140421</v>
      </c>
      <c r="H21" s="253"/>
      <c r="I21" s="249"/>
      <c r="J21" s="259"/>
      <c r="K21" s="274">
        <f t="shared" si="2"/>
        <v>0.40506186371096176</v>
      </c>
      <c r="L21" s="283" t="s">
        <v>79</v>
      </c>
    </row>
    <row r="22" spans="1:12">
      <c r="B22" s="249" t="s">
        <v>107</v>
      </c>
      <c r="C22" s="294">
        <f>IFERROR('Historical FS'!H39,0)</f>
        <v>0.2716925053976606</v>
      </c>
      <c r="D22" s="294">
        <f>IFERROR('Historical FS'!I39,0)</f>
        <v>0.25563933702852709</v>
      </c>
      <c r="E22" s="294">
        <f>IFERROR('Historical FS'!J39,0)</f>
        <v>0.27463319788778828</v>
      </c>
      <c r="F22" s="294">
        <f>IFERROR('Historical FS'!K39,0)</f>
        <v>0.30547280115951347</v>
      </c>
      <c r="G22" s="297">
        <f>IFERROR('Historical FS'!L39,0)</f>
        <v>0.46536013936716036</v>
      </c>
      <c r="H22" s="253"/>
      <c r="I22" s="249"/>
      <c r="J22" s="259"/>
      <c r="K22" s="273">
        <f t="shared" si="2"/>
        <v>0.31455959616813001</v>
      </c>
      <c r="L22" s="284">
        <v>0.12</v>
      </c>
    </row>
    <row r="23" spans="1:12">
      <c r="B23" s="249" t="s">
        <v>108</v>
      </c>
      <c r="C23" s="274">
        <f>IFERROR('Historical FS'!H18,0)</f>
        <v>0.19757669863039692</v>
      </c>
      <c r="D23" s="274">
        <f>IFERROR('Historical FS'!I18,0)</f>
        <v>0.17526560021331414</v>
      </c>
      <c r="E23" s="274">
        <f>IFERROR('Historical FS'!J18,0)</f>
        <v>0.18047664712119141</v>
      </c>
      <c r="F23" s="297">
        <f>IFERROR('Historical FS'!K18,0)</f>
        <v>0.19846413908600319</v>
      </c>
      <c r="G23" s="274">
        <f>IFERROR('Historical FS'!L18,0)</f>
        <v>0.19326821031796845</v>
      </c>
      <c r="H23" s="254"/>
      <c r="I23" s="249"/>
      <c r="J23" s="259"/>
      <c r="K23" s="274">
        <f t="shared" si="2"/>
        <v>0.18901025907377483</v>
      </c>
      <c r="L23" s="283" t="s">
        <v>79</v>
      </c>
    </row>
    <row r="24" spans="1:12">
      <c r="B24" s="249" t="s">
        <v>66</v>
      </c>
      <c r="C24" s="297">
        <f>IFERROR('Historical FS'!H30,0)</f>
        <v>3.3407941336792708E-2</v>
      </c>
      <c r="D24" s="274">
        <f>IFERROR('Historical FS'!I30,0)</f>
        <v>2.8566627762367396E-2</v>
      </c>
      <c r="E24" s="274">
        <f>IFERROR('Historical FS'!J30,0)</f>
        <v>2.550810410125463E-2</v>
      </c>
      <c r="F24" s="274">
        <f>IFERROR('Historical FS'!K30,0)</f>
        <v>2.2346631054552542E-2</v>
      </c>
      <c r="G24" s="274">
        <f>IFERROR('Historical FS'!L30,0)</f>
        <v>2.1856704707996222E-2</v>
      </c>
      <c r="H24" s="254"/>
      <c r="I24" s="249"/>
      <c r="J24" s="259"/>
      <c r="K24" s="274">
        <f t="shared" si="2"/>
        <v>2.6337201792592701E-2</v>
      </c>
      <c r="L24" s="284" t="s">
        <v>79</v>
      </c>
    </row>
    <row r="25" spans="1:12">
      <c r="B25" s="249" t="s">
        <v>109</v>
      </c>
      <c r="C25" s="274">
        <f t="shared" ref="C25:G25" si="3">C20</f>
        <v>0.36534859193888436</v>
      </c>
      <c r="D25" s="274">
        <f t="shared" si="3"/>
        <v>0.34298982233190328</v>
      </c>
      <c r="E25" s="274">
        <f t="shared" si="3"/>
        <v>0.36651502424666554</v>
      </c>
      <c r="F25" s="274">
        <f t="shared" si="3"/>
        <v>0.39745560041417927</v>
      </c>
      <c r="G25" s="297">
        <f t="shared" si="3"/>
        <v>0.55743691132124518</v>
      </c>
      <c r="H25" s="254"/>
      <c r="I25" s="249"/>
      <c r="J25" s="259"/>
      <c r="K25" s="274">
        <f t="shared" si="2"/>
        <v>0.4059491900505755</v>
      </c>
      <c r="L25" s="282" t="s">
        <v>79</v>
      </c>
    </row>
    <row r="26" spans="1:12">
      <c r="B26" s="249" t="s">
        <v>110</v>
      </c>
      <c r="C26" s="274">
        <f>IFERROR(('Historical FS'!H23-'Historical FS'!H29)/SUM('Data Sheet'!G57:G59),0)</f>
        <v>0.29687699249251503</v>
      </c>
      <c r="D26" s="274">
        <f>IFERROR(('Historical FS'!I23-'Historical FS'!I29)/SUM('Data Sheet'!H57:H59),0)</f>
        <v>0.33171926772677324</v>
      </c>
      <c r="E26" s="274">
        <f>IFERROR(('Historical FS'!J23-'Historical FS'!J29)/SUM('Data Sheet'!I57:I59),0)</f>
        <v>0.37420678852828831</v>
      </c>
      <c r="F26" s="274">
        <f>IFERROR(('Historical FS'!K23-'Historical FS'!K29)/SUM('Data Sheet'!J57:J59),0)</f>
        <v>0.36091130608392441</v>
      </c>
      <c r="G26" s="297">
        <f>IFERROR(('Historical FS'!L23-'Historical FS'!L29)/SUM('Data Sheet'!K57:K59),0)</f>
        <v>0.59714505908375493</v>
      </c>
      <c r="H26" s="254"/>
      <c r="I26" s="249"/>
      <c r="J26" s="259"/>
      <c r="K26" s="274">
        <f t="shared" si="2"/>
        <v>0.39217188278305121</v>
      </c>
      <c r="L26" s="283" t="s">
        <v>79</v>
      </c>
    </row>
    <row r="27" spans="1:12">
      <c r="B27" s="249" t="s">
        <v>111</v>
      </c>
      <c r="C27" s="274">
        <f>IFERROR('Historical FS'!H49,0)</f>
        <v>1.1277094317516001E-2</v>
      </c>
      <c r="D27" s="274">
        <f>IFERROR('Historical FS'!I49,0)</f>
        <v>8.5874916871624962E-2</v>
      </c>
      <c r="E27" s="274">
        <f>IFERROR('Historical FS'!J49,0)</f>
        <v>1.0952562854525394E-2</v>
      </c>
      <c r="F27" s="274">
        <f>IFERROR('Historical FS'!K49,0)</f>
        <v>0.17275494232667166</v>
      </c>
      <c r="G27" s="297">
        <f>IFERROR('Historical FS'!L49,0)</f>
        <v>0.48769017199353659</v>
      </c>
      <c r="H27" s="254"/>
      <c r="I27" s="249"/>
      <c r="J27" s="259"/>
      <c r="K27" s="274">
        <f t="shared" si="2"/>
        <v>0.15370993767277491</v>
      </c>
      <c r="L27" s="283" t="s">
        <v>79</v>
      </c>
    </row>
    <row r="28" spans="1:12">
      <c r="B28" s="249" t="s">
        <v>112</v>
      </c>
      <c r="C28" s="274">
        <f>IFERROR('Historical FS'!H38/SUM('Data Sheet'!G57:G58),0)</f>
        <v>0.22176420700564428</v>
      </c>
      <c r="D28" s="274">
        <f>IFERROR('Historical FS'!I38/SUM('Data Sheet'!H57:H58),0)</f>
        <v>0.24822653928224486</v>
      </c>
      <c r="E28" s="274">
        <f>IFERROR('Historical FS'!J38/SUM('Data Sheet'!I57:I58),0)</f>
        <v>0.28163757897808483</v>
      </c>
      <c r="F28" s="274">
        <f>IFERROR('Historical FS'!K38/SUM('Data Sheet'!J57:J58),0)</f>
        <v>0.27851557571771779</v>
      </c>
      <c r="G28" s="297">
        <f>IFERROR('Historical FS'!L38/SUM('Data Sheet'!K57:K58),0)</f>
        <v>0.50053484182861507</v>
      </c>
      <c r="H28" s="254"/>
      <c r="I28" s="249"/>
      <c r="J28" s="259"/>
      <c r="K28" s="281">
        <f t="shared" si="2"/>
        <v>0.3061357485624614</v>
      </c>
      <c r="L28" s="285">
        <v>0.35</v>
      </c>
    </row>
    <row r="29" spans="1:12" ht="6" customHeight="1">
      <c r="B29" s="246"/>
      <c r="C29" s="275"/>
      <c r="D29" s="275"/>
      <c r="E29" s="275"/>
      <c r="F29" s="275"/>
      <c r="G29" s="275"/>
      <c r="H29" s="246"/>
      <c r="I29" s="246"/>
      <c r="J29" s="260"/>
      <c r="K29" s="275"/>
    </row>
    <row r="30" spans="1:12">
      <c r="A30" t="s">
        <v>78</v>
      </c>
      <c r="B30" s="257" t="s">
        <v>456</v>
      </c>
      <c r="C30" s="275"/>
      <c r="D30" s="275"/>
      <c r="E30" s="275"/>
      <c r="F30" s="275"/>
      <c r="G30" s="275"/>
      <c r="H30" s="246"/>
      <c r="I30" s="246"/>
      <c r="J30" s="260"/>
      <c r="K30" s="275"/>
    </row>
    <row r="31" spans="1:12">
      <c r="B31" s="249" t="s">
        <v>114</v>
      </c>
      <c r="C31" s="277">
        <f>IFERROR(('Historical FS'!H23-'Historical FS'!H29)/'Historical FS'!H26,0)</f>
        <v>310.4388476798344</v>
      </c>
      <c r="D31" s="277">
        <f>IFERROR(('Historical FS'!I23-'Historical FS'!I29)/'Historical FS'!I26,0)</f>
        <v>346.73212202033665</v>
      </c>
      <c r="E31" s="277">
        <f>IFERROR(('Historical FS'!J23-'Historical FS'!J29)/'Historical FS'!J26,0)</f>
        <v>334.22772277227722</v>
      </c>
      <c r="F31" s="277">
        <f>IFERROR(('Historical FS'!K23-'Historical FS'!K29)/'Historical FS'!K26,0)</f>
        <v>690.35873178215297</v>
      </c>
      <c r="G31" s="295">
        <f>IFERROR(('Historical FS'!L23-'Historical FS'!L29)/'Historical FS'!L26,0)</f>
        <v>931.82445628051482</v>
      </c>
      <c r="H31" s="250"/>
      <c r="I31" s="249"/>
      <c r="J31" s="261"/>
      <c r="K31" s="286">
        <f>AVERAGE(C31:G31)</f>
        <v>522.71637610702328</v>
      </c>
      <c r="L31" s="261">
        <v>10</v>
      </c>
    </row>
    <row r="32" spans="1:12" ht="6" customHeight="1">
      <c r="B32" s="246"/>
      <c r="C32" s="275"/>
      <c r="D32" s="275"/>
      <c r="E32" s="275"/>
      <c r="F32" s="275"/>
      <c r="G32" s="275"/>
      <c r="H32" s="246"/>
      <c r="I32" s="246"/>
      <c r="J32" s="262"/>
      <c r="K32" s="278"/>
    </row>
    <row r="33" spans="1:13">
      <c r="A33" t="s">
        <v>78</v>
      </c>
      <c r="B33" s="257" t="s">
        <v>457</v>
      </c>
      <c r="C33" s="275"/>
      <c r="D33" s="275"/>
      <c r="E33" s="275"/>
      <c r="F33" s="275"/>
      <c r="G33" s="275"/>
      <c r="H33" s="246"/>
      <c r="I33" s="246"/>
      <c r="J33" s="262"/>
      <c r="K33" s="278"/>
    </row>
    <row r="34" spans="1:13">
      <c r="B34" s="247" t="s">
        <v>115</v>
      </c>
      <c r="C34" s="279">
        <f>IFERROR('Historical FS'!H8/'Historical FS'!H64,0)</f>
        <v>19.689591078066915</v>
      </c>
      <c r="D34" s="296">
        <f>IFERROR('Historical FS'!I8/'Historical FS'!I64,0)</f>
        <v>24.633226369876922</v>
      </c>
      <c r="E34" s="279">
        <f>IFERROR('Historical FS'!J8/'Historical FS'!J64,0)</f>
        <v>23.990173095593285</v>
      </c>
      <c r="F34" s="279">
        <f>IFERROR('Historical FS'!K8/'Historical FS'!K64,0)</f>
        <v>16.874062923826699</v>
      </c>
      <c r="G34" s="279">
        <f>IFERROR('Historical FS'!L8/'Historical FS'!L64,0)</f>
        <v>15.959450554805738</v>
      </c>
      <c r="H34" s="251"/>
      <c r="I34" s="247"/>
      <c r="J34" s="263"/>
      <c r="K34" s="287">
        <f t="shared" ref="K34:K39" si="4">AVERAGE(C34:G34)</f>
        <v>20.229300804433912</v>
      </c>
      <c r="L34" s="263">
        <v>45.62</v>
      </c>
    </row>
    <row r="35" spans="1:13">
      <c r="B35" s="249" t="s">
        <v>116</v>
      </c>
      <c r="C35" s="277">
        <f>IFERROR('Historical FS'!H8/'Historical FS'!H55,0)</f>
        <v>3.7479256371841467</v>
      </c>
      <c r="D35" s="277">
        <f>IFERROR('Historical FS'!I8/'Historical FS'!I55,0)</f>
        <v>4.1849767545533405</v>
      </c>
      <c r="E35" s="295">
        <f>IFERROR('Historical FS'!J8/'Historical FS'!J55,0)</f>
        <v>4.3323459375454343</v>
      </c>
      <c r="F35" s="277">
        <f>IFERROR('Historical FS'!K8/'Historical FS'!K55,0)</f>
        <v>4.0093121036099895</v>
      </c>
      <c r="G35" s="277">
        <f>IFERROR('Historical FS'!L8/'Historical FS'!L55,0)</f>
        <v>4.2584165295218082</v>
      </c>
      <c r="H35" s="250"/>
      <c r="I35" s="249"/>
      <c r="J35" s="261"/>
      <c r="K35" s="286">
        <f t="shared" si="4"/>
        <v>4.1065953924829444</v>
      </c>
      <c r="L35" s="263">
        <v>5.04</v>
      </c>
    </row>
    <row r="36" spans="1:13">
      <c r="B36" s="249" t="s">
        <v>117</v>
      </c>
      <c r="C36" s="277">
        <f>IFERROR('Historical FS'!H11/'Historical FS'!H65,0)</f>
        <v>2.5854666081891593</v>
      </c>
      <c r="D36" s="277">
        <f>IFERROR('Historical FS'!I11/'Historical FS'!I65,0)</f>
        <v>3.1344430995521977</v>
      </c>
      <c r="E36" s="295">
        <f>IFERROR('Historical FS'!J11/'Historical FS'!J65,0)</f>
        <v>3.2538959626748771</v>
      </c>
      <c r="F36" s="277">
        <f>IFERROR('Historical FS'!K11/'Historical FS'!K65,0)</f>
        <v>2.5200517491846188</v>
      </c>
      <c r="G36" s="277">
        <f>IFERROR('Historical FS'!L11/'Historical FS'!L65,0)</f>
        <v>2.6518977385218667</v>
      </c>
      <c r="H36" s="250"/>
      <c r="I36" s="249"/>
      <c r="J36" s="261"/>
      <c r="K36" s="288">
        <f t="shared" si="4"/>
        <v>2.8291510316245434</v>
      </c>
      <c r="L36" s="263">
        <v>3</v>
      </c>
    </row>
    <row r="37" spans="1:13">
      <c r="B37" s="249" t="s">
        <v>118</v>
      </c>
      <c r="C37" s="277">
        <f>IFERROR('Historical FS'!H8/'Historical FS'!H58,0)</f>
        <v>2.1141915695787881</v>
      </c>
      <c r="D37" s="277">
        <f>IFERROR('Historical FS'!I8/'Historical FS'!I58,0)</f>
        <v>2.5027057654904197</v>
      </c>
      <c r="E37" s="277">
        <f>IFERROR('Historical FS'!J8/'Historical FS'!J58,0)</f>
        <v>2.7433480057266046</v>
      </c>
      <c r="F37" s="277">
        <f>IFERROR('Historical FS'!K8/'Historical FS'!K58,0)</f>
        <v>2.4418189360112894</v>
      </c>
      <c r="G37" s="295">
        <f>IFERROR('Historical FS'!L8/'Historical FS'!L58,0)</f>
        <v>3.4308291789741219</v>
      </c>
      <c r="H37" s="250"/>
      <c r="I37" s="249"/>
      <c r="J37" s="261"/>
      <c r="K37" s="277">
        <f t="shared" si="4"/>
        <v>2.6465786911562446</v>
      </c>
      <c r="L37" s="270" t="s">
        <v>79</v>
      </c>
    </row>
    <row r="38" spans="1:13">
      <c r="B38" s="249" t="s">
        <v>124</v>
      </c>
      <c r="C38" s="294">
        <f>IFERROR('Historical FS'!H$75/'Historical FS'!H8,0)</f>
        <v>0.25431625063822832</v>
      </c>
      <c r="D38" s="294">
        <f>IFERROR('Historical FS'!I$75/'Historical FS'!I8,0)</f>
        <v>0.26013075538210034</v>
      </c>
      <c r="E38" s="297">
        <f>IFERROR('Historical FS'!J$75/'Historical FS'!J8,0)</f>
        <v>0.26618454877343922</v>
      </c>
      <c r="F38" s="294">
        <f>IFERROR('Historical FS'!K$75/'Historical FS'!K8,0)</f>
        <v>0.25288340065071013</v>
      </c>
      <c r="G38" s="294">
        <f>IFERROR('Historical FS'!L$75/'Historical FS'!L8,0)</f>
        <v>0.23401830030373058</v>
      </c>
      <c r="H38" s="253"/>
      <c r="I38" s="249"/>
      <c r="J38" s="259"/>
      <c r="K38" s="274">
        <f t="shared" si="4"/>
        <v>0.25350665114964172</v>
      </c>
      <c r="L38" s="270" t="s">
        <v>79</v>
      </c>
    </row>
    <row r="39" spans="1:13">
      <c r="B39" s="249" t="s">
        <v>119</v>
      </c>
      <c r="C39" s="277">
        <f>IFERROR('Historical FS'!H8/SUM('Historical FS'!H52:H53),0)</f>
        <v>0.81623233103563475</v>
      </c>
      <c r="D39" s="277">
        <f>IFERROR('Historical FS'!I8/SUM('Historical FS'!I52:I53),0)</f>
        <v>0.97100290654620558</v>
      </c>
      <c r="E39" s="277">
        <f>IFERROR('Historical FS'!J8/SUM('Historical FS'!J52:J53),0)</f>
        <v>1.0255044952473606</v>
      </c>
      <c r="F39" s="277">
        <f>IFERROR('Historical FS'!K8/SUM('Historical FS'!K52:K53),0)</f>
        <v>0.91175245278967076</v>
      </c>
      <c r="G39" s="295">
        <f>IFERROR('Historical FS'!L8/SUM('Historical FS'!L52:L53),0)</f>
        <v>1.075585980589761</v>
      </c>
      <c r="H39" s="250"/>
      <c r="I39" s="249"/>
      <c r="J39" s="261"/>
      <c r="K39" s="277">
        <f t="shared" si="4"/>
        <v>0.96001563324172656</v>
      </c>
      <c r="L39" s="270" t="s">
        <v>79</v>
      </c>
    </row>
    <row r="40" spans="1:13" ht="6" customHeight="1">
      <c r="B40" s="246"/>
      <c r="C40" s="275"/>
      <c r="D40" s="275"/>
      <c r="E40" s="275"/>
      <c r="F40" s="275"/>
      <c r="G40" s="275"/>
      <c r="H40" s="246"/>
      <c r="I40" s="246"/>
      <c r="J40" s="262"/>
      <c r="K40" s="278"/>
    </row>
    <row r="41" spans="1:13">
      <c r="A41" t="s">
        <v>78</v>
      </c>
      <c r="B41" s="257" t="s">
        <v>458</v>
      </c>
      <c r="C41" s="275"/>
      <c r="D41" s="275"/>
      <c r="E41" s="275"/>
      <c r="F41" s="275"/>
      <c r="G41" s="275"/>
      <c r="H41" s="246"/>
      <c r="I41" s="246"/>
      <c r="J41" s="262"/>
      <c r="K41" s="278"/>
    </row>
    <row r="42" spans="1:13">
      <c r="B42" s="247" t="s">
        <v>120</v>
      </c>
      <c r="C42" s="280">
        <f t="shared" ref="C42:G42" si="5">365/C34</f>
        <v>18.537713584442557</v>
      </c>
      <c r="D42" s="280">
        <f t="shared" si="5"/>
        <v>14.817385044061677</v>
      </c>
      <c r="E42" s="280">
        <f t="shared" si="5"/>
        <v>15.214563002342249</v>
      </c>
      <c r="F42" s="280">
        <f t="shared" si="5"/>
        <v>21.630830799179297</v>
      </c>
      <c r="G42" s="298">
        <f t="shared" si="5"/>
        <v>22.870461532906003</v>
      </c>
      <c r="H42" s="252"/>
      <c r="I42" s="247"/>
      <c r="J42" s="264"/>
      <c r="K42" s="289">
        <f>AVERAGE(C42:G42)</f>
        <v>18.614190792586356</v>
      </c>
      <c r="L42" s="264">
        <f>365/L34</f>
        <v>8.0008768084173614</v>
      </c>
    </row>
    <row r="43" spans="1:13">
      <c r="B43" s="249" t="s">
        <v>121</v>
      </c>
      <c r="C43" s="268">
        <f t="shared" ref="C43:G43" si="6">365/C35</f>
        <v>97.387204372130526</v>
      </c>
      <c r="D43" s="269">
        <f t="shared" si="6"/>
        <v>87.216732949083294</v>
      </c>
      <c r="E43" s="269">
        <f t="shared" si="6"/>
        <v>84.249966475852816</v>
      </c>
      <c r="F43" s="269">
        <f t="shared" si="6"/>
        <v>91.038061035795536</v>
      </c>
      <c r="G43" s="269">
        <f t="shared" si="6"/>
        <v>85.712611124254465</v>
      </c>
      <c r="H43" s="255"/>
      <c r="I43" s="249"/>
      <c r="J43" s="265"/>
      <c r="K43" s="290">
        <f>AVERAGE(C43:G43)</f>
        <v>89.120915191423336</v>
      </c>
      <c r="L43" s="264">
        <f t="shared" ref="L43:L44" si="7">365/L35</f>
        <v>72.420634920634924</v>
      </c>
    </row>
    <row r="44" spans="1:13">
      <c r="B44" s="249" t="s">
        <v>122</v>
      </c>
      <c r="C44" s="269">
        <f t="shared" ref="C44:G44" si="8">365/C36</f>
        <v>141.17374358806481</v>
      </c>
      <c r="D44" s="269">
        <f t="shared" si="8"/>
        <v>116.44811802522297</v>
      </c>
      <c r="E44" s="269">
        <f t="shared" si="8"/>
        <v>112.1732237867711</v>
      </c>
      <c r="F44" s="268">
        <f t="shared" si="8"/>
        <v>144.83829553027965</v>
      </c>
      <c r="G44" s="269">
        <f t="shared" si="8"/>
        <v>137.63728317949631</v>
      </c>
      <c r="H44" s="255"/>
      <c r="I44" s="249"/>
      <c r="J44" s="265"/>
      <c r="K44" s="291">
        <f>AVERAGE(C44:G44)</f>
        <v>130.45413282196697</v>
      </c>
      <c r="L44" s="264">
        <f t="shared" si="7"/>
        <v>121.66666666666667</v>
      </c>
    </row>
    <row r="45" spans="1:13">
      <c r="B45" s="249" t="s">
        <v>123</v>
      </c>
      <c r="C45" s="269">
        <f t="shared" ref="C45:G45" si="9">(C42+C44)-C43</f>
        <v>62.324252800376854</v>
      </c>
      <c r="D45" s="269">
        <f t="shared" si="9"/>
        <v>44.048770120201354</v>
      </c>
      <c r="E45" s="269">
        <f t="shared" si="9"/>
        <v>43.137820313260534</v>
      </c>
      <c r="F45" s="268">
        <f t="shared" si="9"/>
        <v>75.431065293663423</v>
      </c>
      <c r="G45" s="269">
        <f t="shared" si="9"/>
        <v>74.795133588147849</v>
      </c>
      <c r="H45" s="255"/>
      <c r="I45" s="249"/>
      <c r="J45" s="265"/>
      <c r="K45" s="269">
        <f>AVERAGE(C45:G45)</f>
        <v>59.94740842313</v>
      </c>
      <c r="L45" s="264">
        <f t="shared" ref="L45" si="10">(L42+L44)-L43</f>
        <v>57.246908554449121</v>
      </c>
    </row>
    <row r="46" spans="1:13" ht="6" customHeight="1">
      <c r="B46" s="246"/>
      <c r="C46" s="275"/>
      <c r="D46" s="275"/>
      <c r="E46" s="275"/>
      <c r="F46" s="275"/>
      <c r="G46" s="275"/>
      <c r="H46" s="246"/>
      <c r="I46" s="246"/>
      <c r="J46" s="262"/>
      <c r="K46" s="278"/>
    </row>
    <row r="47" spans="1:13">
      <c r="A47" t="s">
        <v>78</v>
      </c>
      <c r="B47" s="257" t="s">
        <v>459</v>
      </c>
      <c r="C47" s="275"/>
      <c r="D47" s="275"/>
      <c r="E47" s="275"/>
      <c r="F47" s="275"/>
      <c r="G47" s="275"/>
      <c r="H47" s="246"/>
      <c r="I47" s="246"/>
      <c r="J47" s="260"/>
      <c r="K47" s="275"/>
      <c r="M47" s="183"/>
    </row>
    <row r="48" spans="1:13">
      <c r="B48" s="247" t="s">
        <v>125</v>
      </c>
      <c r="C48" s="293">
        <f>IFERROR('Historical FS'!H$75/'Historical FS'!H69,0)</f>
        <v>0.16983244207353612</v>
      </c>
      <c r="D48" s="293">
        <f>IFERROR('Historical FS'!I$75/'Historical FS'!I69,0)</f>
        <v>0.20435651993457693</v>
      </c>
      <c r="E48" s="299">
        <f>IFERROR('Historical FS'!J$75/'Historical FS'!J69,0)</f>
        <v>0.21993870277112126</v>
      </c>
      <c r="F48" s="293">
        <f>IFERROR('Historical FS'!K$75/'Historical FS'!K69,0)</f>
        <v>0.18722743005016568</v>
      </c>
      <c r="G48" s="293">
        <f>IFERROR('Historical FS'!L$75/'Historical FS'!L69,0)</f>
        <v>0.2003011271245087</v>
      </c>
      <c r="H48" s="248"/>
      <c r="I48" s="247"/>
      <c r="J48" s="258"/>
      <c r="K48" s="276">
        <f>AVERAGE(C48:G48)</f>
        <v>0.19633124439078173</v>
      </c>
      <c r="L48" s="271" t="s">
        <v>79</v>
      </c>
      <c r="M48" s="183"/>
    </row>
    <row r="49" spans="2:13">
      <c r="B49" s="249" t="s">
        <v>126</v>
      </c>
      <c r="C49" s="277">
        <f>IFERROR('Historical FS'!H$75/'Historical FS'!H54,0)</f>
        <v>46.253996972270429</v>
      </c>
      <c r="D49" s="295">
        <f>IFERROR('Historical FS'!I$75/'Historical FS'!I54,0)</f>
        <v>63.243705901218732</v>
      </c>
      <c r="E49" s="277">
        <f>IFERROR('Historical FS'!J$75/'Historical FS'!J54,0)</f>
        <v>61.683276695856748</v>
      </c>
      <c r="F49" s="277">
        <f>IFERROR('Historical FS'!K$75/'Historical FS'!K54,0)</f>
        <v>56.615562073624886</v>
      </c>
      <c r="G49" s="277">
        <f>IFERROR('Historical FS'!L$75/'Historical FS'!L54,0)</f>
        <v>61.94925142334997</v>
      </c>
      <c r="H49" s="250"/>
      <c r="I49" s="249"/>
      <c r="J49" s="261"/>
      <c r="K49" s="277">
        <f>AVERAGE(C49:G49)</f>
        <v>57.949158613264146</v>
      </c>
      <c r="L49" s="271" t="s">
        <v>79</v>
      </c>
      <c r="M49" s="183"/>
    </row>
    <row r="51" spans="2:13">
      <c r="B51" s="183"/>
    </row>
    <row r="52" spans="2:13">
      <c r="B52" s="183"/>
    </row>
    <row r="53" spans="2:13">
      <c r="B53" s="183"/>
    </row>
    <row r="54" spans="2:13">
      <c r="B54" s="183"/>
    </row>
    <row r="55" spans="2:13">
      <c r="B55" s="183"/>
    </row>
    <row r="56" spans="2:13">
      <c r="B56" s="183"/>
    </row>
    <row r="57" spans="2:13">
      <c r="B57" s="183"/>
    </row>
    <row r="58" spans="2:13">
      <c r="B58" s="183"/>
    </row>
    <row r="59" spans="2:13">
      <c r="B59" s="183"/>
    </row>
    <row r="60" spans="2:13">
      <c r="B60" s="183"/>
    </row>
    <row r="61" spans="2:13">
      <c r="B61" s="183"/>
    </row>
    <row r="62" spans="2:13">
      <c r="B62" s="183"/>
    </row>
    <row r="63" spans="2:13">
      <c r="B63" s="183"/>
    </row>
  </sheetData>
  <mergeCells count="1">
    <mergeCell ref="D5:G5"/>
  </mergeCells>
  <pageMargins left="0.7" right="0.7" top="0.75" bottom="0.75" header="0.3" footer="0.3"/>
  <pageSetup orientation="portrait" r:id="rId1"/>
  <ignoredErrors>
    <ignoredError sqref="C26:G26 C28:G28" formulaRange="1"/>
  </ignoredErrors>
  <extLst>
    <ext xmlns:x14="http://schemas.microsoft.com/office/spreadsheetml/2009/9/main" uri="{05C60535-1F16-4fd2-B633-F4F36F0B64E0}">
      <x14:sparklineGroups xmlns:xm="http://schemas.microsoft.com/office/excel/2006/main">
        <x14:sparklineGroup type="column" displayEmptyCellsAs="gap" markers="1" high="1" negative="1" xr2:uid="{00000000-0003-0000-0300-000001000000}">
          <x14:colorSeries theme="8" tint="0.39997558519241921"/>
          <x14:colorNegative theme="0" tint="-0.499984740745262"/>
          <x14:colorAxis rgb="FF000000"/>
          <x14:colorMarkers theme="8" tint="0.79998168889431442"/>
          <x14:colorFirst theme="8" tint="-0.249977111117893"/>
          <x14:colorLast theme="8" tint="-0.249977111117893"/>
          <x14:colorHigh theme="8" tint="-0.499984740745262"/>
          <x14:colorLow theme="8" tint="-0.499984740745262"/>
          <x14:sparklines>
            <x14:sparkline>
              <xm:f>Ratios!C18:G18</xm:f>
              <xm:sqref>I18</xm:sqref>
            </x14:sparkline>
            <x14:sparkline>
              <xm:f>Ratios!C19:G19</xm:f>
              <xm:sqref>I19</xm:sqref>
            </x14:sparkline>
            <x14:sparkline>
              <xm:f>Ratios!C20:G20</xm:f>
              <xm:sqref>I20</xm:sqref>
            </x14:sparkline>
            <x14:sparkline>
              <xm:f>Ratios!C21:G21</xm:f>
              <xm:sqref>I21</xm:sqref>
            </x14:sparkline>
            <x14:sparkline>
              <xm:f>Ratios!C22:G22</xm:f>
              <xm:sqref>I22</xm:sqref>
            </x14:sparkline>
            <x14:sparkline>
              <xm:f>Ratios!C23:G23</xm:f>
              <xm:sqref>I23</xm:sqref>
            </x14:sparkline>
            <x14:sparkline>
              <xm:f>Ratios!C24:G24</xm:f>
              <xm:sqref>I24</xm:sqref>
            </x14:sparkline>
            <x14:sparkline>
              <xm:f>Ratios!C25:G25</xm:f>
              <xm:sqref>I25</xm:sqref>
            </x14:sparkline>
            <x14:sparkline>
              <xm:f>Ratios!C26:G26</xm:f>
              <xm:sqref>I26</xm:sqref>
            </x14:sparkline>
            <x14:sparkline>
              <xm:f>Ratios!C27:G27</xm:f>
              <xm:sqref>I27</xm:sqref>
            </x14:sparkline>
            <x14:sparkline>
              <xm:f>Ratios!C28:G28</xm:f>
              <xm:sqref>I28</xm:sqref>
            </x14:sparkline>
            <x14:sparkline>
              <xm:f>Ratios!C31:G31</xm:f>
              <xm:sqref>I31</xm:sqref>
            </x14:sparkline>
            <x14:sparkline>
              <xm:f>Ratios!C32:G32</xm:f>
              <xm:sqref>I32</xm:sqref>
            </x14:sparkline>
            <x14:sparkline>
              <xm:f>Ratios!C33:G33</xm:f>
              <xm:sqref>I33</xm:sqref>
            </x14:sparkline>
            <x14:sparkline>
              <xm:f>Ratios!C34:G34</xm:f>
              <xm:sqref>I34</xm:sqref>
            </x14:sparkline>
            <x14:sparkline>
              <xm:f>Ratios!C35:G35</xm:f>
              <xm:sqref>I35</xm:sqref>
            </x14:sparkline>
            <x14:sparkline>
              <xm:f>Ratios!C36:G36</xm:f>
              <xm:sqref>I36</xm:sqref>
            </x14:sparkline>
            <x14:sparkline>
              <xm:f>Ratios!C37:G37</xm:f>
              <xm:sqref>I37</xm:sqref>
            </x14:sparkline>
            <x14:sparkline>
              <xm:f>Ratios!C39:G39</xm:f>
              <xm:sqref>I39</xm:sqref>
            </x14:sparkline>
            <x14:sparkline>
              <xm:f>Ratios!C40:G40</xm:f>
              <xm:sqref>I40</xm:sqref>
            </x14:sparkline>
            <x14:sparkline>
              <xm:f>Ratios!C41:G41</xm:f>
              <xm:sqref>I41</xm:sqref>
            </x14:sparkline>
            <x14:sparkline>
              <xm:f>Ratios!C42:G42</xm:f>
              <xm:sqref>I42</xm:sqref>
            </x14:sparkline>
            <x14:sparkline>
              <xm:f>Ratios!C43:G43</xm:f>
              <xm:sqref>I43</xm:sqref>
            </x14:sparkline>
            <x14:sparkline>
              <xm:f>Ratios!C44:G44</xm:f>
              <xm:sqref>I44</xm:sqref>
            </x14:sparkline>
            <x14:sparkline>
              <xm:f>Ratios!C45:G45</xm:f>
              <xm:sqref>I45</xm:sqref>
            </x14:sparkline>
            <x14:sparkline>
              <xm:f>Ratios!C46:G46</xm:f>
              <xm:sqref>I46</xm:sqref>
            </x14:sparkline>
            <x14:sparkline>
              <xm:f>Ratios!C38:G38</xm:f>
              <xm:sqref>I38</xm:sqref>
            </x14:sparkline>
            <x14:sparkline>
              <xm:f>Ratios!C48:G48</xm:f>
              <xm:sqref>I48</xm:sqref>
            </x14:sparkline>
            <x14:sparkline>
              <xm:f>Ratios!C49:G49</xm:f>
              <xm:sqref>I49</xm:sqref>
            </x14:sparkline>
          </x14:sparklines>
        </x14:sparklineGroup>
        <x14:sparklineGroup displayEmptyCellsAs="gap" markers="1" xr2:uid="{00000000-0003-0000-0300-000000000000}">
          <x14:colorSeries rgb="FF000000"/>
          <x14:colorNegative rgb="FF0070C0"/>
          <x14:colorAxis rgb="FF000000"/>
          <x14:colorMarkers rgb="FF0070C0"/>
          <x14:colorFirst rgb="FF0070C0"/>
          <x14:colorLast rgb="FF0070C0"/>
          <x14:colorHigh rgb="FF0070C0"/>
          <x14:colorLow rgb="FF0070C0"/>
          <x14:sparklines>
            <x14:sparkline>
              <xm:f>Ratios!C9:G9</xm:f>
              <xm:sqref>I9</xm:sqref>
            </x14:sparkline>
            <x14:sparkline>
              <xm:f>Ratios!C10:G10</xm:f>
              <xm:sqref>I10</xm:sqref>
            </x14:sparkline>
            <x14:sparkline>
              <xm:f>Ratios!C11:G11</xm:f>
              <xm:sqref>I11</xm:sqref>
            </x14:sparkline>
            <x14:sparkline>
              <xm:f>Ratios!C12:G12</xm:f>
              <xm:sqref>I12</xm:sqref>
            </x14:sparkline>
            <x14:sparkline>
              <xm:f>Ratios!C13:G13</xm:f>
              <xm:sqref>I13</xm:sqref>
            </x14:sparkline>
            <x14:sparkline>
              <xm:f>Ratios!C14:G14</xm:f>
              <xm:sqref>I14</xm:sqref>
            </x14:sparkline>
            <x14:sparkline>
              <xm:f>Ratios!C15:G15</xm:f>
              <xm:sqref>I15</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40"/>
  <sheetViews>
    <sheetView showGridLines="0" workbookViewId="0">
      <selection activeCell="J37" sqref="J37"/>
    </sheetView>
  </sheetViews>
  <sheetFormatPr defaultRowHeight="15"/>
  <cols>
    <col min="1" max="1" width="1.85546875" style="3" customWidth="1"/>
    <col min="2" max="2" width="23" style="3" customWidth="1"/>
    <col min="3" max="3" width="11" style="3" customWidth="1"/>
    <col min="4" max="4" width="13.85546875" style="3" customWidth="1"/>
    <col min="5" max="5" width="14.42578125" style="3" customWidth="1"/>
    <col min="6" max="6" width="11.7109375" style="3" bestFit="1" customWidth="1"/>
    <col min="7" max="7" width="10.140625" style="3" customWidth="1"/>
    <col min="8" max="8" width="12" style="3" bestFit="1" customWidth="1"/>
    <col min="9" max="9" width="11.7109375" style="3" bestFit="1" customWidth="1"/>
    <col min="10" max="10" width="12" style="3" bestFit="1" customWidth="1"/>
    <col min="11" max="11" width="12.42578125" style="3" bestFit="1" customWidth="1"/>
    <col min="12" max="12" width="20.5703125" style="3" bestFit="1" customWidth="1"/>
    <col min="13" max="16384" width="9.140625" style="3"/>
  </cols>
  <sheetData>
    <row r="1" spans="2:12" ht="9.75" customHeight="1"/>
    <row r="2" spans="2:12" ht="18.75">
      <c r="B2" s="18" t="s">
        <v>133</v>
      </c>
      <c r="C2" s="19"/>
      <c r="D2" s="19"/>
      <c r="E2" s="19"/>
      <c r="F2" s="19"/>
      <c r="G2" s="19"/>
      <c r="H2" s="19"/>
      <c r="I2" s="19"/>
      <c r="J2" s="19"/>
    </row>
    <row r="3" spans="2:12">
      <c r="B3" s="20" t="str">
        <f>'Data Sheet'!B1</f>
        <v>ITC LTD</v>
      </c>
      <c r="C3" s="19"/>
      <c r="D3" s="19"/>
      <c r="E3" s="19"/>
      <c r="F3" s="19"/>
      <c r="G3" s="19"/>
      <c r="H3" s="19"/>
      <c r="I3" s="19"/>
      <c r="J3" s="19"/>
    </row>
    <row r="4" spans="2:12" ht="3.75" customHeight="1"/>
    <row r="5" spans="2:12">
      <c r="B5" s="39" t="s">
        <v>134</v>
      </c>
    </row>
    <row r="6" spans="2:12" ht="4.5" customHeight="1"/>
    <row r="7" spans="2:12">
      <c r="B7" s="97" t="s">
        <v>436</v>
      </c>
      <c r="C7" s="19"/>
      <c r="D7" s="19"/>
      <c r="E7" s="19"/>
      <c r="F7" s="19"/>
      <c r="G7" s="19"/>
      <c r="H7" s="19"/>
      <c r="I7" s="19"/>
      <c r="J7" s="19"/>
    </row>
    <row r="8" spans="2:12">
      <c r="B8" s="26"/>
      <c r="C8" s="26"/>
      <c r="D8" s="26"/>
      <c r="E8" s="26"/>
      <c r="F8" s="315"/>
      <c r="G8" s="315" t="s">
        <v>135</v>
      </c>
      <c r="H8" s="315" t="s">
        <v>135</v>
      </c>
      <c r="I8" s="315" t="s">
        <v>136</v>
      </c>
      <c r="J8" s="315" t="s">
        <v>137</v>
      </c>
      <c r="L8" s="170"/>
    </row>
    <row r="9" spans="2:12" ht="17.25">
      <c r="B9" s="220" t="s">
        <v>131</v>
      </c>
      <c r="C9" s="220" t="s">
        <v>138</v>
      </c>
      <c r="D9" s="221" t="s">
        <v>139</v>
      </c>
      <c r="E9" s="221" t="s">
        <v>140</v>
      </c>
      <c r="F9" s="221" t="s">
        <v>448</v>
      </c>
      <c r="G9" s="221" t="s">
        <v>141</v>
      </c>
      <c r="H9" s="221" t="s">
        <v>142</v>
      </c>
      <c r="I9" s="221" t="s">
        <v>449</v>
      </c>
      <c r="J9" s="221" t="s">
        <v>450</v>
      </c>
      <c r="L9" s="170"/>
    </row>
    <row r="10" spans="2:12">
      <c r="B10" s="41"/>
      <c r="C10" s="41"/>
      <c r="D10" s="42"/>
      <c r="E10" s="42"/>
      <c r="F10" s="42"/>
      <c r="G10" s="42"/>
      <c r="H10" s="42"/>
      <c r="I10" s="42"/>
      <c r="J10" s="42"/>
      <c r="L10" s="170"/>
    </row>
    <row r="11" spans="2:12">
      <c r="B11" s="43" t="str">
        <f>'WACC Data'!C4</f>
        <v>ITC</v>
      </c>
      <c r="C11" s="44" t="s">
        <v>143</v>
      </c>
      <c r="D11" s="45">
        <f>'WACC Data'!D4</f>
        <v>285</v>
      </c>
      <c r="E11" s="45">
        <f>'WACC Data'!E4</f>
        <v>519668</v>
      </c>
      <c r="F11" s="46">
        <v>0.3</v>
      </c>
      <c r="G11" s="47">
        <f>D11/E11</f>
        <v>5.4842707266947361E-4</v>
      </c>
      <c r="H11" s="47">
        <f>D11/SUM(D11:E11)</f>
        <v>5.4812646527666921E-4</v>
      </c>
      <c r="I11" s="48">
        <f>'Beta - Regression'!J7</f>
        <v>0.49821386006925888</v>
      </c>
      <c r="J11" s="49">
        <f>I11/1+(1-F11)*G11</f>
        <v>0.49859775902012754</v>
      </c>
    </row>
    <row r="12" spans="2:12">
      <c r="B12" s="43" t="str">
        <f>'WACC Data'!C5</f>
        <v>Godfrey Phillips</v>
      </c>
      <c r="C12" s="44" t="s">
        <v>143</v>
      </c>
      <c r="D12" s="45">
        <f>'WACC Data'!D5</f>
        <v>179</v>
      </c>
      <c r="E12" s="45">
        <f>'WACC Data'!E5</f>
        <v>45635</v>
      </c>
      <c r="F12" s="46">
        <v>0.3</v>
      </c>
      <c r="G12" s="47">
        <f t="shared" ref="G12:G16" si="0">D12/E12</f>
        <v>3.9224279609948506E-3</v>
      </c>
      <c r="H12" s="47">
        <f t="shared" ref="H12:H16" si="1">D12/SUM(D12:E12)</f>
        <v>3.9071026323831146E-3</v>
      </c>
      <c r="I12" s="50">
        <v>1.22</v>
      </c>
      <c r="J12" s="49">
        <f t="shared" ref="J12:J13" si="2">I12/1+(1-F12)*G12</f>
        <v>1.2227456995726964</v>
      </c>
    </row>
    <row r="13" spans="2:12">
      <c r="B13" s="43" t="str">
        <f>'WACC Data'!C6</f>
        <v>VST Industries</v>
      </c>
      <c r="C13" s="44" t="s">
        <v>143</v>
      </c>
      <c r="D13" s="45">
        <f>'WACC Data'!D6</f>
        <v>0</v>
      </c>
      <c r="E13" s="45">
        <f>'WACC Data'!E6</f>
        <v>4791</v>
      </c>
      <c r="F13" s="46">
        <v>0.3</v>
      </c>
      <c r="G13" s="47">
        <f t="shared" si="0"/>
        <v>0</v>
      </c>
      <c r="H13" s="47">
        <f t="shared" si="1"/>
        <v>0</v>
      </c>
      <c r="I13" s="50">
        <v>0.88</v>
      </c>
      <c r="J13" s="49">
        <f t="shared" si="2"/>
        <v>0.88</v>
      </c>
    </row>
    <row r="14" spans="2:12">
      <c r="B14" s="43" t="str">
        <f>'WACC Data'!C7</f>
        <v>NTC Industries</v>
      </c>
      <c r="C14" s="44" t="s">
        <v>143</v>
      </c>
      <c r="D14" s="45">
        <f>'WACC Data'!D7</f>
        <v>77.099999999999994</v>
      </c>
      <c r="E14" s="45">
        <f>'WACC Data'!E7</f>
        <v>249</v>
      </c>
      <c r="F14" s="46">
        <v>0.3</v>
      </c>
      <c r="G14" s="47">
        <f t="shared" si="0"/>
        <v>0.30963855421686742</v>
      </c>
      <c r="H14" s="47">
        <f t="shared" si="1"/>
        <v>0.23643054277828884</v>
      </c>
      <c r="I14" s="50">
        <v>0.88</v>
      </c>
      <c r="J14" s="49">
        <f>I14/(1+(1-F14)*G14)</f>
        <v>0.7232399247450243</v>
      </c>
    </row>
    <row r="15" spans="2:12">
      <c r="B15" s="43" t="str">
        <f>'WACC Data'!C8</f>
        <v>Indian Wood Prod</v>
      </c>
      <c r="C15" s="44" t="s">
        <v>143</v>
      </c>
      <c r="D15" s="45">
        <f>'WACC Data'!D8</f>
        <v>79.900000000000006</v>
      </c>
      <c r="E15" s="45">
        <f>'WACC Data'!E8</f>
        <v>253</v>
      </c>
      <c r="F15" s="46">
        <v>0.3</v>
      </c>
      <c r="G15" s="47">
        <f t="shared" si="0"/>
        <v>0.31581027667984191</v>
      </c>
      <c r="H15" s="47">
        <f t="shared" si="1"/>
        <v>0.24001201562030644</v>
      </c>
      <c r="I15" s="50">
        <v>0.53</v>
      </c>
      <c r="J15" s="49">
        <f t="shared" ref="J15:J16" si="3">I15/(1+(1-F15)*G15)</f>
        <v>0.43404654776162893</v>
      </c>
    </row>
    <row r="16" spans="2:12">
      <c r="B16" s="43" t="str">
        <f>'WACC Data'!C9</f>
        <v>Elitecon Inter.</v>
      </c>
      <c r="C16" s="44" t="s">
        <v>143</v>
      </c>
      <c r="D16" s="45">
        <f>'WACC Data'!D9</f>
        <v>2.5099999999999998</v>
      </c>
      <c r="E16" s="45">
        <f>'WACC Data'!E9</f>
        <v>32537</v>
      </c>
      <c r="F16" s="46">
        <v>0.3</v>
      </c>
      <c r="G16" s="47">
        <f t="shared" si="0"/>
        <v>7.7142944954974337E-5</v>
      </c>
      <c r="H16" s="47">
        <f t="shared" si="1"/>
        <v>7.7136994380062884E-5</v>
      </c>
      <c r="I16" s="50">
        <v>0.2</v>
      </c>
      <c r="J16" s="49">
        <f t="shared" si="3"/>
        <v>0.19998920057087616</v>
      </c>
    </row>
    <row r="17" spans="2:11" ht="11.25" customHeight="1"/>
    <row r="18" spans="2:11">
      <c r="E18" s="51" t="s">
        <v>144</v>
      </c>
      <c r="F18" s="52">
        <f>AVERAGE(F11:F16)</f>
        <v>0.3</v>
      </c>
      <c r="G18" s="52">
        <f t="shared" ref="G18:J18" si="4">AVERAGE(G11:G16)</f>
        <v>0.10499947147922145</v>
      </c>
      <c r="H18" s="186">
        <f t="shared" si="4"/>
        <v>8.0162487415105857E-2</v>
      </c>
      <c r="I18" s="82">
        <f t="shared" si="4"/>
        <v>0.70136897667820985</v>
      </c>
      <c r="J18" s="82">
        <f t="shared" si="4"/>
        <v>0.65976985527839227</v>
      </c>
    </row>
    <row r="19" spans="2:11">
      <c r="E19" s="53" t="s">
        <v>96</v>
      </c>
      <c r="F19" s="54">
        <f>MEDIAN(F11:F16)</f>
        <v>0.3</v>
      </c>
      <c r="G19" s="54">
        <f t="shared" ref="G19:J19" si="5">MEDIAN(G11:G16)</f>
        <v>2.235427516832162E-3</v>
      </c>
      <c r="H19" s="54">
        <f t="shared" si="5"/>
        <v>2.2276145488298918E-3</v>
      </c>
      <c r="I19" s="83">
        <f t="shared" si="5"/>
        <v>0.70500000000000007</v>
      </c>
      <c r="J19" s="83">
        <f t="shared" si="5"/>
        <v>0.61091884188257595</v>
      </c>
    </row>
    <row r="21" spans="2:11">
      <c r="B21" s="97" t="s">
        <v>437</v>
      </c>
      <c r="C21" s="19"/>
      <c r="D21" s="19"/>
      <c r="E21" s="19"/>
      <c r="G21" s="97" t="s">
        <v>442</v>
      </c>
      <c r="H21" s="19"/>
      <c r="I21" s="19"/>
      <c r="J21" s="19"/>
    </row>
    <row r="22" spans="2:11">
      <c r="B22" s="55"/>
      <c r="C22" s="40"/>
      <c r="D22" s="40"/>
      <c r="E22" s="40"/>
      <c r="G22" s="26"/>
      <c r="H22" s="40"/>
      <c r="I22" s="40"/>
      <c r="J22" s="40"/>
    </row>
    <row r="23" spans="2:11">
      <c r="B23" s="40" t="s">
        <v>146</v>
      </c>
      <c r="C23" s="40"/>
      <c r="D23" s="40"/>
      <c r="E23" s="56">
        <f>'Data Sheet'!K27/'Data Sheet'!K59</f>
        <v>0.15836086314753636</v>
      </c>
      <c r="G23" s="55" t="s">
        <v>152</v>
      </c>
      <c r="H23" s="40"/>
      <c r="I23" s="40"/>
      <c r="J23" s="55">
        <f>J19</f>
        <v>0.61091884188257595</v>
      </c>
    </row>
    <row r="24" spans="2:11">
      <c r="B24" s="40" t="s">
        <v>148</v>
      </c>
      <c r="C24" s="40"/>
      <c r="D24" s="40"/>
      <c r="E24" s="57">
        <v>0.3</v>
      </c>
      <c r="G24" s="40" t="s">
        <v>153</v>
      </c>
      <c r="H24" s="40"/>
      <c r="I24" s="40"/>
      <c r="J24" s="188">
        <f>E35</f>
        <v>8.7148530385367878E-2</v>
      </c>
      <c r="K24"/>
    </row>
    <row r="25" spans="2:11">
      <c r="B25" s="59" t="s">
        <v>150</v>
      </c>
      <c r="C25" s="59"/>
      <c r="D25" s="59"/>
      <c r="E25" s="194">
        <f>E23*(1-E24)</f>
        <v>0.11085260420327545</v>
      </c>
      <c r="G25" s="40" t="s">
        <v>148</v>
      </c>
      <c r="H25" s="40"/>
      <c r="I25" s="40"/>
      <c r="J25" s="56">
        <f>F11</f>
        <v>0.3</v>
      </c>
      <c r="K25"/>
    </row>
    <row r="26" spans="2:11" ht="17.25">
      <c r="G26" s="189" t="s">
        <v>444</v>
      </c>
      <c r="H26" s="59"/>
      <c r="I26" s="59"/>
      <c r="J26" s="192">
        <f>J23*(1+(1-J25)*J24)</f>
        <v>0.64818731736093405</v>
      </c>
    </row>
    <row r="28" spans="2:11">
      <c r="B28" s="97" t="s">
        <v>438</v>
      </c>
      <c r="C28" s="19"/>
      <c r="D28" s="19"/>
      <c r="E28" s="19"/>
      <c r="G28" s="97" t="s">
        <v>441</v>
      </c>
      <c r="H28" s="19"/>
      <c r="I28" s="19"/>
      <c r="J28" s="19"/>
    </row>
    <row r="29" spans="2:11">
      <c r="B29" s="40"/>
      <c r="C29" s="40"/>
      <c r="D29" s="40"/>
      <c r="E29" s="40"/>
      <c r="G29" s="55"/>
      <c r="H29" s="40"/>
      <c r="I29" s="40"/>
      <c r="J29" s="40"/>
    </row>
    <row r="30" spans="2:11">
      <c r="B30" s="40"/>
      <c r="C30" s="60" t="s">
        <v>151</v>
      </c>
      <c r="D30" s="60" t="s">
        <v>439</v>
      </c>
      <c r="E30" s="60" t="s">
        <v>440</v>
      </c>
      <c r="G30" s="40" t="s">
        <v>147</v>
      </c>
      <c r="H30" s="40"/>
      <c r="I30" s="40"/>
      <c r="J30" s="57">
        <v>6.4899999999999999E-2</v>
      </c>
    </row>
    <row r="31" spans="2:11">
      <c r="B31" s="40" t="s">
        <v>139</v>
      </c>
      <c r="C31" s="45">
        <f>D11</f>
        <v>285</v>
      </c>
      <c r="D31" s="56">
        <f>C31/C33</f>
        <v>5.4812646527666921E-4</v>
      </c>
      <c r="E31" s="187">
        <f>H18</f>
        <v>8.0162487415105857E-2</v>
      </c>
      <c r="G31" s="40" t="s">
        <v>149</v>
      </c>
      <c r="H31" s="40"/>
      <c r="I31" s="40"/>
      <c r="J31" s="58">
        <f>Rm!F5-WACC!J30</f>
        <v>0.101448</v>
      </c>
    </row>
    <row r="32" spans="2:11">
      <c r="B32" s="40" t="s">
        <v>9</v>
      </c>
      <c r="C32" s="45">
        <f>E11</f>
        <v>519668</v>
      </c>
      <c r="D32" s="56">
        <f>C32/C33</f>
        <v>0.99945187353472331</v>
      </c>
      <c r="E32" s="187">
        <f>1-E31</f>
        <v>0.9198375125848941</v>
      </c>
      <c r="G32" s="190" t="s">
        <v>155</v>
      </c>
      <c r="H32" s="40"/>
      <c r="I32" s="40"/>
      <c r="J32" s="193">
        <f>J26</f>
        <v>0.64818731736093405</v>
      </c>
    </row>
    <row r="33" spans="2:10">
      <c r="B33" s="40" t="s">
        <v>154</v>
      </c>
      <c r="C33" s="61">
        <f>SUM(C31:C32)</f>
        <v>519953</v>
      </c>
      <c r="D33" s="84">
        <f>SUM(D31:D32)</f>
        <v>1</v>
      </c>
      <c r="E33" s="84">
        <f>SUM(E31:E32)</f>
        <v>1</v>
      </c>
      <c r="G33" s="59" t="s">
        <v>145</v>
      </c>
      <c r="H33" s="59"/>
      <c r="I33" s="59"/>
      <c r="J33" s="194">
        <f>J30+(J31*J32)</f>
        <v>0.13065730697163203</v>
      </c>
    </row>
    <row r="34" spans="2:10">
      <c r="B34" s="40"/>
      <c r="C34" s="40"/>
      <c r="D34" s="40"/>
      <c r="E34" s="40"/>
    </row>
    <row r="35" spans="2:10">
      <c r="B35" s="40" t="s">
        <v>156</v>
      </c>
      <c r="C35" s="40"/>
      <c r="D35" s="199">
        <f>D31/D32</f>
        <v>5.4842707266947361E-4</v>
      </c>
      <c r="E35" s="198">
        <f>E31/E32</f>
        <v>8.7148530385367878E-2</v>
      </c>
      <c r="G35" s="97" t="s">
        <v>443</v>
      </c>
      <c r="H35" s="19"/>
      <c r="I35" s="19"/>
      <c r="J35" s="19"/>
    </row>
    <row r="36" spans="2:10">
      <c r="G36" s="55"/>
      <c r="H36" s="40"/>
      <c r="I36" s="40"/>
      <c r="J36" s="40"/>
    </row>
    <row r="37" spans="2:10">
      <c r="B37" s="191" t="s">
        <v>158</v>
      </c>
      <c r="G37" s="40"/>
      <c r="H37" s="40"/>
      <c r="I37" s="85" t="s">
        <v>159</v>
      </c>
      <c r="J37" s="86" t="s">
        <v>160</v>
      </c>
    </row>
    <row r="38" spans="2:10">
      <c r="B38" s="191" t="s">
        <v>161</v>
      </c>
      <c r="G38" s="40" t="s">
        <v>162</v>
      </c>
      <c r="H38" s="40"/>
      <c r="I38" s="56">
        <f>E25</f>
        <v>0.11085260420327545</v>
      </c>
      <c r="J38" s="197">
        <f>E31</f>
        <v>8.0162487415105857E-2</v>
      </c>
    </row>
    <row r="39" spans="2:10">
      <c r="B39" s="191" t="s">
        <v>163</v>
      </c>
      <c r="G39" s="40" t="s">
        <v>164</v>
      </c>
      <c r="H39" s="40"/>
      <c r="I39" s="56">
        <f>J33</f>
        <v>0.13065730697163203</v>
      </c>
      <c r="J39" s="187">
        <f>E32</f>
        <v>0.9198375125848941</v>
      </c>
    </row>
    <row r="40" spans="2:10">
      <c r="B40" s="191" t="s">
        <v>165</v>
      </c>
      <c r="G40" s="59" t="s">
        <v>157</v>
      </c>
      <c r="H40" s="59"/>
      <c r="I40" s="62"/>
      <c r="J40" s="194">
        <f>SUMPRODUCT(I38:I39,J38:J39)</f>
        <v>0.12906971273520373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74"/>
  <sheetViews>
    <sheetView showGridLines="0" topLeftCell="A29" workbookViewId="0">
      <selection activeCell="H54" sqref="H54"/>
    </sheetView>
  </sheetViews>
  <sheetFormatPr defaultRowHeight="15"/>
  <cols>
    <col min="1" max="1" width="1.85546875" style="3" customWidth="1"/>
    <col min="2" max="2" width="17.42578125" style="3" customWidth="1"/>
    <col min="3" max="5" width="9.140625" style="3"/>
    <col min="6" max="6" width="1.7109375" style="3" customWidth="1"/>
    <col min="7" max="7" width="11.5703125" style="3" bestFit="1" customWidth="1"/>
    <col min="8" max="11" width="14.28515625" style="3" customWidth="1"/>
    <col min="12" max="12" width="2.28515625" style="3" customWidth="1"/>
    <col min="13" max="13" width="21" style="3" customWidth="1"/>
    <col min="14" max="16384" width="9.140625" style="3"/>
  </cols>
  <sheetData>
    <row r="1" spans="1:11" ht="9.75" customHeight="1"/>
    <row r="2" spans="1:11" ht="18.75">
      <c r="B2" s="18" t="s">
        <v>259</v>
      </c>
      <c r="C2" s="19"/>
      <c r="D2" s="19"/>
      <c r="E2" s="19"/>
      <c r="F2" s="19"/>
      <c r="G2" s="19"/>
      <c r="H2" s="19"/>
      <c r="I2" s="19"/>
      <c r="J2" s="19"/>
      <c r="K2" s="19"/>
    </row>
    <row r="3" spans="1:11">
      <c r="B3" s="20" t="str">
        <f>'[2]Data Sheet'!B1</f>
        <v>ITC LTD</v>
      </c>
      <c r="C3" s="19"/>
      <c r="D3" s="19"/>
      <c r="E3" s="19"/>
      <c r="F3" s="19"/>
      <c r="G3" s="19"/>
      <c r="H3" s="19"/>
      <c r="I3" s="19"/>
      <c r="J3" s="19"/>
      <c r="K3" s="19"/>
    </row>
    <row r="4" spans="1:11" ht="4.5" customHeight="1"/>
    <row r="5" spans="1:11">
      <c r="A5" s="3" t="s">
        <v>78</v>
      </c>
      <c r="B5" s="97" t="s">
        <v>260</v>
      </c>
      <c r="C5" s="19"/>
      <c r="D5" s="19"/>
      <c r="E5" s="19"/>
      <c r="F5" s="19"/>
      <c r="G5" s="98">
        <f>'RAW FSn'!J4</f>
        <v>44256</v>
      </c>
      <c r="H5" s="98">
        <f>'RAW FSn'!K4</f>
        <v>44621</v>
      </c>
      <c r="I5" s="98">
        <f>'RAW FSn'!L4</f>
        <v>44986</v>
      </c>
      <c r="J5" s="98">
        <f>'RAW FSn'!M4</f>
        <v>45352</v>
      </c>
      <c r="K5" s="98">
        <f>'RAW FSn'!N4</f>
        <v>45717</v>
      </c>
    </row>
    <row r="6" spans="1:11" ht="3.75" customHeight="1"/>
    <row r="7" spans="1:11">
      <c r="B7" s="26" t="s">
        <v>261</v>
      </c>
    </row>
    <row r="8" spans="1:11">
      <c r="B8" s="99" t="str">
        <f>'RAW FSn'!B36</f>
        <v>Other Assets</v>
      </c>
      <c r="C8" s="99"/>
      <c r="D8" s="99"/>
      <c r="E8" s="99"/>
      <c r="F8" s="99"/>
      <c r="G8" s="100">
        <f>'RAW FSn'!J37</f>
        <v>10397</v>
      </c>
      <c r="H8" s="100">
        <f>'RAW FSn'!K37</f>
        <v>10864</v>
      </c>
      <c r="I8" s="100">
        <f>'RAW FSn'!L37</f>
        <v>11771</v>
      </c>
      <c r="J8" s="100">
        <f>'RAW FSn'!M37</f>
        <v>14153</v>
      </c>
      <c r="K8" s="100">
        <f>'RAW FSn'!N37</f>
        <v>15638</v>
      </c>
    </row>
    <row r="9" spans="1:11">
      <c r="B9" s="99" t="str">
        <f>'RAW FSn'!B37</f>
        <v>Inventories</v>
      </c>
      <c r="C9" s="99"/>
      <c r="D9" s="99"/>
      <c r="E9" s="99"/>
      <c r="F9" s="99"/>
      <c r="G9" s="100">
        <f>'RAW FSn'!J38</f>
        <v>2502</v>
      </c>
      <c r="H9" s="100">
        <f>'RAW FSn'!K38</f>
        <v>2462</v>
      </c>
      <c r="I9" s="100">
        <f>'RAW FSn'!L38</f>
        <v>2956</v>
      </c>
      <c r="J9" s="100">
        <f>'RAW FSn'!M38</f>
        <v>4026</v>
      </c>
      <c r="K9" s="100">
        <f>'RAW FSn'!N38</f>
        <v>4720</v>
      </c>
    </row>
    <row r="10" spans="1:11">
      <c r="B10" s="99" t="str">
        <f>'RAW FSn'!B40</f>
        <v>Loans n Advances</v>
      </c>
      <c r="G10" s="100">
        <f>'RAW FSn'!J41</f>
        <v>4015</v>
      </c>
      <c r="H10" s="100">
        <f>'RAW FSn'!K41</f>
        <v>6906</v>
      </c>
      <c r="I10" s="100">
        <f>'RAW FSn'!L41</f>
        <v>7941</v>
      </c>
      <c r="J10" s="100">
        <f>'RAW FSn'!M41</f>
        <v>4531</v>
      </c>
      <c r="K10" s="100">
        <f>'RAW FSn'!N41</f>
        <v>5858</v>
      </c>
    </row>
    <row r="11" spans="1:11">
      <c r="B11" s="102" t="s">
        <v>84</v>
      </c>
      <c r="C11" s="103"/>
      <c r="D11" s="103"/>
      <c r="E11" s="103"/>
      <c r="F11" s="103"/>
      <c r="G11" s="104">
        <f>SUM(G8:G10)</f>
        <v>16914</v>
      </c>
      <c r="H11" s="104">
        <f>SUM(H8:H10)</f>
        <v>20232</v>
      </c>
      <c r="I11" s="104">
        <f>SUM(I8:I10)</f>
        <v>22668</v>
      </c>
      <c r="J11" s="104">
        <f>SUM(J8:J10)</f>
        <v>22710</v>
      </c>
      <c r="K11" s="104">
        <f>SUM(K8:K10)</f>
        <v>26216</v>
      </c>
    </row>
    <row r="12" spans="1:11">
      <c r="G12" s="101"/>
      <c r="H12" s="101"/>
      <c r="I12" s="101"/>
      <c r="J12" s="101"/>
      <c r="K12" s="101"/>
    </row>
    <row r="13" spans="1:11">
      <c r="B13" s="26" t="s">
        <v>262</v>
      </c>
      <c r="G13" s="101"/>
      <c r="H13" s="101"/>
      <c r="I13" s="101"/>
      <c r="J13" s="101"/>
      <c r="K13" s="101"/>
    </row>
    <row r="14" spans="1:11">
      <c r="B14" s="99" t="str">
        <f>'RAW FSn'!B14</f>
        <v>Trade Payables</v>
      </c>
      <c r="C14" s="99"/>
      <c r="D14" s="99"/>
      <c r="E14" s="99"/>
      <c r="F14" s="99"/>
      <c r="G14" s="100">
        <f>'RAW FSn'!J14</f>
        <v>4319</v>
      </c>
      <c r="H14" s="100">
        <f>'RAW FSn'!K14</f>
        <v>4417</v>
      </c>
      <c r="I14" s="100">
        <f>'RAW FSn'!L14</f>
        <v>4659</v>
      </c>
      <c r="J14" s="100">
        <f>'RAW FSn'!M14</f>
        <v>4798</v>
      </c>
      <c r="K14" s="100">
        <f>'RAW FSn'!N14</f>
        <v>4807</v>
      </c>
    </row>
    <row r="15" spans="1:11">
      <c r="B15" s="99" t="str">
        <f>'RAW FSn'!B15</f>
        <v>Advance from Customers</v>
      </c>
      <c r="C15" s="99"/>
      <c r="D15" s="99"/>
      <c r="E15" s="99"/>
      <c r="F15" s="99"/>
      <c r="G15" s="100">
        <f>'RAW FSn'!J15</f>
        <v>811</v>
      </c>
      <c r="H15" s="100">
        <f>'RAW FSn'!K15</f>
        <v>1278</v>
      </c>
      <c r="I15" s="100">
        <f>'RAW FSn'!L15</f>
        <v>1295</v>
      </c>
      <c r="J15" s="100">
        <f>'RAW FSn'!M15</f>
        <v>886</v>
      </c>
      <c r="K15" s="100">
        <f>'RAW FSn'!N15</f>
        <v>1264</v>
      </c>
    </row>
    <row r="16" spans="1:11">
      <c r="B16" s="99" t="str">
        <f>'RAW FSn'!B16</f>
        <v>Other liability items</v>
      </c>
      <c r="C16" s="99"/>
      <c r="D16" s="99"/>
      <c r="E16" s="99"/>
      <c r="F16" s="99"/>
      <c r="G16" s="100">
        <f>'RAW FSn'!J16</f>
        <v>7666</v>
      </c>
      <c r="H16" s="100">
        <f>'RAW FSn'!K16</f>
        <v>8429</v>
      </c>
      <c r="I16" s="100">
        <f>'RAW FSn'!L16</f>
        <v>10032</v>
      </c>
      <c r="J16" s="100">
        <f>'RAW FSn'!M16</f>
        <v>10877</v>
      </c>
      <c r="K16" s="100">
        <f>'RAW FSn'!N16</f>
        <v>11249</v>
      </c>
    </row>
    <row r="17" spans="1:11">
      <c r="B17" s="102" t="s">
        <v>263</v>
      </c>
      <c r="C17" s="103"/>
      <c r="D17" s="103"/>
      <c r="E17" s="103"/>
      <c r="F17" s="103"/>
      <c r="G17" s="104">
        <f>SUM(G14:G16)</f>
        <v>12796</v>
      </c>
      <c r="H17" s="104">
        <f t="shared" ref="H17:K17" si="0">SUM(H14:H16)</f>
        <v>14124</v>
      </c>
      <c r="I17" s="104">
        <f t="shared" si="0"/>
        <v>15986</v>
      </c>
      <c r="J17" s="104">
        <f t="shared" si="0"/>
        <v>16561</v>
      </c>
      <c r="K17" s="104">
        <f t="shared" si="0"/>
        <v>17320</v>
      </c>
    </row>
    <row r="18" spans="1:11">
      <c r="G18" s="101"/>
      <c r="H18" s="101"/>
      <c r="I18" s="101"/>
      <c r="J18" s="101"/>
      <c r="K18" s="101"/>
    </row>
    <row r="19" spans="1:11" ht="15.75" thickBot="1">
      <c r="A19" s="3" t="s">
        <v>78</v>
      </c>
      <c r="B19" s="105" t="s">
        <v>264</v>
      </c>
      <c r="C19" s="105"/>
      <c r="D19" s="105"/>
      <c r="E19" s="105"/>
      <c r="F19" s="105"/>
      <c r="G19" s="106">
        <f>G11-G17</f>
        <v>4118</v>
      </c>
      <c r="H19" s="106">
        <f t="shared" ref="H19:K19" si="1">H11-H17</f>
        <v>6108</v>
      </c>
      <c r="I19" s="106">
        <f t="shared" si="1"/>
        <v>6682</v>
      </c>
      <c r="J19" s="106">
        <f t="shared" si="1"/>
        <v>6149</v>
      </c>
      <c r="K19" s="106">
        <f t="shared" si="1"/>
        <v>8896</v>
      </c>
    </row>
    <row r="20" spans="1:11">
      <c r="G20" s="101"/>
      <c r="H20" s="101"/>
      <c r="I20" s="101"/>
      <c r="J20" s="101"/>
      <c r="K20" s="101"/>
    </row>
    <row r="21" spans="1:11">
      <c r="B21" s="26" t="s">
        <v>265</v>
      </c>
      <c r="G21" s="101"/>
      <c r="H21" s="101"/>
      <c r="I21" s="101"/>
      <c r="J21" s="101"/>
      <c r="K21" s="101"/>
    </row>
    <row r="22" spans="1:11">
      <c r="B22" s="99" t="str">
        <f>'RAW FSn'!B20</f>
        <v>Land</v>
      </c>
      <c r="C22" s="99"/>
      <c r="D22" s="99"/>
      <c r="E22" s="99"/>
      <c r="F22" s="99"/>
      <c r="G22" s="100">
        <f>'RAW FSn'!J20</f>
        <v>2889</v>
      </c>
      <c r="H22" s="100">
        <f>'RAW FSn'!K20</f>
        <v>2829</v>
      </c>
      <c r="I22" s="100">
        <f>'RAW FSn'!L20</f>
        <v>2830</v>
      </c>
      <c r="J22" s="100">
        <f>'RAW FSn'!M20</f>
        <v>2865</v>
      </c>
      <c r="K22" s="100">
        <f>'RAW FSn'!N20</f>
        <v>1588</v>
      </c>
    </row>
    <row r="23" spans="1:11">
      <c r="B23" s="99" t="str">
        <f>'RAW FSn'!B21</f>
        <v>Building</v>
      </c>
      <c r="C23" s="99"/>
      <c r="D23" s="99"/>
      <c r="E23" s="99"/>
      <c r="F23" s="99"/>
      <c r="G23" s="100">
        <f>'RAW FSn'!J21</f>
        <v>8387</v>
      </c>
      <c r="H23" s="100">
        <f>'RAW FSn'!K21</f>
        <v>9100</v>
      </c>
      <c r="I23" s="100">
        <f>'RAW FSn'!L21</f>
        <v>9789</v>
      </c>
      <c r="J23" s="100">
        <f>'RAW FSn'!M21</f>
        <v>10944</v>
      </c>
      <c r="K23" s="100">
        <f>'RAW FSn'!N21</f>
        <v>7550</v>
      </c>
    </row>
    <row r="24" spans="1:11">
      <c r="B24" s="99" t="str">
        <f>'RAW FSn'!B22</f>
        <v>Plant Machinery</v>
      </c>
      <c r="C24" s="99"/>
      <c r="D24" s="99"/>
      <c r="E24" s="99"/>
      <c r="F24" s="99"/>
      <c r="G24" s="100">
        <f>'RAW FSn'!J22</f>
        <v>15307</v>
      </c>
      <c r="H24" s="100">
        <f>'RAW FSn'!K22</f>
        <v>16912</v>
      </c>
      <c r="I24" s="100">
        <f>'RAW FSn'!L22</f>
        <v>18480</v>
      </c>
      <c r="J24" s="100">
        <f>'RAW FSn'!M22</f>
        <v>20718</v>
      </c>
      <c r="K24" s="100">
        <f>'RAW FSn'!N22</f>
        <v>19423</v>
      </c>
    </row>
    <row r="25" spans="1:11">
      <c r="B25" s="99" t="str">
        <f>'RAW FSn'!B23</f>
        <v>Equipments</v>
      </c>
      <c r="C25" s="99"/>
      <c r="D25" s="99"/>
      <c r="E25" s="99"/>
      <c r="F25" s="99"/>
      <c r="G25" s="100">
        <f>'RAW FSn'!J23</f>
        <v>41</v>
      </c>
      <c r="H25" s="100">
        <f>'RAW FSn'!K23</f>
        <v>44</v>
      </c>
      <c r="I25" s="100">
        <f>'RAW FSn'!L23</f>
        <v>44</v>
      </c>
      <c r="J25" s="100">
        <f>'RAW FSn'!M23</f>
        <v>53</v>
      </c>
      <c r="K25" s="100">
        <f>'RAW FSn'!N23</f>
        <v>63</v>
      </c>
    </row>
    <row r="26" spans="1:11">
      <c r="B26" s="99" t="str">
        <f>'RAW FSn'!B24</f>
        <v>Furniture n fittings</v>
      </c>
      <c r="C26" s="99"/>
      <c r="D26" s="99"/>
      <c r="E26" s="99"/>
      <c r="F26" s="99"/>
      <c r="G26" s="100">
        <f>'RAW FSn'!J24</f>
        <v>833</v>
      </c>
      <c r="H26" s="100">
        <f>'RAW FSn'!K24</f>
        <v>907</v>
      </c>
      <c r="I26" s="100">
        <f>'RAW FSn'!L24</f>
        <v>1000</v>
      </c>
      <c r="J26" s="100">
        <f>'RAW FSn'!M24</f>
        <v>1068</v>
      </c>
      <c r="K26" s="100">
        <f>'RAW FSn'!N24</f>
        <v>282</v>
      </c>
    </row>
    <row r="27" spans="1:11">
      <c r="B27" s="99" t="str">
        <f>'RAW FSn'!B25</f>
        <v>Railway sidings</v>
      </c>
      <c r="C27" s="99"/>
      <c r="D27" s="99"/>
      <c r="E27" s="99"/>
      <c r="F27" s="99"/>
      <c r="G27" s="100">
        <f>'RAW FSn'!J25</f>
        <v>2</v>
      </c>
      <c r="H27" s="100">
        <f>'RAW FSn'!K25</f>
        <v>2</v>
      </c>
      <c r="I27" s="100">
        <f>'RAW FSn'!L25</f>
        <v>2</v>
      </c>
      <c r="J27" s="100">
        <f>'RAW FSn'!M25</f>
        <v>2</v>
      </c>
      <c r="K27" s="100">
        <f>'RAW FSn'!N25</f>
        <v>2</v>
      </c>
    </row>
    <row r="28" spans="1:11">
      <c r="B28" s="99" t="str">
        <f>'RAW FSn'!B26</f>
        <v>Vehicles</v>
      </c>
      <c r="C28" s="99"/>
      <c r="D28" s="99"/>
      <c r="E28" s="99"/>
      <c r="F28" s="99"/>
      <c r="G28" s="100">
        <f>'RAW FSn'!J26</f>
        <v>180</v>
      </c>
      <c r="H28" s="100">
        <f>'RAW FSn'!K26</f>
        <v>179</v>
      </c>
      <c r="I28" s="100">
        <f>'RAW FSn'!L26</f>
        <v>189</v>
      </c>
      <c r="J28" s="100">
        <f>'RAW FSn'!M26</f>
        <v>192</v>
      </c>
      <c r="K28" s="100">
        <f>'RAW FSn'!N26</f>
        <v>141</v>
      </c>
    </row>
    <row r="29" spans="1:11">
      <c r="B29" s="99" t="str">
        <f>'RAW FSn'!B27</f>
        <v>Intangible Assets</v>
      </c>
      <c r="C29" s="99"/>
      <c r="D29" s="99"/>
      <c r="E29" s="99"/>
      <c r="F29" s="99"/>
      <c r="G29" s="100">
        <f>'RAW FSn'!J27</f>
        <v>2734</v>
      </c>
      <c r="H29" s="100">
        <f>'RAW FSn'!K27</f>
        <v>2744</v>
      </c>
      <c r="I29" s="100">
        <f>'RAW FSn'!L27</f>
        <v>3490</v>
      </c>
      <c r="J29" s="100">
        <f>'RAW FSn'!M27</f>
        <v>3505</v>
      </c>
      <c r="K29" s="100">
        <f>'RAW FSn'!N27</f>
        <v>3622</v>
      </c>
    </row>
    <row r="30" spans="1:11">
      <c r="B30" s="99" t="str">
        <f>'RAW FSn'!B28</f>
        <v>Other fixed assets</v>
      </c>
      <c r="C30" s="99"/>
      <c r="D30" s="99"/>
      <c r="E30" s="99"/>
      <c r="F30" s="99"/>
      <c r="G30" s="100">
        <f>'RAW FSn'!J28</f>
        <v>716</v>
      </c>
      <c r="H30" s="100">
        <f>'RAW FSn'!K28</f>
        <v>719</v>
      </c>
      <c r="I30" s="100">
        <f>'RAW FSn'!L28</f>
        <v>786</v>
      </c>
      <c r="J30" s="100">
        <f>'RAW FSn'!M28</f>
        <v>841</v>
      </c>
      <c r="K30" s="100">
        <f>'RAW FSn'!N28</f>
        <v>967</v>
      </c>
    </row>
    <row r="31" spans="1:11" ht="3.75" customHeight="1">
      <c r="B31" s="99"/>
      <c r="C31" s="99"/>
      <c r="D31" s="99"/>
      <c r="E31" s="99"/>
      <c r="F31" s="99"/>
      <c r="G31" s="100"/>
      <c r="H31" s="100"/>
      <c r="I31" s="100"/>
      <c r="J31" s="100"/>
      <c r="K31" s="100"/>
    </row>
    <row r="32" spans="1:11">
      <c r="B32" s="102" t="s">
        <v>223</v>
      </c>
      <c r="C32" s="103"/>
      <c r="D32" s="103"/>
      <c r="E32" s="103"/>
      <c r="F32" s="103"/>
      <c r="G32" s="104">
        <f>SUM(G22:G30)</f>
        <v>31089</v>
      </c>
      <c r="H32" s="104">
        <f t="shared" ref="H32:K32" si="2">SUM(H22:H30)</f>
        <v>33436</v>
      </c>
      <c r="I32" s="104">
        <f t="shared" si="2"/>
        <v>36610</v>
      </c>
      <c r="J32" s="104">
        <f t="shared" si="2"/>
        <v>40188</v>
      </c>
      <c r="K32" s="104">
        <f t="shared" si="2"/>
        <v>33638</v>
      </c>
    </row>
    <row r="33" spans="1:13">
      <c r="B33" s="3" t="s">
        <v>224</v>
      </c>
      <c r="G33" s="101">
        <f>-'RAW FSn'!J30</f>
        <v>-7790</v>
      </c>
      <c r="H33" s="101">
        <f>-'RAW FSn'!K30</f>
        <v>-9204</v>
      </c>
      <c r="I33" s="101">
        <f>-'RAW FSn'!L30</f>
        <v>-10757</v>
      </c>
      <c r="J33" s="101">
        <f>-'RAW FSn'!M30</f>
        <v>-12368</v>
      </c>
      <c r="K33" s="101">
        <f>-'RAW FSn'!N30</f>
        <v>-11683</v>
      </c>
    </row>
    <row r="34" spans="1:13" ht="15.75" thickBot="1">
      <c r="A34" s="3" t="s">
        <v>78</v>
      </c>
      <c r="B34" s="105" t="s">
        <v>266</v>
      </c>
      <c r="C34" s="105"/>
      <c r="D34" s="105"/>
      <c r="E34" s="105"/>
      <c r="F34" s="105"/>
      <c r="G34" s="106">
        <f>SUM(G32:G33)</f>
        <v>23299</v>
      </c>
      <c r="H34" s="106">
        <f t="shared" ref="H34:K34" si="3">SUM(H32:H33)</f>
        <v>24232</v>
      </c>
      <c r="I34" s="106">
        <f t="shared" si="3"/>
        <v>25853</v>
      </c>
      <c r="J34" s="106">
        <f t="shared" si="3"/>
        <v>27820</v>
      </c>
      <c r="K34" s="106">
        <f t="shared" si="3"/>
        <v>21955</v>
      </c>
      <c r="M34" s="63"/>
    </row>
    <row r="35" spans="1:13">
      <c r="G35" s="101"/>
      <c r="H35" s="101"/>
      <c r="I35" s="101"/>
      <c r="J35" s="101"/>
      <c r="K35" s="101"/>
    </row>
    <row r="36" spans="1:13">
      <c r="A36" s="3" t="s">
        <v>78</v>
      </c>
      <c r="B36" s="26" t="s">
        <v>267</v>
      </c>
      <c r="C36" s="26"/>
      <c r="D36" s="26"/>
      <c r="E36" s="26"/>
      <c r="F36" s="26"/>
      <c r="G36" s="107">
        <f>G34+G19</f>
        <v>27417</v>
      </c>
      <c r="H36" s="107">
        <f t="shared" ref="H36:K36" si="4">H34+H19</f>
        <v>30340</v>
      </c>
      <c r="I36" s="107">
        <f t="shared" si="4"/>
        <v>32535</v>
      </c>
      <c r="J36" s="107">
        <f t="shared" si="4"/>
        <v>33969</v>
      </c>
      <c r="K36" s="107">
        <f t="shared" si="4"/>
        <v>30851</v>
      </c>
    </row>
    <row r="37" spans="1:13">
      <c r="B37" s="26" t="s">
        <v>93</v>
      </c>
      <c r="C37" s="26"/>
      <c r="D37" s="26"/>
      <c r="E37" s="26"/>
      <c r="F37" s="26"/>
      <c r="G37" s="107">
        <f>'Data Sheet'!G33</f>
        <v>17996.14</v>
      </c>
      <c r="H37" s="107">
        <f>'Data Sheet'!H33</f>
        <v>20800.460000000003</v>
      </c>
      <c r="I37" s="107">
        <f>'Data Sheet'!I33</f>
        <v>25992.89</v>
      </c>
      <c r="J37" s="107">
        <f>'Data Sheet'!J33</f>
        <v>26999.93</v>
      </c>
      <c r="K37" s="107">
        <f>'Data Sheet'!K33</f>
        <v>41988.009999999995</v>
      </c>
    </row>
    <row r="38" spans="1:13">
      <c r="B38" s="40" t="s">
        <v>148</v>
      </c>
      <c r="C38" s="26"/>
      <c r="D38" s="26"/>
      <c r="E38" s="26"/>
      <c r="F38" s="26"/>
      <c r="G38" s="185">
        <v>0.3</v>
      </c>
      <c r="H38" s="185">
        <v>0.3</v>
      </c>
      <c r="I38" s="185">
        <v>0.3</v>
      </c>
      <c r="J38" s="185">
        <v>0.3</v>
      </c>
      <c r="K38" s="185">
        <v>0.3</v>
      </c>
    </row>
    <row r="40" spans="1:13" ht="15.75" thickBot="1">
      <c r="A40" s="3" t="s">
        <v>78</v>
      </c>
      <c r="B40" s="105" t="s">
        <v>268</v>
      </c>
      <c r="C40" s="108"/>
      <c r="D40" s="108"/>
      <c r="E40" s="108"/>
      <c r="F40" s="108"/>
      <c r="G40" s="109">
        <f>(G37*(1-G38))/G36</f>
        <v>0.45947032862822335</v>
      </c>
      <c r="H40" s="109">
        <f t="shared" ref="H40:K40" si="5">(H37*(1-H38))/H36</f>
        <v>0.47990514172709298</v>
      </c>
      <c r="I40" s="109">
        <f t="shared" si="5"/>
        <v>0.55924459812509597</v>
      </c>
      <c r="J40" s="109">
        <f t="shared" si="5"/>
        <v>0.5563882068945214</v>
      </c>
      <c r="K40" s="109">
        <f t="shared" si="5"/>
        <v>0.95269543936987433</v>
      </c>
    </row>
    <row r="42" spans="1:13">
      <c r="A42" s="3" t="s">
        <v>78</v>
      </c>
      <c r="B42" s="97" t="s">
        <v>269</v>
      </c>
      <c r="C42" s="19"/>
      <c r="D42" s="19"/>
      <c r="E42" s="19"/>
      <c r="F42" s="19"/>
      <c r="G42" s="98">
        <f>G5</f>
        <v>44256</v>
      </c>
      <c r="H42" s="98">
        <f>H5</f>
        <v>44621</v>
      </c>
      <c r="I42" s="98">
        <f>I5</f>
        <v>44986</v>
      </c>
      <c r="J42" s="98">
        <f>J5</f>
        <v>45352</v>
      </c>
      <c r="K42" s="98">
        <f>K5</f>
        <v>45717</v>
      </c>
    </row>
    <row r="44" spans="1:13">
      <c r="B44" s="99" t="s">
        <v>8758</v>
      </c>
      <c r="C44" s="99"/>
      <c r="D44" s="99"/>
      <c r="E44" s="99"/>
      <c r="F44" s="99"/>
      <c r="G44" s="100">
        <f>-SUM('RAW FSn'!J53:J54)</f>
        <v>1834</v>
      </c>
      <c r="H44" s="100">
        <f>-SUM('RAW FSn'!K53:K54)</f>
        <v>2009</v>
      </c>
      <c r="I44" s="100">
        <f>-SUM('RAW FSn'!L53:L54)</f>
        <v>2694</v>
      </c>
      <c r="J44" s="100">
        <f>-SUM('RAW FSn'!M53:M54)</f>
        <v>3456</v>
      </c>
      <c r="K44" s="100">
        <f>-SUM('RAW FSn'!N53:N54)</f>
        <v>2104</v>
      </c>
    </row>
    <row r="45" spans="1:13">
      <c r="B45" s="99" t="s">
        <v>270</v>
      </c>
      <c r="C45" s="99"/>
      <c r="D45" s="99"/>
      <c r="E45" s="99"/>
      <c r="F45" s="99"/>
      <c r="G45" s="100"/>
      <c r="H45" s="100">
        <f>H19-G19</f>
        <v>1990</v>
      </c>
      <c r="I45" s="100">
        <f>I19-H19</f>
        <v>574</v>
      </c>
      <c r="J45" s="100">
        <f>J19-I19</f>
        <v>-533</v>
      </c>
      <c r="K45" s="100">
        <f>K19-J19</f>
        <v>2747</v>
      </c>
    </row>
    <row r="46" spans="1:13">
      <c r="B46" s="204" t="s">
        <v>435</v>
      </c>
      <c r="C46" s="204"/>
      <c r="D46" s="204"/>
      <c r="E46" s="204"/>
      <c r="F46" s="204"/>
      <c r="G46" s="205"/>
      <c r="H46" s="206">
        <f>'Data Sheet'!H26</f>
        <v>1732.41</v>
      </c>
      <c r="I46" s="206">
        <f>'Data Sheet'!I26</f>
        <v>1809.01</v>
      </c>
      <c r="J46" s="206">
        <f>'Data Sheet'!J26</f>
        <v>1518.05</v>
      </c>
      <c r="K46" s="206">
        <f>'Data Sheet'!K26</f>
        <v>1646.32</v>
      </c>
    </row>
    <row r="47" spans="1:13">
      <c r="B47" s="99"/>
      <c r="C47" s="99"/>
      <c r="D47" s="99"/>
      <c r="E47" s="99"/>
      <c r="F47" s="99"/>
      <c r="G47" s="100"/>
      <c r="H47" s="100"/>
      <c r="I47" s="100"/>
      <c r="J47" s="100"/>
      <c r="K47" s="100"/>
    </row>
    <row r="48" spans="1:13">
      <c r="B48" s="99" t="s">
        <v>93</v>
      </c>
      <c r="C48" s="99"/>
      <c r="D48" s="99"/>
      <c r="E48" s="99"/>
      <c r="F48" s="99"/>
      <c r="G48" s="100">
        <f>G37</f>
        <v>17996.14</v>
      </c>
      <c r="H48" s="100">
        <f>H37</f>
        <v>20800.460000000003</v>
      </c>
      <c r="I48" s="100">
        <f>I37</f>
        <v>25992.89</v>
      </c>
      <c r="J48" s="100">
        <f>J37</f>
        <v>26999.93</v>
      </c>
      <c r="K48" s="100">
        <f>K37</f>
        <v>41988.009999999995</v>
      </c>
    </row>
    <row r="49" spans="1:14">
      <c r="B49" s="99" t="s">
        <v>148</v>
      </c>
      <c r="C49" s="99"/>
      <c r="D49" s="99"/>
      <c r="E49" s="99"/>
      <c r="F49" s="99"/>
      <c r="G49" s="110">
        <v>0.3</v>
      </c>
      <c r="H49" s="110">
        <v>0.3</v>
      </c>
      <c r="I49" s="110">
        <v>0.3</v>
      </c>
      <c r="J49" s="110">
        <v>0.3</v>
      </c>
      <c r="K49" s="110">
        <v>0.3</v>
      </c>
    </row>
    <row r="50" spans="1:14">
      <c r="B50" s="99" t="s">
        <v>271</v>
      </c>
      <c r="C50" s="99"/>
      <c r="D50" s="99"/>
      <c r="E50" s="99"/>
      <c r="F50" s="99"/>
      <c r="G50" s="111">
        <f>G48*(1-G49)</f>
        <v>12597.297999999999</v>
      </c>
      <c r="H50" s="111">
        <f t="shared" ref="H50:K50" si="6">H48*(1-H49)</f>
        <v>14560.322</v>
      </c>
      <c r="I50" s="111">
        <f t="shared" si="6"/>
        <v>18195.022999999997</v>
      </c>
      <c r="J50" s="111">
        <f t="shared" si="6"/>
        <v>18899.950999999997</v>
      </c>
      <c r="K50" s="111">
        <f t="shared" si="6"/>
        <v>29391.606999999993</v>
      </c>
    </row>
    <row r="51" spans="1:14">
      <c r="B51" s="99"/>
      <c r="C51" s="99"/>
      <c r="D51" s="99"/>
      <c r="E51" s="99"/>
      <c r="F51" s="99"/>
      <c r="G51" s="100"/>
      <c r="H51" s="100"/>
      <c r="I51" s="100"/>
      <c r="J51" s="100"/>
      <c r="K51" s="100"/>
    </row>
    <row r="52" spans="1:14">
      <c r="B52" s="99" t="s">
        <v>8759</v>
      </c>
      <c r="C52" s="99"/>
      <c r="D52" s="99"/>
      <c r="E52" s="99"/>
      <c r="F52" s="99"/>
      <c r="G52" s="100"/>
      <c r="H52" s="100">
        <f>SUM(H44:H45)-H46</f>
        <v>2266.59</v>
      </c>
      <c r="I52" s="100">
        <f t="shared" ref="I52:K52" si="7">SUM(I44:I45)-I46</f>
        <v>1458.99</v>
      </c>
      <c r="J52" s="100">
        <f t="shared" si="7"/>
        <v>1404.95</v>
      </c>
      <c r="K52" s="100">
        <f t="shared" si="7"/>
        <v>3204.6800000000003</v>
      </c>
    </row>
    <row r="53" spans="1:14">
      <c r="H53" s="112"/>
      <c r="I53" s="112"/>
      <c r="J53" s="112"/>
      <c r="K53" s="112"/>
    </row>
    <row r="54" spans="1:14" ht="15.75" thickBot="1">
      <c r="B54" s="105" t="s">
        <v>272</v>
      </c>
      <c r="C54" s="105"/>
      <c r="D54" s="105"/>
      <c r="E54" s="105"/>
      <c r="F54" s="105"/>
      <c r="G54" s="105"/>
      <c r="H54" s="109">
        <f>H52/H50</f>
        <v>0.15566894743124501</v>
      </c>
      <c r="I54" s="109">
        <f t="shared" ref="I54:K54" si="8">I52/I50</f>
        <v>8.0186213559609143E-2</v>
      </c>
      <c r="J54" s="109">
        <f t="shared" si="8"/>
        <v>7.4336171559386599E-2</v>
      </c>
      <c r="K54" s="109">
        <f t="shared" si="8"/>
        <v>0.10903384765589717</v>
      </c>
    </row>
    <row r="55" spans="1:14">
      <c r="B55" s="26"/>
      <c r="C55" s="26"/>
      <c r="D55" s="26"/>
      <c r="E55" s="26"/>
      <c r="F55" s="26"/>
      <c r="G55" s="26"/>
      <c r="H55" s="28"/>
      <c r="I55" s="28"/>
      <c r="J55" s="28"/>
      <c r="K55" s="28"/>
      <c r="M55"/>
      <c r="N55"/>
    </row>
    <row r="56" spans="1:14">
      <c r="B56" s="316" t="s">
        <v>273</v>
      </c>
      <c r="C56" s="317">
        <f>AVERAGE(H54:K54)</f>
        <v>0.10480629505153449</v>
      </c>
      <c r="D56" s="26"/>
      <c r="E56" s="26"/>
      <c r="F56" s="26"/>
      <c r="G56" s="26"/>
      <c r="H56" s="28"/>
      <c r="I56" s="28"/>
      <c r="J56" s="28"/>
      <c r="K56" s="28"/>
      <c r="M56"/>
      <c r="N56"/>
    </row>
    <row r="57" spans="1:14">
      <c r="B57" s="316" t="s">
        <v>274</v>
      </c>
      <c r="C57" s="317">
        <f>MEDIAN(H54:K54)</f>
        <v>9.4610030607753165E-2</v>
      </c>
      <c r="D57" s="26"/>
      <c r="E57" s="26"/>
      <c r="F57" s="26"/>
      <c r="G57" s="26"/>
      <c r="H57" s="28"/>
      <c r="I57" s="28"/>
      <c r="J57" s="28"/>
      <c r="K57" s="28"/>
      <c r="M57"/>
      <c r="N57"/>
    </row>
    <row r="58" spans="1:14">
      <c r="H58" s="24"/>
      <c r="I58" s="24"/>
      <c r="J58" s="24"/>
      <c r="K58" s="24"/>
    </row>
    <row r="59" spans="1:14">
      <c r="A59" s="3" t="s">
        <v>78</v>
      </c>
      <c r="B59" s="97" t="s">
        <v>275</v>
      </c>
      <c r="C59" s="19"/>
      <c r="D59" s="19"/>
      <c r="E59" s="19"/>
      <c r="F59" s="19"/>
      <c r="G59" s="98">
        <f>G42</f>
        <v>44256</v>
      </c>
      <c r="H59" s="98">
        <f>H42</f>
        <v>44621</v>
      </c>
      <c r="I59" s="98">
        <f>I42</f>
        <v>44986</v>
      </c>
      <c r="J59" s="98">
        <f>J42</f>
        <v>45352</v>
      </c>
      <c r="K59" s="98">
        <f>K42</f>
        <v>45717</v>
      </c>
    </row>
    <row r="61" spans="1:14">
      <c r="B61" s="99" t="s">
        <v>272</v>
      </c>
      <c r="C61" s="99"/>
      <c r="D61" s="99"/>
      <c r="E61" s="211"/>
      <c r="F61" s="99"/>
      <c r="G61" s="99"/>
      <c r="H61" s="113">
        <f>H54</f>
        <v>0.15566894743124501</v>
      </c>
      <c r="I61" s="113">
        <f>I54</f>
        <v>8.0186213559609143E-2</v>
      </c>
      <c r="J61" s="113">
        <f>J54</f>
        <v>7.4336171559386599E-2</v>
      </c>
      <c r="K61" s="113">
        <f>K54</f>
        <v>0.10903384765589717</v>
      </c>
    </row>
    <row r="62" spans="1:14">
      <c r="B62" s="99" t="s">
        <v>268</v>
      </c>
      <c r="C62" s="99"/>
      <c r="D62" s="99"/>
      <c r="E62" s="211"/>
      <c r="F62" s="99"/>
      <c r="G62" s="99"/>
      <c r="H62" s="113">
        <f>H40</f>
        <v>0.47990514172709298</v>
      </c>
      <c r="I62" s="113">
        <f>I40</f>
        <v>0.55924459812509597</v>
      </c>
      <c r="J62" s="113">
        <f>J40</f>
        <v>0.5563882068945214</v>
      </c>
      <c r="K62" s="113">
        <f>K40</f>
        <v>0.95269543936987433</v>
      </c>
    </row>
    <row r="63" spans="1:14">
      <c r="E63" s="212"/>
    </row>
    <row r="64" spans="1:14" ht="15.75" thickBot="1">
      <c r="B64" s="105" t="s">
        <v>276</v>
      </c>
      <c r="C64" s="105"/>
      <c r="D64" s="105"/>
      <c r="E64" s="213"/>
      <c r="F64" s="105"/>
      <c r="G64" s="105"/>
      <c r="H64" s="114">
        <f>H61*H62</f>
        <v>7.4706328279499024E-2</v>
      </c>
      <c r="I64" s="114">
        <f t="shared" ref="I64:K64" si="9">I61*I62</f>
        <v>4.4843706777316736E-2</v>
      </c>
      <c r="J64" s="114">
        <f t="shared" si="9"/>
        <v>4.135976920133063E-2</v>
      </c>
      <c r="K64" s="114">
        <f t="shared" si="9"/>
        <v>0.1038760493987229</v>
      </c>
    </row>
    <row r="66" spans="2:13">
      <c r="B66" s="316" t="s">
        <v>273</v>
      </c>
      <c r="C66" s="317">
        <f>AVERAGE(H64:K64)</f>
        <v>6.6196463414217324E-2</v>
      </c>
    </row>
    <row r="67" spans="2:13">
      <c r="B67" s="316" t="s">
        <v>274</v>
      </c>
      <c r="C67" s="317">
        <f>MEDIAN(H64:K64)</f>
        <v>5.977501752840788E-2</v>
      </c>
    </row>
    <row r="68" spans="2:13">
      <c r="M68" s="115"/>
    </row>
    <row r="74" spans="2:13">
      <c r="B74"/>
    </row>
  </sheetData>
  <pageMargins left="0.7" right="0.7" top="0.75" bottom="0.75" header="0.3" footer="0.3"/>
  <pageSetup orientation="portrait" r:id="rId1"/>
  <ignoredErrors>
    <ignoredError sqref="G44:K44"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47"/>
  <sheetViews>
    <sheetView showGridLines="0" tabSelected="1" topLeftCell="A9" workbookViewId="0">
      <selection activeCell="R27" sqref="R27"/>
    </sheetView>
  </sheetViews>
  <sheetFormatPr defaultRowHeight="15"/>
  <cols>
    <col min="1" max="1" width="1.85546875" style="3" customWidth="1"/>
    <col min="2" max="2" width="9.140625" style="3"/>
    <col min="3" max="3" width="17.5703125" style="3" customWidth="1"/>
    <col min="4" max="4" width="15.42578125" style="3" customWidth="1"/>
    <col min="5" max="5" width="6.5703125" style="3" customWidth="1"/>
    <col min="6" max="6" width="12" style="3" customWidth="1"/>
    <col min="7" max="7" width="11" style="3" customWidth="1"/>
    <col min="8" max="8" width="12.28515625" style="3" bestFit="1" customWidth="1"/>
    <col min="9" max="11" width="11.140625" style="3" bestFit="1" customWidth="1"/>
    <col min="12" max="16384" width="9.140625" style="3"/>
  </cols>
  <sheetData>
    <row r="1" spans="1:16" ht="9.75" customHeight="1"/>
    <row r="2" spans="1:16" ht="18" customHeight="1">
      <c r="B2" s="18" t="s">
        <v>289</v>
      </c>
      <c r="C2" s="19"/>
      <c r="D2" s="19"/>
      <c r="E2" s="19"/>
      <c r="F2" s="19"/>
      <c r="G2" s="19"/>
      <c r="H2" s="19"/>
      <c r="I2" s="19"/>
      <c r="J2" s="19"/>
      <c r="K2" s="19"/>
      <c r="L2"/>
      <c r="M2"/>
      <c r="N2"/>
      <c r="O2"/>
      <c r="P2"/>
    </row>
    <row r="3" spans="1:16">
      <c r="B3" s="20" t="str">
        <f>'[2]Data Sheet'!B1</f>
        <v>ITC LTD</v>
      </c>
      <c r="C3" s="19"/>
      <c r="D3" s="19"/>
      <c r="E3" s="19"/>
      <c r="F3" s="19"/>
      <c r="G3" s="19"/>
      <c r="H3" s="19"/>
      <c r="I3" s="19"/>
      <c r="J3" s="19"/>
      <c r="K3" s="19"/>
      <c r="L3"/>
      <c r="M3"/>
      <c r="N3"/>
      <c r="O3"/>
      <c r="P3"/>
    </row>
    <row r="4" spans="1:16" ht="4.5" customHeight="1"/>
    <row r="5" spans="1:16">
      <c r="A5" s="3" t="s">
        <v>78</v>
      </c>
      <c r="B5" s="97" t="s">
        <v>290</v>
      </c>
      <c r="C5" s="120"/>
      <c r="D5" s="120"/>
      <c r="E5" s="120"/>
      <c r="F5" s="121">
        <f>'Intrinsic Growth'!K5</f>
        <v>45717</v>
      </c>
      <c r="G5" s="122">
        <f>F5+365</f>
        <v>46082</v>
      </c>
      <c r="H5" s="122">
        <f>G5+366</f>
        <v>46448</v>
      </c>
      <c r="I5" s="122">
        <f t="shared" ref="I5:K5" si="0">H5+365</f>
        <v>46813</v>
      </c>
      <c r="J5" s="122">
        <f t="shared" si="0"/>
        <v>47178</v>
      </c>
      <c r="K5" s="122">
        <f t="shared" si="0"/>
        <v>47543</v>
      </c>
    </row>
    <row r="7" spans="1:16">
      <c r="B7" s="3" t="s">
        <v>445</v>
      </c>
      <c r="F7" s="79">
        <f>D19</f>
        <v>6.6196463414217324E-2</v>
      </c>
      <c r="G7" s="79">
        <f>F7-(($F$7-$K$7)/4)</f>
        <v>5.9647347560662992E-2</v>
      </c>
      <c r="H7" s="79">
        <f t="shared" ref="H7:J7" si="1">G7-(($F$7-$K$7)/4)</f>
        <v>5.3098231707108659E-2</v>
      </c>
      <c r="I7" s="79">
        <f t="shared" si="1"/>
        <v>4.6549115853554326E-2</v>
      </c>
      <c r="J7" s="79">
        <f t="shared" si="1"/>
        <v>3.9999999999999994E-2</v>
      </c>
      <c r="K7" s="79">
        <f>D18</f>
        <v>0.04</v>
      </c>
    </row>
    <row r="8" spans="1:16">
      <c r="B8" s="99" t="s">
        <v>93</v>
      </c>
      <c r="C8" s="99"/>
      <c r="D8" s="99"/>
      <c r="E8" s="99"/>
      <c r="F8" s="123">
        <f>'Data Sheet'!K33</f>
        <v>41988.009999999995</v>
      </c>
      <c r="G8" s="124">
        <f>F8*(1+G7)</f>
        <v>44492.483425850587</v>
      </c>
      <c r="H8" s="124">
        <f t="shared" ref="H8:K8" si="2">G8*(1+H7)</f>
        <v>46854.955620021094</v>
      </c>
      <c r="I8" s="124">
        <f t="shared" si="2"/>
        <v>49036.012377490595</v>
      </c>
      <c r="J8" s="124">
        <f t="shared" si="2"/>
        <v>50997.45287259022</v>
      </c>
      <c r="K8" s="124">
        <f t="shared" si="2"/>
        <v>53037.350987493832</v>
      </c>
    </row>
    <row r="9" spans="1:16">
      <c r="B9" s="99" t="s">
        <v>148</v>
      </c>
      <c r="C9" s="99"/>
      <c r="D9" s="99"/>
      <c r="E9" s="99"/>
      <c r="F9" s="125">
        <v>0.3</v>
      </c>
      <c r="G9" s="113">
        <f>F9</f>
        <v>0.3</v>
      </c>
      <c r="H9" s="113">
        <f t="shared" ref="H9:K9" si="3">G9</f>
        <v>0.3</v>
      </c>
      <c r="I9" s="113">
        <f t="shared" si="3"/>
        <v>0.3</v>
      </c>
      <c r="J9" s="113">
        <f t="shared" si="3"/>
        <v>0.3</v>
      </c>
      <c r="K9" s="113">
        <f t="shared" si="3"/>
        <v>0.3</v>
      </c>
    </row>
    <row r="10" spans="1:16">
      <c r="B10" s="99" t="s">
        <v>271</v>
      </c>
      <c r="C10" s="99"/>
      <c r="D10" s="99"/>
      <c r="E10" s="99"/>
      <c r="F10" s="126">
        <f t="shared" ref="F10:K10" si="4">F8*(1-F9)</f>
        <v>29391.606999999993</v>
      </c>
      <c r="G10" s="127">
        <f t="shared" si="4"/>
        <v>31144.738398095407</v>
      </c>
      <c r="H10" s="127">
        <f t="shared" si="4"/>
        <v>32798.468934014767</v>
      </c>
      <c r="I10" s="127">
        <f t="shared" si="4"/>
        <v>34325.208664243415</v>
      </c>
      <c r="J10" s="127">
        <f t="shared" si="4"/>
        <v>35698.217010813154</v>
      </c>
      <c r="K10" s="127">
        <f t="shared" si="4"/>
        <v>37126.145691245678</v>
      </c>
    </row>
    <row r="11" spans="1:16">
      <c r="B11" s="99" t="s">
        <v>291</v>
      </c>
      <c r="C11" s="99"/>
      <c r="D11" s="99"/>
      <c r="E11" s="99"/>
      <c r="F11" s="128">
        <f>'Intrinsic Growth'!C57</f>
        <v>9.4610030607753165E-2</v>
      </c>
      <c r="G11" s="113">
        <f>F11+(($K$11-$F$11)/4)</f>
        <v>0.15095752295581488</v>
      </c>
      <c r="H11" s="113">
        <f>G11+(($K$11-$F$11)/4)</f>
        <v>0.2073050153038766</v>
      </c>
      <c r="I11" s="113">
        <f>H11+(($K$11-$F$11)/4)</f>
        <v>0.26365250765193832</v>
      </c>
      <c r="J11" s="113">
        <f>I11+(($K$11-$F$11)/4)</f>
        <v>0.32</v>
      </c>
      <c r="K11" s="110">
        <v>0.32</v>
      </c>
    </row>
    <row r="12" spans="1:16">
      <c r="B12" s="99" t="s">
        <v>292</v>
      </c>
      <c r="C12" s="99"/>
      <c r="D12" s="99"/>
      <c r="E12" s="99"/>
      <c r="F12" s="126">
        <f t="shared" ref="F12:K12" si="5">F10*(1-F11)</f>
        <v>26610.866162118942</v>
      </c>
      <c r="G12" s="127">
        <f>G10*(1-G11)</f>
        <v>26443.205836412071</v>
      </c>
      <c r="H12" s="127">
        <f t="shared" si="5"/>
        <v>25999.181829705114</v>
      </c>
      <c r="I12" s="127">
        <f t="shared" si="5"/>
        <v>25275.281324239601</v>
      </c>
      <c r="J12" s="127">
        <f t="shared" si="5"/>
        <v>24274.787567352942</v>
      </c>
      <c r="K12" s="127">
        <f t="shared" si="5"/>
        <v>25245.779070047058</v>
      </c>
    </row>
    <row r="13" spans="1:16">
      <c r="B13" s="99" t="s">
        <v>293</v>
      </c>
      <c r="C13" s="99"/>
      <c r="D13" s="99"/>
      <c r="E13" s="99"/>
      <c r="F13" s="129"/>
      <c r="G13" s="130">
        <v>0.5</v>
      </c>
      <c r="H13" s="99">
        <f>+G13+1</f>
        <v>1.5</v>
      </c>
      <c r="I13" s="99">
        <f t="shared" ref="I13:K13" si="6">+H13+1</f>
        <v>2.5</v>
      </c>
      <c r="J13" s="99">
        <f t="shared" si="6"/>
        <v>3.5</v>
      </c>
      <c r="K13" s="99">
        <f t="shared" si="6"/>
        <v>4.5</v>
      </c>
    </row>
    <row r="14" spans="1:16">
      <c r="B14" s="99" t="s">
        <v>294</v>
      </c>
      <c r="C14" s="99"/>
      <c r="D14" s="99"/>
      <c r="E14" s="99"/>
      <c r="F14" s="129"/>
      <c r="G14" s="131">
        <f>1/(1+$D$21)^G13</f>
        <v>0.94110833801536309</v>
      </c>
      <c r="H14" s="131">
        <f t="shared" ref="H14:K14" si="7">1/(1+$D$21)^H13</f>
        <v>0.83352544789772209</v>
      </c>
      <c r="I14" s="131">
        <f t="shared" si="7"/>
        <v>0.73824090620452731</v>
      </c>
      <c r="J14" s="131">
        <f t="shared" si="7"/>
        <v>0.65384882605354611</v>
      </c>
      <c r="K14" s="131">
        <f t="shared" si="7"/>
        <v>0.57910403465661886</v>
      </c>
    </row>
    <row r="15" spans="1:16" ht="4.5" customHeight="1">
      <c r="F15" s="68"/>
    </row>
    <row r="16" spans="1:16" ht="15.75" thickBot="1">
      <c r="B16" s="105" t="s">
        <v>295</v>
      </c>
      <c r="C16" s="105"/>
      <c r="D16" s="105"/>
      <c r="E16" s="105"/>
      <c r="F16" s="132"/>
      <c r="G16" s="133">
        <f>G12*G14</f>
        <v>24885.921496503914</v>
      </c>
      <c r="H16" s="133">
        <f t="shared" ref="H16:K16" si="8">H12*H14</f>
        <v>21670.979679579272</v>
      </c>
      <c r="I16" s="133">
        <f t="shared" si="8"/>
        <v>18659.246589381008</v>
      </c>
      <c r="J16" s="133">
        <f t="shared" si="8"/>
        <v>15872.041353612936</v>
      </c>
      <c r="K16" s="133">
        <f t="shared" si="8"/>
        <v>14619.932517513875</v>
      </c>
    </row>
    <row r="18" spans="1:12">
      <c r="B18" s="68" t="s">
        <v>8756</v>
      </c>
      <c r="C18" s="68"/>
      <c r="D18" s="134">
        <v>0.04</v>
      </c>
      <c r="E18" s="203"/>
    </row>
    <row r="19" spans="1:12">
      <c r="B19" s="68" t="s">
        <v>276</v>
      </c>
      <c r="C19" s="210"/>
      <c r="D19" s="217">
        <f>'Intrinsic Growth'!C66</f>
        <v>6.6196463414217324E-2</v>
      </c>
      <c r="E19" s="203"/>
      <c r="G19" s="323" t="s">
        <v>8760</v>
      </c>
      <c r="H19" s="323"/>
      <c r="I19" s="323"/>
      <c r="J19" s="323"/>
      <c r="K19" s="323"/>
    </row>
    <row r="20" spans="1:12">
      <c r="B20" s="68" t="s">
        <v>8757</v>
      </c>
      <c r="C20" s="68"/>
      <c r="D20" s="134">
        <v>6.5000000000000002E-2</v>
      </c>
      <c r="E20" s="203"/>
      <c r="G20" s="324" t="str">
        <f>IF(D19&gt;D20,"Pass","Recheck")</f>
        <v>Pass</v>
      </c>
      <c r="H20" s="324"/>
      <c r="I20" s="324"/>
      <c r="J20" s="324"/>
      <c r="K20" s="324"/>
    </row>
    <row r="21" spans="1:12">
      <c r="B21" s="68" t="s">
        <v>296</v>
      </c>
      <c r="C21" s="210"/>
      <c r="D21" s="218">
        <f>WACC!J40</f>
        <v>0.12906971273520373</v>
      </c>
      <c r="E21"/>
    </row>
    <row r="22" spans="1:12">
      <c r="E22"/>
    </row>
    <row r="23" spans="1:12">
      <c r="A23" s="3" t="s">
        <v>78</v>
      </c>
      <c r="B23" s="97" t="s">
        <v>447</v>
      </c>
      <c r="C23" s="120"/>
      <c r="D23" s="120"/>
      <c r="E23"/>
      <c r="G23" s="97" t="s">
        <v>421</v>
      </c>
      <c r="H23" s="97"/>
      <c r="I23" s="120"/>
      <c r="J23" s="120"/>
      <c r="K23" s="120"/>
    </row>
    <row r="24" spans="1:12">
      <c r="E24"/>
      <c r="G24" s="135">
        <f>D43</f>
        <v>268.92544766454955</v>
      </c>
      <c r="H24" s="136">
        <v>0.1</v>
      </c>
      <c r="I24" s="201">
        <f>D21</f>
        <v>0.12906971273520373</v>
      </c>
      <c r="J24" s="136">
        <v>0.14000000000000001</v>
      </c>
      <c r="K24" s="136">
        <v>0.16</v>
      </c>
      <c r="L24" s="202" t="s">
        <v>296</v>
      </c>
    </row>
    <row r="25" spans="1:12">
      <c r="B25" s="3" t="s">
        <v>297</v>
      </c>
      <c r="D25" s="23">
        <f>K12*(1+D18)</f>
        <v>26255.61023284894</v>
      </c>
      <c r="E25"/>
      <c r="F25"/>
      <c r="G25" s="136">
        <v>0.04</v>
      </c>
      <c r="H25" s="177">
        <f t="dataTable" ref="H25:K29" dt2D="1" dtr="1" r1="D26" r2="D27"/>
        <v>281.78009890289775</v>
      </c>
      <c r="I25" s="177">
        <v>215.73204764871903</v>
      </c>
      <c r="J25" s="177">
        <v>200.83150466645759</v>
      </c>
      <c r="K25" s="177">
        <v>180.59435610734761</v>
      </c>
    </row>
    <row r="26" spans="1:12">
      <c r="B26" s="3" t="s">
        <v>296</v>
      </c>
      <c r="D26" s="79">
        <f>D21</f>
        <v>0.12906971273520373</v>
      </c>
      <c r="E26"/>
      <c r="F26"/>
      <c r="G26" s="201">
        <v>6.5000000000000002E-2</v>
      </c>
      <c r="H26" s="177">
        <v>426.33116003939796</v>
      </c>
      <c r="I26" s="200">
        <v>268.92544766454955</v>
      </c>
      <c r="J26" s="177">
        <v>241.30580178467764</v>
      </c>
      <c r="K26" s="177">
        <v>207.22218315880815</v>
      </c>
    </row>
    <row r="27" spans="1:12">
      <c r="B27" s="3" t="s">
        <v>298</v>
      </c>
      <c r="D27" s="79">
        <f>D20</f>
        <v>6.5000000000000002E-2</v>
      </c>
      <c r="E27"/>
      <c r="F27"/>
      <c r="G27" s="136">
        <v>7.0000000000000007E-2</v>
      </c>
      <c r="H27" s="177">
        <v>484.1515844939982</v>
      </c>
      <c r="I27" s="177">
        <v>284.96724180720213</v>
      </c>
      <c r="J27" s="177">
        <v>252.86988667559766</v>
      </c>
      <c r="K27" s="177">
        <v>214.32293703919763</v>
      </c>
    </row>
    <row r="28" spans="1:12">
      <c r="D28" s="79"/>
      <c r="E28"/>
      <c r="F28"/>
      <c r="G28" s="209">
        <v>7.4999999999999997E-2</v>
      </c>
      <c r="H28" s="177">
        <v>565.10017873043807</v>
      </c>
      <c r="I28" s="177">
        <v>303.97590840601407</v>
      </c>
      <c r="J28" s="177">
        <v>266.21306154973615</v>
      </c>
      <c r="K28" s="177">
        <v>222.2590737290447</v>
      </c>
    </row>
    <row r="29" spans="1:12" ht="15.75" thickBot="1">
      <c r="B29" s="105" t="s">
        <v>299</v>
      </c>
      <c r="C29" s="105"/>
      <c r="D29" s="133">
        <f>D25/(D26-D27)</f>
        <v>409797.53321763431</v>
      </c>
      <c r="E29"/>
      <c r="F29"/>
      <c r="G29" s="136">
        <v>0.08</v>
      </c>
      <c r="H29" s="177">
        <v>686.52307008509842</v>
      </c>
      <c r="I29" s="177">
        <v>326.85838341723485</v>
      </c>
      <c r="J29" s="177">
        <v>281.78009890289769</v>
      </c>
      <c r="K29" s="177">
        <v>231.18722750512271</v>
      </c>
    </row>
    <row r="30" spans="1:12">
      <c r="E30"/>
      <c r="F30"/>
      <c r="G30" s="202" t="s">
        <v>445</v>
      </c>
    </row>
    <row r="31" spans="1:12" ht="5.25" customHeight="1">
      <c r="E31"/>
    </row>
    <row r="32" spans="1:12">
      <c r="A32" s="3" t="s">
        <v>78</v>
      </c>
      <c r="B32" s="97" t="s">
        <v>300</v>
      </c>
      <c r="C32" s="120"/>
      <c r="D32" s="120"/>
      <c r="E32"/>
    </row>
    <row r="33" spans="2:5" ht="6" customHeight="1">
      <c r="E33"/>
    </row>
    <row r="34" spans="2:5">
      <c r="B34" s="3" t="s">
        <v>295</v>
      </c>
      <c r="D34" s="23">
        <f>SUM(G16:K16)</f>
        <v>95708.121636591008</v>
      </c>
    </row>
    <row r="35" spans="2:5">
      <c r="B35" s="3" t="s">
        <v>301</v>
      </c>
      <c r="D35" s="23">
        <f>D29*K14</f>
        <v>237315.40487866182</v>
      </c>
      <c r="E35" s="23"/>
    </row>
    <row r="36" spans="2:5">
      <c r="B36" s="26" t="s">
        <v>302</v>
      </c>
      <c r="C36" s="26"/>
      <c r="D36" s="21">
        <f>SUM(D34:D35)</f>
        <v>333023.52651525283</v>
      </c>
      <c r="E36" s="23"/>
    </row>
    <row r="37" spans="2:5">
      <c r="B37" s="170" t="s">
        <v>420</v>
      </c>
      <c r="D37" s="23"/>
      <c r="E37" s="21"/>
    </row>
    <row r="38" spans="2:5">
      <c r="B38" s="3" t="s">
        <v>303</v>
      </c>
      <c r="D38" s="23">
        <f>'Data Sheet'!K69</f>
        <v>4012.36</v>
      </c>
      <c r="E38" s="23"/>
    </row>
    <row r="39" spans="2:5">
      <c r="B39" s="3" t="s">
        <v>304</v>
      </c>
      <c r="D39" s="23">
        <f>SUM('RAW FSn'!N8:N10)</f>
        <v>284</v>
      </c>
      <c r="E39" s="23"/>
    </row>
    <row r="40" spans="2:5">
      <c r="B40" s="26" t="s">
        <v>305</v>
      </c>
      <c r="C40" s="26"/>
      <c r="D40" s="21">
        <f>D36+D38-D39</f>
        <v>336751.88651525282</v>
      </c>
      <c r="E40" s="23"/>
    </row>
    <row r="41" spans="2:5">
      <c r="B41" s="40" t="s">
        <v>306</v>
      </c>
      <c r="C41" s="26"/>
      <c r="D41" s="137">
        <f>'Data Sheet'!B6</f>
        <v>1252.2127951807229</v>
      </c>
      <c r="E41" s="21"/>
    </row>
    <row r="42" spans="2:5" ht="4.5" customHeight="1">
      <c r="E42" s="137"/>
    </row>
    <row r="43" spans="2:5" ht="15.75" thickBot="1">
      <c r="B43" s="105" t="s">
        <v>307</v>
      </c>
      <c r="C43" s="105"/>
      <c r="D43" s="133">
        <f>D40/D41</f>
        <v>268.92544766454955</v>
      </c>
    </row>
    <row r="44" spans="2:5">
      <c r="E44" s="21"/>
    </row>
    <row r="45" spans="2:5">
      <c r="B45" s="3" t="s">
        <v>308</v>
      </c>
      <c r="D45" s="171">
        <v>407</v>
      </c>
    </row>
    <row r="46" spans="2:5">
      <c r="B46" s="3" t="s">
        <v>309</v>
      </c>
      <c r="D46" s="138">
        <f>D45/D43</f>
        <v>1.5134305939974895</v>
      </c>
      <c r="E46" s="171"/>
    </row>
    <row r="47" spans="2:5">
      <c r="B47" s="215" t="s">
        <v>446</v>
      </c>
      <c r="C47" s="214"/>
      <c r="D47" s="216" t="str">
        <f>IF(D46&gt;1,"Overvalued","Undervalued")</f>
        <v>Overvalued</v>
      </c>
      <c r="E47" s="138"/>
    </row>
  </sheetData>
  <dataConsolidate/>
  <mergeCells count="2">
    <mergeCell ref="G19:K19"/>
    <mergeCell ref="G20:K20"/>
  </mergeCells>
  <pageMargins left="0.7" right="0.7" top="0.75" bottom="0.75" header="0.3" footer="0.3"/>
  <pageSetup orientation="portrait" r:id="rId1"/>
  <ignoredErrors>
    <ignoredError sqref="D39"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1"/>
  <sheetViews>
    <sheetView showGridLines="0" topLeftCell="B1" workbookViewId="0">
      <selection activeCell="N28" sqref="N28"/>
    </sheetView>
  </sheetViews>
  <sheetFormatPr defaultRowHeight="15"/>
  <cols>
    <col min="1" max="1" width="1.85546875" style="172" customWidth="1"/>
    <col min="2" max="2" width="9.85546875" style="173" customWidth="1"/>
    <col min="3" max="10" width="9.140625" style="173"/>
    <col min="11" max="11" width="2.140625" style="173" customWidth="1"/>
    <col min="12" max="16384" width="9.140625" style="173"/>
  </cols>
  <sheetData>
    <row r="1" spans="2:15" ht="8.25" customHeight="1"/>
    <row r="2" spans="2:15" ht="18.75">
      <c r="B2" s="18" t="s">
        <v>422</v>
      </c>
      <c r="C2" s="19"/>
      <c r="D2" s="19"/>
      <c r="E2" s="19"/>
      <c r="F2" s="19"/>
      <c r="G2" s="19"/>
      <c r="H2" s="19"/>
      <c r="I2" s="19"/>
      <c r="J2" s="19"/>
      <c r="K2" s="19"/>
      <c r="L2" s="19"/>
      <c r="M2" s="19"/>
      <c r="N2" s="19"/>
      <c r="O2" s="19"/>
    </row>
    <row r="3" spans="2:15">
      <c r="B3" s="20" t="str">
        <f>'Data Sheet'!B1</f>
        <v>ITC LTD</v>
      </c>
      <c r="C3" s="19"/>
      <c r="D3" s="19"/>
      <c r="E3" s="19"/>
      <c r="F3" s="19"/>
      <c r="G3" s="19"/>
      <c r="H3" s="19"/>
      <c r="I3" s="19"/>
      <c r="J3" s="19"/>
      <c r="K3" s="19"/>
      <c r="L3" s="19"/>
      <c r="M3" s="19"/>
      <c r="N3" s="19"/>
      <c r="O3" s="19"/>
    </row>
    <row r="4" spans="2:15">
      <c r="B4" s="219" t="s">
        <v>453</v>
      </c>
      <c r="C4" s="19"/>
      <c r="D4" s="19"/>
      <c r="E4" s="19"/>
      <c r="F4" s="19"/>
      <c r="G4" s="19"/>
      <c r="H4" s="19"/>
      <c r="I4" s="19"/>
      <c r="J4" s="19"/>
      <c r="K4" s="19"/>
      <c r="L4" s="19"/>
      <c r="M4" s="19"/>
      <c r="N4" s="19"/>
      <c r="O4" s="19"/>
    </row>
    <row r="5" spans="2:15" ht="4.5" customHeight="1"/>
    <row r="6" spans="2:15">
      <c r="J6" s="174" t="s">
        <v>423</v>
      </c>
      <c r="K6" s="175"/>
      <c r="L6" s="175"/>
      <c r="M6" s="175"/>
      <c r="N6" s="175"/>
      <c r="O6" s="175"/>
    </row>
    <row r="7" spans="2:15">
      <c r="L7" s="180" t="s">
        <v>424</v>
      </c>
      <c r="M7" s="180" t="s">
        <v>425</v>
      </c>
      <c r="N7" s="180" t="s">
        <v>426</v>
      </c>
      <c r="O7" s="180" t="s">
        <v>427</v>
      </c>
    </row>
    <row r="8" spans="2:15">
      <c r="J8" s="181" t="s">
        <v>428</v>
      </c>
      <c r="L8" s="178">
        <v>365.6</v>
      </c>
      <c r="M8" s="179">
        <f>L8</f>
        <v>365.6</v>
      </c>
      <c r="N8" s="178">
        <v>534.29999999999995</v>
      </c>
      <c r="O8" s="179">
        <f>N8</f>
        <v>534.29999999999995</v>
      </c>
    </row>
    <row r="9" spans="2:15">
      <c r="J9" s="181" t="s">
        <v>429</v>
      </c>
      <c r="L9" s="207">
        <f>DCF!K25</f>
        <v>180.59435610734761</v>
      </c>
      <c r="M9" s="179">
        <f t="shared" ref="M9:M12" si="0">L9</f>
        <v>180.59435610734761</v>
      </c>
      <c r="N9" s="208">
        <f>DCF!H25</f>
        <v>281.78009890289775</v>
      </c>
      <c r="O9" s="179">
        <f t="shared" ref="O9:O12" si="1">N9</f>
        <v>281.78009890289775</v>
      </c>
    </row>
    <row r="10" spans="2:15">
      <c r="J10" s="181" t="s">
        <v>430</v>
      </c>
      <c r="L10" s="207">
        <f>DCF!K26</f>
        <v>207.22218315880815</v>
      </c>
      <c r="M10" s="179">
        <f t="shared" si="0"/>
        <v>207.22218315880815</v>
      </c>
      <c r="N10" s="208">
        <f>DCF!H26</f>
        <v>426.33116003939796</v>
      </c>
      <c r="O10" s="179">
        <f t="shared" si="1"/>
        <v>426.33116003939796</v>
      </c>
    </row>
    <row r="11" spans="2:15">
      <c r="J11" s="181" t="s">
        <v>431</v>
      </c>
      <c r="L11" s="207">
        <f>DCF!K29</f>
        <v>231.18722750512271</v>
      </c>
      <c r="M11" s="179">
        <f t="shared" si="0"/>
        <v>231.18722750512271</v>
      </c>
      <c r="N11" s="208">
        <f>DCF!H29</f>
        <v>686.52307008509842</v>
      </c>
      <c r="O11" s="179">
        <f t="shared" si="1"/>
        <v>686.52307008509842</v>
      </c>
    </row>
    <row r="12" spans="2:15">
      <c r="J12" s="181" t="s">
        <v>432</v>
      </c>
      <c r="L12" s="178">
        <v>390</v>
      </c>
      <c r="M12" s="179">
        <f t="shared" si="0"/>
        <v>390</v>
      </c>
      <c r="N12" s="178">
        <v>495</v>
      </c>
      <c r="O12" s="179">
        <f t="shared" si="1"/>
        <v>495</v>
      </c>
    </row>
    <row r="21" spans="2:3">
      <c r="B21"/>
      <c r="C21" s="176" t="s">
        <v>433</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2060"/>
  </sheetPr>
  <dimension ref="A1"/>
  <sheetViews>
    <sheetView workbookViewId="0">
      <selection activeCell="Q31" sqref="Q31"/>
    </sheetView>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93"/>
  <sheetViews>
    <sheetView zoomScaleNormal="100" zoomScalePageLayoutView="120" workbookViewId="0">
      <pane xSplit="1" ySplit="1" topLeftCell="B55" activePane="bottomRight" state="frozen"/>
      <selection activeCell="C4" sqref="C4"/>
      <selection pane="topRight" activeCell="C4" sqref="C4"/>
      <selection pane="bottomLeft" activeCell="C4" sqref="C4"/>
      <selection pane="bottomRight" activeCell="E8" sqref="E8"/>
    </sheetView>
  </sheetViews>
  <sheetFormatPr defaultColWidth="8.85546875" defaultRowHeight="15"/>
  <cols>
    <col min="1" max="1" width="27.7109375" style="2" bestFit="1" customWidth="1"/>
    <col min="2" max="11" width="13.42578125" style="2" bestFit="1" customWidth="1"/>
    <col min="12" max="16384" width="8.85546875" style="2"/>
  </cols>
  <sheetData>
    <row r="1" spans="1:11" s="1" customFormat="1">
      <c r="A1" s="1" t="s">
        <v>0</v>
      </c>
      <c r="B1" s="1" t="s">
        <v>1</v>
      </c>
      <c r="E1" s="325" t="str">
        <f>IF(B2&lt;&gt;B3, "A NEW VERSION OF THE WORKSHEET IS AVAILABLE", "")</f>
        <v/>
      </c>
      <c r="F1" s="325"/>
      <c r="G1" s="325"/>
      <c r="H1" s="325"/>
      <c r="I1" s="325"/>
      <c r="J1" s="325"/>
      <c r="K1" s="325"/>
    </row>
    <row r="2" spans="1:11">
      <c r="A2" s="1" t="s">
        <v>2</v>
      </c>
      <c r="B2" s="2">
        <v>2.1</v>
      </c>
      <c r="E2" s="326" t="s">
        <v>3</v>
      </c>
      <c r="F2" s="326"/>
      <c r="G2" s="326"/>
      <c r="H2" s="326"/>
      <c r="I2" s="326"/>
      <c r="J2" s="326"/>
      <c r="K2" s="326"/>
    </row>
    <row r="3" spans="1:11">
      <c r="A3" s="1" t="s">
        <v>4</v>
      </c>
      <c r="B3" s="2">
        <v>2.1</v>
      </c>
    </row>
    <row r="4" spans="1:11">
      <c r="A4" s="1"/>
    </row>
    <row r="5" spans="1:11">
      <c r="A5" s="1" t="s">
        <v>5</v>
      </c>
    </row>
    <row r="6" spans="1:11">
      <c r="A6" s="2" t="s">
        <v>6</v>
      </c>
      <c r="B6" s="2">
        <f>IF(B9&gt;0, B9/B8, 0)</f>
        <v>1252.2127951807229</v>
      </c>
    </row>
    <row r="7" spans="1:11">
      <c r="A7" s="2" t="s">
        <v>7</v>
      </c>
      <c r="B7" s="3">
        <v>1</v>
      </c>
    </row>
    <row r="8" spans="1:11">
      <c r="A8" s="2" t="s">
        <v>8</v>
      </c>
      <c r="B8" s="3">
        <v>415</v>
      </c>
    </row>
    <row r="9" spans="1:11">
      <c r="A9" s="2" t="s">
        <v>9</v>
      </c>
      <c r="B9" s="3">
        <v>519668.31</v>
      </c>
    </row>
    <row r="15" spans="1:11">
      <c r="A15" s="1" t="s">
        <v>10</v>
      </c>
    </row>
    <row r="16" spans="1:11" s="6" customFormat="1">
      <c r="A16" s="4" t="s">
        <v>11</v>
      </c>
      <c r="B16" s="5">
        <v>42460</v>
      </c>
      <c r="C16" s="5">
        <v>42825</v>
      </c>
      <c r="D16" s="5">
        <v>43190</v>
      </c>
      <c r="E16" s="5">
        <v>43555</v>
      </c>
      <c r="F16" s="5">
        <v>43921</v>
      </c>
      <c r="G16" s="5">
        <v>44286</v>
      </c>
      <c r="H16" s="5">
        <v>44651</v>
      </c>
      <c r="I16" s="5">
        <v>45016</v>
      </c>
      <c r="J16" s="5">
        <v>45382</v>
      </c>
      <c r="K16" s="5">
        <v>45747</v>
      </c>
    </row>
    <row r="17" spans="1:11" s="7" customFormat="1">
      <c r="A17" s="7" t="s">
        <v>12</v>
      </c>
      <c r="B17" s="3">
        <v>39192.1</v>
      </c>
      <c r="C17" s="3">
        <v>42767.6</v>
      </c>
      <c r="D17" s="3">
        <v>43448.94</v>
      </c>
      <c r="E17" s="3">
        <v>48339.58</v>
      </c>
      <c r="F17" s="3">
        <v>49387.7</v>
      </c>
      <c r="G17" s="3">
        <v>49257.45</v>
      </c>
      <c r="H17" s="3">
        <v>60644.54</v>
      </c>
      <c r="I17" s="3">
        <v>70919.03</v>
      </c>
      <c r="J17" s="3">
        <v>67931.94</v>
      </c>
      <c r="K17" s="3">
        <v>75323.34</v>
      </c>
    </row>
    <row r="18" spans="1:11" s="7" customFormat="1">
      <c r="A18" s="2" t="s">
        <v>13</v>
      </c>
      <c r="B18" s="3">
        <v>13763.88</v>
      </c>
      <c r="C18" s="3">
        <v>15456.59</v>
      </c>
      <c r="D18" s="3">
        <v>14827.72</v>
      </c>
      <c r="E18" s="3">
        <v>17623.52</v>
      </c>
      <c r="F18" s="3">
        <v>18048.599999999999</v>
      </c>
      <c r="G18" s="3">
        <v>20776.71</v>
      </c>
      <c r="H18" s="3">
        <v>27071.07</v>
      </c>
      <c r="I18" s="3">
        <v>29364.36</v>
      </c>
      <c r="J18" s="3">
        <v>27348.57</v>
      </c>
      <c r="K18" s="3">
        <v>32704.37</v>
      </c>
    </row>
    <row r="19" spans="1:11" s="7" customFormat="1">
      <c r="A19" s="2" t="s">
        <v>14</v>
      </c>
      <c r="B19" s="3">
        <v>195.38</v>
      </c>
      <c r="C19" s="3">
        <v>-592.57000000000005</v>
      </c>
      <c r="D19" s="3">
        <v>-1027.76</v>
      </c>
      <c r="E19" s="3">
        <v>203.19</v>
      </c>
      <c r="F19" s="3">
        <v>703.13</v>
      </c>
      <c r="G19" s="3">
        <v>645.27</v>
      </c>
      <c r="H19" s="3">
        <v>686</v>
      </c>
      <c r="I19" s="3">
        <v>358.59</v>
      </c>
      <c r="J19" s="3">
        <v>367.77</v>
      </c>
      <c r="K19" s="3">
        <v>725.65</v>
      </c>
    </row>
    <row r="20" spans="1:11" s="7" customFormat="1">
      <c r="A20" s="2" t="s">
        <v>15</v>
      </c>
      <c r="B20" s="3">
        <v>571.88</v>
      </c>
      <c r="C20" s="3">
        <v>584.33000000000004</v>
      </c>
      <c r="D20" s="3">
        <v>653.5</v>
      </c>
      <c r="E20" s="3">
        <v>746.73</v>
      </c>
      <c r="F20" s="3">
        <v>780.85</v>
      </c>
      <c r="G20" s="3">
        <v>699.56</v>
      </c>
      <c r="H20" s="3">
        <v>889.77</v>
      </c>
      <c r="I20" s="3">
        <v>1232.3399999999999</v>
      </c>
      <c r="J20" s="3">
        <v>952.9</v>
      </c>
      <c r="K20" s="3">
        <v>975.35</v>
      </c>
    </row>
    <row r="21" spans="1:11" s="7" customFormat="1">
      <c r="A21" s="2" t="s">
        <v>16</v>
      </c>
      <c r="B21" s="3">
        <v>1581.59</v>
      </c>
      <c r="C21" s="3">
        <v>1683.9</v>
      </c>
      <c r="D21" s="3">
        <v>1697.62</v>
      </c>
      <c r="E21" s="3">
        <v>1871.01</v>
      </c>
      <c r="F21" s="3">
        <v>1908.29</v>
      </c>
      <c r="G21" s="3">
        <v>1587.18</v>
      </c>
      <c r="H21" s="3">
        <v>1887.67</v>
      </c>
      <c r="I21" s="3">
        <v>2327.8000000000002</v>
      </c>
      <c r="J21" s="3">
        <v>2183.7600000000002</v>
      </c>
      <c r="K21" s="3">
        <v>2345.36</v>
      </c>
    </row>
    <row r="22" spans="1:11" s="7" customFormat="1">
      <c r="A22" s="2" t="s">
        <v>17</v>
      </c>
      <c r="B22" s="3">
        <v>3440.97</v>
      </c>
      <c r="C22" s="3">
        <v>3631.73</v>
      </c>
      <c r="D22" s="3">
        <v>3760.9</v>
      </c>
      <c r="E22" s="3">
        <v>4177.88</v>
      </c>
      <c r="F22" s="3">
        <v>4295.79</v>
      </c>
      <c r="G22" s="3">
        <v>4463.33</v>
      </c>
      <c r="H22" s="3">
        <v>4890.55</v>
      </c>
      <c r="I22" s="3">
        <v>5736.22</v>
      </c>
      <c r="J22" s="3">
        <v>5548.53</v>
      </c>
      <c r="K22" s="3">
        <v>6169.78</v>
      </c>
    </row>
    <row r="23" spans="1:11" s="7" customFormat="1">
      <c r="A23" s="2" t="s">
        <v>18</v>
      </c>
      <c r="B23" s="3">
        <v>4261.78</v>
      </c>
      <c r="C23" s="3">
        <v>4179.74</v>
      </c>
      <c r="D23" s="3">
        <v>3954.87</v>
      </c>
      <c r="E23" s="3">
        <v>4546.3900000000003</v>
      </c>
      <c r="F23" s="3">
        <v>4488.63</v>
      </c>
      <c r="G23" s="3">
        <v>4236.7700000000004</v>
      </c>
      <c r="H23" s="3">
        <v>4858.38</v>
      </c>
      <c r="I23" s="3">
        <v>5604.08</v>
      </c>
      <c r="J23" s="3">
        <v>5312.45</v>
      </c>
      <c r="K23" s="3">
        <v>5793.29</v>
      </c>
    </row>
    <row r="24" spans="1:11" s="7" customFormat="1">
      <c r="A24" s="2" t="s">
        <v>19</v>
      </c>
      <c r="B24" s="3">
        <v>1235.8900000000001</v>
      </c>
      <c r="C24" s="3">
        <v>1169.23</v>
      </c>
      <c r="D24" s="3">
        <v>1005.98</v>
      </c>
      <c r="E24" s="3">
        <v>1039.8499999999999</v>
      </c>
      <c r="F24" s="3">
        <v>1225.1300000000001</v>
      </c>
      <c r="G24" s="3">
        <v>1074.3900000000001</v>
      </c>
      <c r="H24" s="3">
        <v>1109.95</v>
      </c>
      <c r="I24" s="3">
        <v>1308.56</v>
      </c>
      <c r="J24" s="3">
        <v>1765.97</v>
      </c>
      <c r="K24" s="3">
        <v>2221.39</v>
      </c>
    </row>
    <row r="25" spans="1:11" s="7" customFormat="1">
      <c r="A25" s="7" t="s">
        <v>20</v>
      </c>
      <c r="B25" s="3">
        <v>1483.11</v>
      </c>
      <c r="C25" s="3">
        <v>1758.63</v>
      </c>
      <c r="D25" s="3">
        <v>2239.81</v>
      </c>
      <c r="E25" s="3">
        <v>2080.44</v>
      </c>
      <c r="F25" s="3">
        <v>2417.3200000000002</v>
      </c>
      <c r="G25" s="3">
        <v>2576.9499999999998</v>
      </c>
      <c r="H25" s="3">
        <v>1909.72</v>
      </c>
      <c r="I25" s="3">
        <v>2097.64</v>
      </c>
      <c r="J25" s="3">
        <v>3330.45</v>
      </c>
      <c r="K25" s="3">
        <v>17794.88</v>
      </c>
    </row>
    <row r="26" spans="1:11" s="7" customFormat="1">
      <c r="A26" s="7" t="s">
        <v>21</v>
      </c>
      <c r="B26" s="3">
        <v>1077.4000000000001</v>
      </c>
      <c r="C26" s="3">
        <v>1152.79</v>
      </c>
      <c r="D26" s="3">
        <v>1236.28</v>
      </c>
      <c r="E26" s="3">
        <v>1396.61</v>
      </c>
      <c r="F26" s="3">
        <v>1644.91</v>
      </c>
      <c r="G26" s="3">
        <v>1645.59</v>
      </c>
      <c r="H26" s="3">
        <v>1732.41</v>
      </c>
      <c r="I26" s="3">
        <v>1809.01</v>
      </c>
      <c r="J26" s="3">
        <v>1518.05</v>
      </c>
      <c r="K26" s="3">
        <v>1646.32</v>
      </c>
    </row>
    <row r="27" spans="1:11" s="7" customFormat="1">
      <c r="A27" s="7" t="s">
        <v>22</v>
      </c>
      <c r="B27" s="3">
        <v>78.13</v>
      </c>
      <c r="C27" s="3">
        <v>49.03</v>
      </c>
      <c r="D27" s="3">
        <v>115.01</v>
      </c>
      <c r="E27" s="3">
        <v>71.400000000000006</v>
      </c>
      <c r="F27" s="3">
        <v>81.38</v>
      </c>
      <c r="G27" s="3">
        <v>57.97</v>
      </c>
      <c r="H27" s="3">
        <v>59.99</v>
      </c>
      <c r="I27" s="3">
        <v>77.77</v>
      </c>
      <c r="J27" s="3">
        <v>39.11</v>
      </c>
      <c r="K27" s="3">
        <v>45.06</v>
      </c>
    </row>
    <row r="28" spans="1:11" s="7" customFormat="1">
      <c r="A28" s="7" t="s">
        <v>23</v>
      </c>
      <c r="B28" s="3">
        <v>14859.07</v>
      </c>
      <c r="C28" s="3">
        <v>16026.32</v>
      </c>
      <c r="D28" s="3">
        <v>17409.11</v>
      </c>
      <c r="E28" s="3">
        <v>19149.82</v>
      </c>
      <c r="F28" s="3">
        <v>20034.57</v>
      </c>
      <c r="G28" s="3">
        <v>17938.169999999998</v>
      </c>
      <c r="H28" s="3">
        <v>20740.47</v>
      </c>
      <c r="I28" s="3">
        <v>25915.119999999999</v>
      </c>
      <c r="J28" s="3">
        <v>26960.82</v>
      </c>
      <c r="K28" s="3">
        <v>41942.949999999997</v>
      </c>
    </row>
    <row r="29" spans="1:11" s="7" customFormat="1">
      <c r="A29" s="7" t="s">
        <v>24</v>
      </c>
      <c r="B29" s="3">
        <v>5358.21</v>
      </c>
      <c r="C29" s="3">
        <v>5549.09</v>
      </c>
      <c r="D29" s="3">
        <v>5916.43</v>
      </c>
      <c r="E29" s="3">
        <v>6313.92</v>
      </c>
      <c r="F29" s="3">
        <v>4441.79</v>
      </c>
      <c r="G29" s="3">
        <v>4555.29</v>
      </c>
      <c r="H29" s="3">
        <v>5237.34</v>
      </c>
      <c r="I29" s="3">
        <v>6438.4</v>
      </c>
      <c r="J29" s="3">
        <v>6209.46</v>
      </c>
      <c r="K29" s="3">
        <v>6890.47</v>
      </c>
    </row>
    <row r="30" spans="1:11" s="7" customFormat="1">
      <c r="A30" s="7" t="s">
        <v>25</v>
      </c>
      <c r="B30" s="3">
        <v>9344.4500000000007</v>
      </c>
      <c r="C30" s="3">
        <v>10289.44</v>
      </c>
      <c r="D30" s="3">
        <v>11271.2</v>
      </c>
      <c r="E30" s="3">
        <v>12592.33</v>
      </c>
      <c r="F30" s="3">
        <v>15306.23</v>
      </c>
      <c r="G30" s="3">
        <v>13161.19</v>
      </c>
      <c r="H30" s="3">
        <v>15242.66</v>
      </c>
      <c r="I30" s="3">
        <v>19191.66</v>
      </c>
      <c r="J30" s="3">
        <v>20458.78</v>
      </c>
      <c r="K30" s="3">
        <v>34746.629999999997</v>
      </c>
    </row>
    <row r="31" spans="1:11" s="7" customFormat="1">
      <c r="A31" s="7" t="s">
        <v>26</v>
      </c>
      <c r="B31" s="3">
        <v>6840.12</v>
      </c>
      <c r="C31" s="3">
        <v>5770.02</v>
      </c>
      <c r="D31" s="3">
        <v>6285.21</v>
      </c>
      <c r="E31" s="3">
        <v>7048.7</v>
      </c>
      <c r="F31" s="3">
        <v>12476.58</v>
      </c>
      <c r="G31" s="3">
        <v>13231.96</v>
      </c>
      <c r="H31" s="3">
        <v>14171.8</v>
      </c>
      <c r="I31" s="3">
        <v>19263.400000000001</v>
      </c>
      <c r="J31" s="3">
        <v>17166.46</v>
      </c>
      <c r="K31" s="3">
        <v>17957.73</v>
      </c>
    </row>
    <row r="32" spans="1:11" s="7" customFormat="1"/>
    <row r="33" spans="1:11">
      <c r="A33" s="7" t="s">
        <v>93</v>
      </c>
      <c r="B33" s="2">
        <f>B28+B27</f>
        <v>14937.199999999999</v>
      </c>
      <c r="C33" s="2">
        <f t="shared" ref="C33:K33" si="0">C28+C27</f>
        <v>16075.35</v>
      </c>
      <c r="D33" s="2">
        <f t="shared" si="0"/>
        <v>17524.12</v>
      </c>
      <c r="E33" s="2">
        <f t="shared" si="0"/>
        <v>19221.22</v>
      </c>
      <c r="F33" s="2">
        <f t="shared" si="0"/>
        <v>20115.95</v>
      </c>
      <c r="G33" s="2">
        <f t="shared" si="0"/>
        <v>17996.14</v>
      </c>
      <c r="H33" s="2">
        <f t="shared" si="0"/>
        <v>20800.460000000003</v>
      </c>
      <c r="I33" s="2">
        <f t="shared" si="0"/>
        <v>25992.89</v>
      </c>
      <c r="J33" s="2">
        <f t="shared" si="0"/>
        <v>26999.93</v>
      </c>
      <c r="K33" s="2">
        <f t="shared" si="0"/>
        <v>41988.009999999995</v>
      </c>
    </row>
    <row r="34" spans="1:11">
      <c r="A34" s="7" t="s">
        <v>63</v>
      </c>
      <c r="B34" s="2">
        <f>B33+B26</f>
        <v>16014.599999999999</v>
      </c>
      <c r="C34" s="2">
        <f t="shared" ref="C34:K34" si="1">C33+C26</f>
        <v>17228.14</v>
      </c>
      <c r="D34" s="2">
        <f t="shared" si="1"/>
        <v>18760.399999999998</v>
      </c>
      <c r="E34" s="2">
        <f t="shared" si="1"/>
        <v>20617.830000000002</v>
      </c>
      <c r="F34" s="2">
        <f t="shared" si="1"/>
        <v>21760.86</v>
      </c>
      <c r="G34" s="2">
        <f t="shared" si="1"/>
        <v>19641.73</v>
      </c>
      <c r="H34" s="2">
        <f t="shared" si="1"/>
        <v>22532.870000000003</v>
      </c>
      <c r="I34" s="2">
        <f t="shared" si="1"/>
        <v>27801.899999999998</v>
      </c>
      <c r="J34" s="2">
        <f t="shared" si="1"/>
        <v>28517.98</v>
      </c>
      <c r="K34" s="2">
        <f t="shared" si="1"/>
        <v>43634.329999999994</v>
      </c>
    </row>
    <row r="35" spans="1:11">
      <c r="A35" s="7"/>
    </row>
    <row r="36" spans="1:11">
      <c r="A36" s="7"/>
    </row>
    <row r="37" spans="1:11">
      <c r="A37" s="7"/>
    </row>
    <row r="38" spans="1:11">
      <c r="A38" s="7"/>
    </row>
    <row r="39" spans="1:11">
      <c r="A39" s="7"/>
    </row>
    <row r="40" spans="1:11">
      <c r="A40" s="1" t="s">
        <v>27</v>
      </c>
    </row>
    <row r="41" spans="1:11" s="6" customFormat="1">
      <c r="A41" s="4" t="s">
        <v>11</v>
      </c>
      <c r="B41" s="5">
        <v>45016</v>
      </c>
      <c r="C41" s="5">
        <v>45107</v>
      </c>
      <c r="D41" s="5">
        <v>45199</v>
      </c>
      <c r="E41" s="5">
        <v>45291</v>
      </c>
      <c r="F41" s="5">
        <v>45382</v>
      </c>
      <c r="G41" s="5">
        <v>45473</v>
      </c>
      <c r="H41" s="5">
        <v>45565</v>
      </c>
      <c r="I41" s="5">
        <v>45657</v>
      </c>
      <c r="J41" s="5">
        <v>45747</v>
      </c>
      <c r="K41" s="5">
        <v>45838</v>
      </c>
    </row>
    <row r="42" spans="1:11" s="7" customFormat="1">
      <c r="A42" s="7" t="s">
        <v>12</v>
      </c>
      <c r="B42" s="3">
        <v>17634.89</v>
      </c>
      <c r="C42" s="3">
        <v>17164.46</v>
      </c>
      <c r="D42" s="3">
        <v>17774.47</v>
      </c>
      <c r="E42" s="3">
        <v>17195.240000000002</v>
      </c>
      <c r="F42" s="3">
        <v>17037.8</v>
      </c>
      <c r="G42" s="3">
        <v>17777.810000000001</v>
      </c>
      <c r="H42" s="3">
        <v>19990.36</v>
      </c>
      <c r="I42" s="3">
        <v>18790.169999999998</v>
      </c>
      <c r="J42" s="3">
        <v>18765</v>
      </c>
      <c r="K42" s="3">
        <v>21494.79</v>
      </c>
    </row>
    <row r="43" spans="1:11" s="7" customFormat="1">
      <c r="A43" s="7" t="s">
        <v>28</v>
      </c>
      <c r="B43" s="3">
        <v>11010.89</v>
      </c>
      <c r="C43" s="3">
        <v>10494.39</v>
      </c>
      <c r="D43" s="3">
        <v>11320.23</v>
      </c>
      <c r="E43" s="3">
        <v>10985.01</v>
      </c>
      <c r="F43" s="3">
        <v>10735.73</v>
      </c>
      <c r="G43" s="3">
        <v>11232.97</v>
      </c>
      <c r="H43" s="3">
        <v>13438.28</v>
      </c>
      <c r="I43" s="3">
        <v>12428.27</v>
      </c>
      <c r="J43" s="3">
        <v>12245.61</v>
      </c>
      <c r="K43" s="3">
        <v>14678.32</v>
      </c>
    </row>
    <row r="44" spans="1:11" s="7" customFormat="1">
      <c r="A44" s="7" t="s">
        <v>20</v>
      </c>
      <c r="B44" s="3">
        <v>682.52</v>
      </c>
      <c r="C44" s="3">
        <v>722.3</v>
      </c>
      <c r="D44" s="3">
        <v>673.5</v>
      </c>
      <c r="E44" s="3">
        <v>820.26</v>
      </c>
      <c r="F44" s="3">
        <v>868</v>
      </c>
      <c r="G44" s="3">
        <v>771.13</v>
      </c>
      <c r="H44" s="3">
        <v>690.31</v>
      </c>
      <c r="I44" s="3">
        <v>803.4</v>
      </c>
      <c r="J44" s="3">
        <v>15391.28</v>
      </c>
      <c r="K44" s="3">
        <v>750.97</v>
      </c>
    </row>
    <row r="45" spans="1:11" s="7" customFormat="1">
      <c r="A45" s="7" t="s">
        <v>21</v>
      </c>
      <c r="B45" s="3">
        <v>461.4</v>
      </c>
      <c r="C45" s="3">
        <v>442.46</v>
      </c>
      <c r="D45" s="3">
        <v>453.04</v>
      </c>
      <c r="E45" s="3">
        <v>384.04</v>
      </c>
      <c r="F45" s="3">
        <v>385.09</v>
      </c>
      <c r="G45" s="3">
        <v>403.13</v>
      </c>
      <c r="H45" s="3">
        <v>416.18</v>
      </c>
      <c r="I45" s="3">
        <v>415.98</v>
      </c>
      <c r="J45" s="3">
        <v>411.03</v>
      </c>
      <c r="K45" s="3">
        <v>422.96</v>
      </c>
    </row>
    <row r="46" spans="1:11" s="7" customFormat="1">
      <c r="A46" s="7" t="s">
        <v>22</v>
      </c>
      <c r="B46" s="3">
        <v>12.15</v>
      </c>
      <c r="C46" s="3">
        <v>9.9</v>
      </c>
      <c r="D46" s="3">
        <v>9.8699999999999992</v>
      </c>
      <c r="E46" s="3">
        <v>11.94</v>
      </c>
      <c r="F46" s="3">
        <v>10.72</v>
      </c>
      <c r="G46" s="3">
        <v>9.6</v>
      </c>
      <c r="H46" s="3">
        <v>14.73</v>
      </c>
      <c r="I46" s="3">
        <v>9.82</v>
      </c>
      <c r="J46" s="3">
        <v>10.91</v>
      </c>
      <c r="K46" s="3">
        <v>16.47</v>
      </c>
    </row>
    <row r="47" spans="1:11" s="7" customFormat="1">
      <c r="A47" s="7" t="s">
        <v>23</v>
      </c>
      <c r="B47" s="3">
        <v>6832.97</v>
      </c>
      <c r="C47" s="3">
        <v>6940.01</v>
      </c>
      <c r="D47" s="3">
        <v>6664.83</v>
      </c>
      <c r="E47" s="3">
        <v>6634.51</v>
      </c>
      <c r="F47" s="3">
        <v>6774.26</v>
      </c>
      <c r="G47" s="3">
        <v>6903.24</v>
      </c>
      <c r="H47" s="3">
        <v>6811.48</v>
      </c>
      <c r="I47" s="3">
        <v>6739.5</v>
      </c>
      <c r="J47" s="3">
        <v>21488.73</v>
      </c>
      <c r="K47" s="3">
        <v>7128.01</v>
      </c>
    </row>
    <row r="48" spans="1:11" s="7" customFormat="1">
      <c r="A48" s="7" t="s">
        <v>24</v>
      </c>
      <c r="B48" s="3">
        <v>1607.95</v>
      </c>
      <c r="C48" s="3">
        <v>1759.89</v>
      </c>
      <c r="D48" s="3">
        <v>1700.31</v>
      </c>
      <c r="E48" s="3">
        <v>1227.99</v>
      </c>
      <c r="F48" s="3">
        <v>1583.55</v>
      </c>
      <c r="G48" s="3">
        <v>1726.25</v>
      </c>
      <c r="H48" s="3">
        <v>1757.05</v>
      </c>
      <c r="I48" s="3">
        <v>1726.32</v>
      </c>
      <c r="J48" s="3">
        <v>1680.85</v>
      </c>
      <c r="K48" s="3">
        <v>1784.6</v>
      </c>
    </row>
    <row r="49" spans="1:11" s="7" customFormat="1">
      <c r="A49" s="7" t="s">
        <v>25</v>
      </c>
      <c r="B49" s="3">
        <v>5175.4799999999996</v>
      </c>
      <c r="C49" s="3">
        <v>5104.93</v>
      </c>
      <c r="D49" s="3">
        <v>4898.07</v>
      </c>
      <c r="E49" s="3">
        <v>5335.23</v>
      </c>
      <c r="F49" s="3">
        <v>5120.55</v>
      </c>
      <c r="G49" s="3">
        <v>5091.59</v>
      </c>
      <c r="H49" s="3">
        <v>4992.87</v>
      </c>
      <c r="I49" s="3">
        <v>4934.8</v>
      </c>
      <c r="J49" s="3">
        <v>19727.37</v>
      </c>
      <c r="K49" s="3">
        <v>5244.2</v>
      </c>
    </row>
    <row r="50" spans="1:11">
      <c r="A50" s="7" t="s">
        <v>29</v>
      </c>
      <c r="B50" s="3">
        <v>6624</v>
      </c>
      <c r="C50" s="3">
        <v>6670.07</v>
      </c>
      <c r="D50" s="3">
        <v>6454.24</v>
      </c>
      <c r="E50" s="3">
        <v>6210.23</v>
      </c>
      <c r="F50" s="3">
        <v>6302.07</v>
      </c>
      <c r="G50" s="3">
        <v>6544.84</v>
      </c>
      <c r="H50" s="3">
        <v>6552.08</v>
      </c>
      <c r="I50" s="3">
        <v>6361.9</v>
      </c>
      <c r="J50" s="3">
        <v>6519.39</v>
      </c>
      <c r="K50" s="3">
        <v>6816.47</v>
      </c>
    </row>
    <row r="51" spans="1:11">
      <c r="A51" s="7" t="s">
        <v>63</v>
      </c>
      <c r="B51" s="2">
        <f>B49+B48+B46+B45</f>
        <v>7256.9799999999987</v>
      </c>
      <c r="C51" s="2">
        <f t="shared" ref="C51:K51" si="2">C49+C48+C46+C45</f>
        <v>7317.18</v>
      </c>
      <c r="D51" s="2">
        <f t="shared" si="2"/>
        <v>7061.2899999999991</v>
      </c>
      <c r="E51" s="2">
        <f t="shared" si="2"/>
        <v>6959.1999999999989</v>
      </c>
      <c r="F51" s="2">
        <f t="shared" si="2"/>
        <v>7099.9100000000008</v>
      </c>
      <c r="G51" s="2">
        <f t="shared" si="2"/>
        <v>7230.5700000000006</v>
      </c>
      <c r="H51" s="2">
        <f t="shared" si="2"/>
        <v>7180.83</v>
      </c>
      <c r="I51" s="2">
        <f t="shared" si="2"/>
        <v>7086.92</v>
      </c>
      <c r="J51" s="2">
        <f t="shared" si="2"/>
        <v>21830.159999999996</v>
      </c>
      <c r="K51" s="2">
        <f t="shared" si="2"/>
        <v>7468.23</v>
      </c>
    </row>
    <row r="52" spans="1:11">
      <c r="A52" s="7"/>
    </row>
    <row r="53" spans="1:11">
      <c r="A53" s="7"/>
    </row>
    <row r="54" spans="1:11">
      <c r="A54" s="7"/>
    </row>
    <row r="55" spans="1:11">
      <c r="A55" s="1" t="s">
        <v>30</v>
      </c>
    </row>
    <row r="56" spans="1:11" s="6" customFormat="1">
      <c r="A56" s="4" t="s">
        <v>11</v>
      </c>
      <c r="B56" s="5">
        <v>42460</v>
      </c>
      <c r="C56" s="5">
        <v>42825</v>
      </c>
      <c r="D56" s="5">
        <v>43190</v>
      </c>
      <c r="E56" s="5">
        <v>43555</v>
      </c>
      <c r="F56" s="5">
        <v>43921</v>
      </c>
      <c r="G56" s="5">
        <v>44286</v>
      </c>
      <c r="H56" s="5">
        <v>44651</v>
      </c>
      <c r="I56" s="5">
        <v>45016</v>
      </c>
      <c r="J56" s="5">
        <v>45382</v>
      </c>
      <c r="K56" s="5">
        <v>45747</v>
      </c>
    </row>
    <row r="57" spans="1:11">
      <c r="A57" s="7" t="s">
        <v>31</v>
      </c>
      <c r="B57" s="3">
        <v>804.72</v>
      </c>
      <c r="C57" s="3">
        <v>1214.74</v>
      </c>
      <c r="D57" s="3">
        <v>1220.43</v>
      </c>
      <c r="E57" s="3">
        <v>1225.8599999999999</v>
      </c>
      <c r="F57" s="3">
        <v>1229.22</v>
      </c>
      <c r="G57" s="3">
        <v>1230.8800000000001</v>
      </c>
      <c r="H57" s="3">
        <v>1232.33</v>
      </c>
      <c r="I57" s="3">
        <v>1242.8</v>
      </c>
      <c r="J57" s="3">
        <v>1248.47</v>
      </c>
      <c r="K57" s="3">
        <v>1251.4100000000001</v>
      </c>
    </row>
    <row r="58" spans="1:11">
      <c r="A58" s="7" t="s">
        <v>32</v>
      </c>
      <c r="B58" s="3">
        <v>41874.800000000003</v>
      </c>
      <c r="C58" s="3">
        <v>45198.19</v>
      </c>
      <c r="D58" s="3">
        <v>51289.68</v>
      </c>
      <c r="E58" s="3">
        <v>57915.01</v>
      </c>
      <c r="F58" s="3">
        <v>64044.04</v>
      </c>
      <c r="G58" s="3">
        <v>59116.46</v>
      </c>
      <c r="H58" s="3">
        <v>61223.24</v>
      </c>
      <c r="I58" s="3">
        <v>67912.460000000006</v>
      </c>
      <c r="J58" s="3">
        <v>73258.53</v>
      </c>
      <c r="K58" s="3">
        <v>68778.64</v>
      </c>
    </row>
    <row r="59" spans="1:11">
      <c r="A59" s="7" t="s">
        <v>33</v>
      </c>
      <c r="B59" s="3">
        <v>83.78</v>
      </c>
      <c r="C59" s="3">
        <v>45.72</v>
      </c>
      <c r="D59" s="3">
        <v>35.92</v>
      </c>
      <c r="E59" s="3">
        <v>13.44</v>
      </c>
      <c r="F59" s="3">
        <v>277.45</v>
      </c>
      <c r="G59" s="3">
        <v>270.83</v>
      </c>
      <c r="H59" s="3">
        <v>249.44</v>
      </c>
      <c r="I59" s="3">
        <v>306.04000000000002</v>
      </c>
      <c r="J59" s="3">
        <v>303.43</v>
      </c>
      <c r="K59" s="3">
        <v>284.54000000000002</v>
      </c>
    </row>
    <row r="60" spans="1:11">
      <c r="A60" s="7" t="s">
        <v>34</v>
      </c>
      <c r="B60" s="3">
        <v>8888.0400000000009</v>
      </c>
      <c r="C60" s="3">
        <v>9439.67</v>
      </c>
      <c r="D60" s="3">
        <v>11694.85</v>
      </c>
      <c r="E60" s="3">
        <v>12584.73</v>
      </c>
      <c r="F60" s="3">
        <v>11760.04</v>
      </c>
      <c r="G60" s="3">
        <v>13142.59</v>
      </c>
      <c r="H60" s="3">
        <v>14491.01</v>
      </c>
      <c r="I60" s="3">
        <v>16369.66</v>
      </c>
      <c r="J60" s="3">
        <v>16943.54</v>
      </c>
      <c r="K60" s="3">
        <v>17688.11</v>
      </c>
    </row>
    <row r="61" spans="1:11" s="1" customFormat="1">
      <c r="A61" s="1" t="s">
        <v>35</v>
      </c>
      <c r="B61" s="3">
        <v>51651.34</v>
      </c>
      <c r="C61" s="3">
        <v>55898.32</v>
      </c>
      <c r="D61" s="3">
        <v>64240.88</v>
      </c>
      <c r="E61" s="3">
        <v>71739.039999999994</v>
      </c>
      <c r="F61" s="3">
        <v>77310.75</v>
      </c>
      <c r="G61" s="3">
        <v>73760.759999999995</v>
      </c>
      <c r="H61" s="3">
        <v>77196.02</v>
      </c>
      <c r="I61" s="3">
        <v>85830.96</v>
      </c>
      <c r="J61" s="3">
        <v>91753.97</v>
      </c>
      <c r="K61" s="3">
        <v>88002.7</v>
      </c>
    </row>
    <row r="62" spans="1:11">
      <c r="A62" s="7" t="s">
        <v>36</v>
      </c>
      <c r="B62" s="3">
        <v>15106.63</v>
      </c>
      <c r="C62" s="3">
        <v>15893.48</v>
      </c>
      <c r="D62" s="3">
        <v>16523.96</v>
      </c>
      <c r="E62" s="3">
        <v>19374.189999999999</v>
      </c>
      <c r="F62" s="3">
        <v>21713.34</v>
      </c>
      <c r="G62" s="3">
        <v>23298.48</v>
      </c>
      <c r="H62" s="3">
        <v>24231.59</v>
      </c>
      <c r="I62" s="3">
        <v>25851.27</v>
      </c>
      <c r="J62" s="3">
        <v>27820.22</v>
      </c>
      <c r="K62" s="3">
        <v>21954.85</v>
      </c>
    </row>
    <row r="63" spans="1:11">
      <c r="A63" s="7" t="s">
        <v>37</v>
      </c>
      <c r="B63" s="3">
        <v>2559.7199999999998</v>
      </c>
      <c r="C63" s="3">
        <v>3729.89</v>
      </c>
      <c r="D63" s="3">
        <v>5508.33</v>
      </c>
      <c r="E63" s="3">
        <v>4136.42</v>
      </c>
      <c r="F63" s="3">
        <v>3256.46</v>
      </c>
      <c r="G63" s="3">
        <v>4011.29</v>
      </c>
      <c r="H63" s="3">
        <v>3225.54</v>
      </c>
      <c r="I63" s="3">
        <v>3003.3</v>
      </c>
      <c r="J63" s="3">
        <v>2860.78</v>
      </c>
      <c r="K63" s="3">
        <v>1090.9100000000001</v>
      </c>
    </row>
    <row r="64" spans="1:11">
      <c r="A64" s="7" t="s">
        <v>38</v>
      </c>
      <c r="B64" s="3">
        <v>11747.59</v>
      </c>
      <c r="C64" s="3">
        <v>17581.38</v>
      </c>
      <c r="D64" s="3">
        <v>22052.86</v>
      </c>
      <c r="E64" s="3">
        <v>25043.49</v>
      </c>
      <c r="F64" s="3">
        <v>28663.35</v>
      </c>
      <c r="G64" s="3">
        <v>24870.87</v>
      </c>
      <c r="H64" s="3">
        <v>24841.01</v>
      </c>
      <c r="I64" s="3">
        <v>29415.02</v>
      </c>
      <c r="J64" s="3">
        <v>31114.02</v>
      </c>
      <c r="K64" s="3">
        <v>34719.82</v>
      </c>
    </row>
    <row r="65" spans="1:11">
      <c r="A65" s="7" t="s">
        <v>39</v>
      </c>
      <c r="B65" s="3">
        <v>22237.4</v>
      </c>
      <c r="C65" s="3">
        <v>18693.57</v>
      </c>
      <c r="D65" s="3">
        <v>20155.73</v>
      </c>
      <c r="E65" s="3">
        <v>23184.94</v>
      </c>
      <c r="F65" s="3">
        <v>23677.599999999999</v>
      </c>
      <c r="G65" s="3">
        <v>21580.12</v>
      </c>
      <c r="H65" s="3">
        <v>24897.88</v>
      </c>
      <c r="I65" s="3">
        <v>27561.37</v>
      </c>
      <c r="J65" s="3">
        <v>29958.95</v>
      </c>
      <c r="K65" s="3">
        <v>30237.119999999999</v>
      </c>
    </row>
    <row r="66" spans="1:11" s="1" customFormat="1">
      <c r="A66" s="1" t="s">
        <v>35</v>
      </c>
      <c r="B66" s="3">
        <v>51651.34</v>
      </c>
      <c r="C66" s="3">
        <v>55898.32</v>
      </c>
      <c r="D66" s="3">
        <v>64240.88</v>
      </c>
      <c r="E66" s="3">
        <v>71739.039999999994</v>
      </c>
      <c r="F66" s="3">
        <v>77310.75</v>
      </c>
      <c r="G66" s="3">
        <v>73760.759999999995</v>
      </c>
      <c r="H66" s="3">
        <v>77196.02</v>
      </c>
      <c r="I66" s="3">
        <v>85830.96</v>
      </c>
      <c r="J66" s="3">
        <v>91753.97</v>
      </c>
      <c r="K66" s="3">
        <v>88002.7</v>
      </c>
    </row>
    <row r="67" spans="1:11" s="7" customFormat="1">
      <c r="A67" s="7" t="s">
        <v>40</v>
      </c>
      <c r="B67" s="3">
        <v>1917.18</v>
      </c>
      <c r="C67" s="3">
        <v>2474.29</v>
      </c>
      <c r="D67" s="3">
        <v>2682.29</v>
      </c>
      <c r="E67" s="3">
        <v>4035.28</v>
      </c>
      <c r="F67" s="3">
        <v>2562.48</v>
      </c>
      <c r="G67" s="3">
        <v>2501.6999999999998</v>
      </c>
      <c r="H67" s="3">
        <v>2461.9</v>
      </c>
      <c r="I67" s="3">
        <v>2956.17</v>
      </c>
      <c r="J67" s="3">
        <v>4025.82</v>
      </c>
      <c r="K67" s="3">
        <v>4719.67</v>
      </c>
    </row>
    <row r="68" spans="1:11">
      <c r="A68" s="7" t="s">
        <v>41</v>
      </c>
      <c r="B68" s="3">
        <v>9062.1</v>
      </c>
      <c r="C68" s="3">
        <v>8116.1</v>
      </c>
      <c r="D68" s="3">
        <v>7495.09</v>
      </c>
      <c r="E68" s="3">
        <v>7859.56</v>
      </c>
      <c r="F68" s="3">
        <v>8879.33</v>
      </c>
      <c r="G68" s="3">
        <v>10397.16</v>
      </c>
      <c r="H68" s="3">
        <v>10864.15</v>
      </c>
      <c r="I68" s="3">
        <v>11771.16</v>
      </c>
      <c r="J68" s="3">
        <v>14152.88</v>
      </c>
      <c r="K68" s="3">
        <v>15637.56</v>
      </c>
    </row>
    <row r="69" spans="1:11">
      <c r="A69" s="2" t="s">
        <v>42</v>
      </c>
      <c r="B69" s="3">
        <v>6063.3</v>
      </c>
      <c r="C69" s="3">
        <v>2967.4</v>
      </c>
      <c r="D69" s="3">
        <v>2899.6</v>
      </c>
      <c r="E69" s="3">
        <v>4152.03</v>
      </c>
      <c r="F69" s="3">
        <v>7277.34</v>
      </c>
      <c r="G69" s="3">
        <v>4659.0200000000004</v>
      </c>
      <c r="H69" s="3">
        <v>4654.42</v>
      </c>
      <c r="I69" s="3">
        <v>4880.1899999999996</v>
      </c>
      <c r="J69" s="3">
        <v>7217.68</v>
      </c>
      <c r="K69" s="3">
        <v>4012.36</v>
      </c>
    </row>
    <row r="70" spans="1:11">
      <c r="A70" s="2" t="s">
        <v>43</v>
      </c>
      <c r="B70" s="3">
        <v>8047206991</v>
      </c>
      <c r="C70" s="3">
        <v>12147383071</v>
      </c>
      <c r="D70" s="3">
        <v>12204294911</v>
      </c>
      <c r="E70" s="3">
        <v>12258631601</v>
      </c>
      <c r="F70" s="3">
        <v>12292231241</v>
      </c>
      <c r="G70" s="3">
        <v>12308844231</v>
      </c>
      <c r="H70" s="3">
        <v>12323255931</v>
      </c>
      <c r="I70" s="3">
        <v>12428017741</v>
      </c>
      <c r="J70" s="3">
        <v>12484700000</v>
      </c>
      <c r="K70" s="3">
        <v>12514119781</v>
      </c>
    </row>
    <row r="71" spans="1:11">
      <c r="A71" s="2" t="s">
        <v>44</v>
      </c>
      <c r="B71" s="3"/>
      <c r="C71">
        <v>4026657100</v>
      </c>
    </row>
    <row r="72" spans="1:11">
      <c r="A72" s="2" t="s">
        <v>45</v>
      </c>
      <c r="B72" s="3">
        <v>1</v>
      </c>
      <c r="C72" s="3">
        <v>1</v>
      </c>
      <c r="D72" s="3">
        <v>1</v>
      </c>
      <c r="E72" s="3">
        <v>1</v>
      </c>
      <c r="F72" s="3">
        <v>1</v>
      </c>
      <c r="G72" s="3">
        <v>1</v>
      </c>
      <c r="H72" s="3">
        <v>1</v>
      </c>
      <c r="I72" s="3">
        <v>1</v>
      </c>
      <c r="J72" s="3">
        <v>1</v>
      </c>
      <c r="K72" s="3">
        <v>1</v>
      </c>
    </row>
    <row r="74" spans="1:11">
      <c r="A74" s="7" t="s">
        <v>39</v>
      </c>
      <c r="B74" s="2">
        <f>B65-SUM(B67:B69)</f>
        <v>5194.82</v>
      </c>
      <c r="C74" s="2">
        <f t="shared" ref="C74:K74" si="3">C65-SUM(C67:C69)</f>
        <v>5135.7800000000007</v>
      </c>
      <c r="D74" s="2">
        <f t="shared" si="3"/>
        <v>7078.7499999999982</v>
      </c>
      <c r="E74" s="2">
        <f t="shared" si="3"/>
        <v>7138.07</v>
      </c>
      <c r="F74" s="2">
        <f t="shared" si="3"/>
        <v>4958.4499999999971</v>
      </c>
      <c r="G74" s="2">
        <f t="shared" si="3"/>
        <v>4022.239999999998</v>
      </c>
      <c r="H74" s="2">
        <f t="shared" si="3"/>
        <v>6917.41</v>
      </c>
      <c r="I74" s="2">
        <f t="shared" si="3"/>
        <v>7953.8499999999985</v>
      </c>
      <c r="J74" s="2">
        <f t="shared" si="3"/>
        <v>4562.57</v>
      </c>
      <c r="K74" s="2">
        <f t="shared" si="3"/>
        <v>5867.5299999999988</v>
      </c>
    </row>
    <row r="75" spans="1:11">
      <c r="A75" s="7"/>
    </row>
    <row r="76" spans="1:11">
      <c r="A76" s="7" t="s">
        <v>85</v>
      </c>
      <c r="B76" s="2">
        <f>B61</f>
        <v>51651.34</v>
      </c>
      <c r="C76" s="2">
        <f t="shared" ref="C76:K76" si="4">C61</f>
        <v>55898.32</v>
      </c>
      <c r="D76" s="2">
        <f t="shared" si="4"/>
        <v>64240.88</v>
      </c>
      <c r="E76" s="2">
        <f t="shared" si="4"/>
        <v>71739.039999999994</v>
      </c>
      <c r="F76" s="2">
        <f t="shared" si="4"/>
        <v>77310.75</v>
      </c>
      <c r="G76" s="2">
        <f t="shared" si="4"/>
        <v>73760.759999999995</v>
      </c>
      <c r="H76" s="2">
        <f t="shared" si="4"/>
        <v>77196.02</v>
      </c>
      <c r="I76" s="2">
        <f t="shared" si="4"/>
        <v>85830.96</v>
      </c>
      <c r="J76" s="2">
        <f t="shared" si="4"/>
        <v>91753.97</v>
      </c>
      <c r="K76" s="2">
        <f t="shared" si="4"/>
        <v>88002.7</v>
      </c>
    </row>
    <row r="77" spans="1:11">
      <c r="A77" s="7"/>
    </row>
    <row r="78" spans="1:11">
      <c r="A78" s="7"/>
    </row>
    <row r="79" spans="1:11">
      <c r="A79" s="7"/>
    </row>
    <row r="80" spans="1:11">
      <c r="A80" s="1" t="s">
        <v>46</v>
      </c>
    </row>
    <row r="81" spans="1:11" s="6" customFormat="1">
      <c r="A81" s="4" t="s">
        <v>11</v>
      </c>
      <c r="B81" s="5">
        <v>42460</v>
      </c>
      <c r="C81" s="5">
        <v>42825</v>
      </c>
      <c r="D81" s="5">
        <v>43190</v>
      </c>
      <c r="E81" s="5">
        <v>43555</v>
      </c>
      <c r="F81" s="5">
        <v>43921</v>
      </c>
      <c r="G81" s="5">
        <v>44286</v>
      </c>
      <c r="H81" s="5">
        <v>44651</v>
      </c>
      <c r="I81" s="5">
        <v>45016</v>
      </c>
      <c r="J81" s="5">
        <v>45382</v>
      </c>
      <c r="K81" s="5">
        <v>45747</v>
      </c>
    </row>
    <row r="82" spans="1:11" s="1" customFormat="1">
      <c r="A82" s="7" t="s">
        <v>47</v>
      </c>
      <c r="B82" s="3">
        <v>9799.0400000000009</v>
      </c>
      <c r="C82" s="3">
        <v>10627.31</v>
      </c>
      <c r="D82" s="3">
        <v>13169.4</v>
      </c>
      <c r="E82" s="3">
        <v>12583.41</v>
      </c>
      <c r="F82" s="3">
        <v>14689.66</v>
      </c>
      <c r="G82" s="3">
        <v>12526.97</v>
      </c>
      <c r="H82" s="3">
        <v>15775.51</v>
      </c>
      <c r="I82" s="3">
        <v>18877.55</v>
      </c>
      <c r="J82" s="3">
        <v>17178.86</v>
      </c>
      <c r="K82" s="3">
        <v>17627.04</v>
      </c>
    </row>
    <row r="83" spans="1:11" s="7" customFormat="1">
      <c r="A83" s="7" t="s">
        <v>48</v>
      </c>
      <c r="B83" s="3">
        <v>-3920.73</v>
      </c>
      <c r="C83" s="3">
        <v>-3250.93</v>
      </c>
      <c r="D83" s="3">
        <v>-7113.89</v>
      </c>
      <c r="E83" s="3">
        <v>-5545.68</v>
      </c>
      <c r="F83" s="3">
        <v>-6174.02</v>
      </c>
      <c r="G83" s="3">
        <v>5739.98</v>
      </c>
      <c r="H83" s="3">
        <v>-2238.4899999999998</v>
      </c>
      <c r="I83" s="3">
        <v>-5732.29</v>
      </c>
      <c r="J83" s="3">
        <v>1562.77</v>
      </c>
      <c r="K83" s="3">
        <v>-563.84</v>
      </c>
    </row>
    <row r="84" spans="1:11" s="7" customFormat="1">
      <c r="A84" s="7" t="s">
        <v>49</v>
      </c>
      <c r="B84" s="3">
        <v>-5612.52</v>
      </c>
      <c r="C84" s="3">
        <v>-7301.03</v>
      </c>
      <c r="D84" s="3">
        <v>-6221.13</v>
      </c>
      <c r="E84" s="3">
        <v>-6868.64</v>
      </c>
      <c r="F84" s="3">
        <v>-8181.48</v>
      </c>
      <c r="G84" s="3">
        <v>-18633.830000000002</v>
      </c>
      <c r="H84" s="3">
        <v>-13580.5</v>
      </c>
      <c r="I84" s="3">
        <v>-13006.03</v>
      </c>
      <c r="J84" s="3">
        <v>-18550.96</v>
      </c>
      <c r="K84" s="3">
        <v>-17037.400000000001</v>
      </c>
    </row>
    <row r="85" spans="1:11" s="1" customFormat="1">
      <c r="A85" s="7" t="s">
        <v>50</v>
      </c>
      <c r="B85" s="3">
        <v>265.79000000000002</v>
      </c>
      <c r="C85" s="3">
        <v>75.349999999999994</v>
      </c>
      <c r="D85" s="3">
        <v>-165.62</v>
      </c>
      <c r="E85" s="3">
        <v>169.09</v>
      </c>
      <c r="F85" s="3">
        <v>334.16</v>
      </c>
      <c r="G85" s="3">
        <v>-366.88</v>
      </c>
      <c r="H85" s="3">
        <v>-43.48</v>
      </c>
      <c r="I85" s="3">
        <v>139.22999999999999</v>
      </c>
      <c r="J85" s="3">
        <v>190.67</v>
      </c>
      <c r="K85" s="3">
        <v>25.8</v>
      </c>
    </row>
    <row r="86" spans="1:11">
      <c r="A86" s="7"/>
    </row>
    <row r="87" spans="1:11">
      <c r="A87" s="7"/>
    </row>
    <row r="88" spans="1:11">
      <c r="A88" s="7"/>
    </row>
    <row r="89" spans="1:11">
      <c r="A89" s="7"/>
    </row>
    <row r="90" spans="1:11" s="1" customFormat="1">
      <c r="A90" s="1" t="s">
        <v>51</v>
      </c>
      <c r="B90" s="3">
        <v>205.13</v>
      </c>
      <c r="C90" s="3">
        <v>262.75</v>
      </c>
      <c r="D90" s="3">
        <v>239.5</v>
      </c>
      <c r="E90" s="3">
        <v>278.64</v>
      </c>
      <c r="F90" s="3">
        <v>160.94999999999999</v>
      </c>
      <c r="G90" s="3">
        <v>204.82</v>
      </c>
      <c r="H90" s="3">
        <v>234.96</v>
      </c>
      <c r="I90" s="3">
        <v>359.49</v>
      </c>
      <c r="J90" s="3">
        <v>401.53</v>
      </c>
      <c r="K90" s="3">
        <v>409.75</v>
      </c>
    </row>
    <row r="92" spans="1:11" s="1" customFormat="1">
      <c r="A92" s="1" t="s">
        <v>52</v>
      </c>
    </row>
    <row r="93" spans="1:11">
      <c r="A93" s="2" t="s">
        <v>53</v>
      </c>
      <c r="B93" s="8">
        <v>1207.08</v>
      </c>
      <c r="C93" s="8">
        <v>1214.74</v>
      </c>
      <c r="D93" s="8">
        <v>1220.43</v>
      </c>
      <c r="E93" s="8">
        <v>1225.8599999999999</v>
      </c>
      <c r="F93" s="8">
        <v>1229.22</v>
      </c>
      <c r="G93" s="8">
        <v>1230.8800000000001</v>
      </c>
      <c r="H93" s="8">
        <v>1232.33</v>
      </c>
      <c r="I93" s="8">
        <v>1242.8</v>
      </c>
      <c r="J93" s="8">
        <v>1248.47</v>
      </c>
      <c r="K93" s="8">
        <v>1251.4100000000001</v>
      </c>
    </row>
  </sheetData>
  <sheetProtection sheet="1" objects="1" scenarios="1"/>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E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3:E10"/>
  <sheetViews>
    <sheetView workbookViewId="0">
      <selection activeCell="A3" sqref="A3"/>
    </sheetView>
  </sheetViews>
  <sheetFormatPr defaultRowHeight="15"/>
  <cols>
    <col min="1" max="1" width="1.85546875" customWidth="1"/>
    <col min="2" max="2" width="5.7109375" bestFit="1" customWidth="1"/>
    <col min="3" max="3" width="16.140625" bestFit="1" customWidth="1"/>
    <col min="4" max="4" width="13.7109375" bestFit="1" customWidth="1"/>
    <col min="5" max="5" width="14.28515625" bestFit="1" customWidth="1"/>
  </cols>
  <sheetData>
    <row r="3" spans="2:5">
      <c r="B3" s="17" t="s">
        <v>130</v>
      </c>
      <c r="C3" s="17" t="s">
        <v>131</v>
      </c>
      <c r="D3" s="116" t="s">
        <v>132</v>
      </c>
      <c r="E3" s="116" t="s">
        <v>278</v>
      </c>
    </row>
    <row r="4" spans="2:5">
      <c r="B4">
        <v>1</v>
      </c>
      <c r="C4" t="s">
        <v>279</v>
      </c>
      <c r="D4" s="35">
        <v>285</v>
      </c>
      <c r="E4" s="117">
        <v>519668</v>
      </c>
    </row>
    <row r="5" spans="2:5">
      <c r="B5">
        <v>2</v>
      </c>
      <c r="C5" t="s">
        <v>280</v>
      </c>
      <c r="D5" s="35">
        <v>179</v>
      </c>
      <c r="E5" s="117">
        <v>45635</v>
      </c>
    </row>
    <row r="6" spans="2:5">
      <c r="B6">
        <v>3</v>
      </c>
      <c r="C6" t="s">
        <v>281</v>
      </c>
      <c r="D6" s="35">
        <v>0</v>
      </c>
      <c r="E6" s="117">
        <v>4791</v>
      </c>
    </row>
    <row r="7" spans="2:5">
      <c r="B7">
        <v>4</v>
      </c>
      <c r="C7" t="s">
        <v>282</v>
      </c>
      <c r="D7" s="35">
        <v>77.099999999999994</v>
      </c>
      <c r="E7" s="35">
        <v>249</v>
      </c>
    </row>
    <row r="8" spans="2:5">
      <c r="B8">
        <v>5</v>
      </c>
      <c r="C8" t="s">
        <v>283</v>
      </c>
      <c r="D8" s="35">
        <v>79.900000000000006</v>
      </c>
      <c r="E8" s="35">
        <v>253</v>
      </c>
    </row>
    <row r="9" spans="2:5">
      <c r="B9">
        <v>6</v>
      </c>
      <c r="C9" t="s">
        <v>284</v>
      </c>
      <c r="D9" s="35">
        <v>2.5099999999999998</v>
      </c>
      <c r="E9" s="117">
        <v>32537</v>
      </c>
    </row>
    <row r="10" spans="2:5">
      <c r="B10">
        <v>7</v>
      </c>
      <c r="C10" t="s">
        <v>285</v>
      </c>
      <c r="D10" s="35">
        <v>0</v>
      </c>
      <c r="E10" s="35">
        <v>39.9</v>
      </c>
    </row>
  </sheetData>
  <sheetProtection sheet="1" objects="1" scenarios="1"/>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N79"/>
  <sheetViews>
    <sheetView showGridLines="0" workbookViewId="0">
      <pane xSplit="1" ySplit="4" topLeftCell="B5" activePane="bottomRight" state="frozen"/>
      <selection pane="topRight" activeCell="B1" sqref="B1"/>
      <selection pane="bottomLeft" activeCell="A5" sqref="A5"/>
      <selection pane="bottomRight" activeCell="U32" sqref="U32"/>
    </sheetView>
  </sheetViews>
  <sheetFormatPr defaultRowHeight="15"/>
  <cols>
    <col min="1" max="1" width="1.85546875" customWidth="1"/>
    <col min="2" max="2" width="29.28515625" bestFit="1" customWidth="1"/>
    <col min="3" max="14" width="8.7109375" customWidth="1"/>
  </cols>
  <sheetData>
    <row r="2" spans="2:14">
      <c r="B2" s="95" t="s">
        <v>80</v>
      </c>
      <c r="C2" s="96"/>
      <c r="D2" s="96"/>
      <c r="E2" s="96"/>
      <c r="F2" s="96"/>
      <c r="G2" s="96"/>
      <c r="H2" s="96"/>
      <c r="I2" s="96"/>
      <c r="J2" s="96"/>
      <c r="K2" s="96"/>
      <c r="L2" s="96"/>
      <c r="M2" s="96"/>
      <c r="N2" s="77"/>
    </row>
    <row r="4" spans="2:14">
      <c r="B4" s="245">
        <f>'RAW FS ITC'!Q4</f>
        <v>0</v>
      </c>
      <c r="C4" s="87">
        <f>'RAW FS ITC'!R4</f>
        <v>41699</v>
      </c>
      <c r="D4" s="87">
        <f>'RAW FS ITC'!S4</f>
        <v>42064</v>
      </c>
      <c r="E4" s="87">
        <f>'RAW FS ITC'!T4</f>
        <v>42430</v>
      </c>
      <c r="F4" s="87">
        <f>'RAW FS ITC'!U4</f>
        <v>42795</v>
      </c>
      <c r="G4" s="87">
        <f>'RAW FS ITC'!V4</f>
        <v>43160</v>
      </c>
      <c r="H4" s="87">
        <f>'RAW FS ITC'!W4</f>
        <v>43525</v>
      </c>
      <c r="I4" s="87">
        <f>'RAW FS ITC'!X4</f>
        <v>43891</v>
      </c>
      <c r="J4" s="87">
        <f>'RAW FS ITC'!Y4</f>
        <v>44256</v>
      </c>
      <c r="K4" s="87">
        <f>'RAW FS ITC'!Z4</f>
        <v>44621</v>
      </c>
      <c r="L4" s="87">
        <f>'RAW FS ITC'!AA4</f>
        <v>44986</v>
      </c>
      <c r="M4" s="87">
        <f>'RAW FS ITC'!AB4</f>
        <v>45352</v>
      </c>
      <c r="N4" s="87">
        <f>'RAW FS ITC'!AC4</f>
        <v>45717</v>
      </c>
    </row>
    <row r="5" spans="2:14">
      <c r="B5" s="89" t="str">
        <f>'RAW FS ITC'!Q5</f>
        <v>Equity Capital</v>
      </c>
      <c r="C5" s="89">
        <f>'RAW FS ITC'!R5</f>
        <v>795</v>
      </c>
      <c r="D5" s="89">
        <f>'RAW FS ITC'!S5</f>
        <v>802</v>
      </c>
      <c r="E5" s="89">
        <f>'RAW FS ITC'!T5</f>
        <v>805</v>
      </c>
      <c r="F5" s="89">
        <f>'RAW FS ITC'!U5</f>
        <v>1215</v>
      </c>
      <c r="G5" s="89">
        <f>'RAW FS ITC'!V5</f>
        <v>1220</v>
      </c>
      <c r="H5" s="89">
        <f>'RAW FS ITC'!W5</f>
        <v>1226</v>
      </c>
      <c r="I5" s="89">
        <f>'RAW FS ITC'!X5</f>
        <v>1229</v>
      </c>
      <c r="J5" s="89">
        <f>'RAW FS ITC'!Y5</f>
        <v>1231</v>
      </c>
      <c r="K5" s="89">
        <f>'RAW FS ITC'!Z5</f>
        <v>1232</v>
      </c>
      <c r="L5" s="89">
        <f>'RAW FS ITC'!AA5</f>
        <v>1243</v>
      </c>
      <c r="M5" s="89">
        <f>'RAW FS ITC'!AB5</f>
        <v>1248</v>
      </c>
      <c r="N5" s="89">
        <f>'RAW FS ITC'!AC5</f>
        <v>1251</v>
      </c>
    </row>
    <row r="6" spans="2:14">
      <c r="B6" s="89" t="str">
        <f>'RAW FS ITC'!Q6</f>
        <v>Reserves</v>
      </c>
      <c r="C6" s="89">
        <f>'RAW FS ITC'!R6</f>
        <v>26442</v>
      </c>
      <c r="D6" s="89">
        <f>'RAW FS ITC'!S6</f>
        <v>30934</v>
      </c>
      <c r="E6" s="89">
        <f>'RAW FS ITC'!T6</f>
        <v>41875</v>
      </c>
      <c r="F6" s="89">
        <f>'RAW FS ITC'!U6</f>
        <v>45198</v>
      </c>
      <c r="G6" s="89">
        <f>'RAW FS ITC'!V6</f>
        <v>51290</v>
      </c>
      <c r="H6" s="89">
        <f>'RAW FS ITC'!W6</f>
        <v>57915</v>
      </c>
      <c r="I6" s="89">
        <f>'RAW FS ITC'!X6</f>
        <v>64044</v>
      </c>
      <c r="J6" s="89">
        <f>'RAW FS ITC'!Y6</f>
        <v>59116</v>
      </c>
      <c r="K6" s="89">
        <f>'RAW FS ITC'!Z6</f>
        <v>61223</v>
      </c>
      <c r="L6" s="89">
        <f>'RAW FS ITC'!AA6</f>
        <v>67912</v>
      </c>
      <c r="M6" s="89">
        <f>'RAW FS ITC'!AB6</f>
        <v>73259</v>
      </c>
      <c r="N6" s="89">
        <f>'RAW FS ITC'!AC6</f>
        <v>68779</v>
      </c>
    </row>
    <row r="7" spans="2:14">
      <c r="B7" s="89" t="str">
        <f>'RAW FS ITC'!Q7</f>
        <v>Borrowings</v>
      </c>
      <c r="C7" s="89"/>
      <c r="D7" s="89"/>
      <c r="E7" s="89"/>
      <c r="F7" s="89"/>
      <c r="G7" s="89"/>
      <c r="H7" s="89"/>
      <c r="I7" s="89"/>
      <c r="J7" s="89"/>
      <c r="K7" s="89"/>
      <c r="L7" s="89"/>
      <c r="M7" s="89"/>
      <c r="N7" s="89"/>
    </row>
    <row r="8" spans="2:14">
      <c r="B8" t="str">
        <f>'RAW FS ITC'!Q8</f>
        <v>Long term Borrowings</v>
      </c>
      <c r="C8">
        <f>'RAW FS ITC'!R8</f>
        <v>76</v>
      </c>
      <c r="D8">
        <f>'RAW FS ITC'!S8</f>
        <v>61</v>
      </c>
      <c r="E8">
        <f>'RAW FS ITC'!T8</f>
        <v>27</v>
      </c>
      <c r="F8">
        <f>'RAW FS ITC'!U8</f>
        <v>18</v>
      </c>
      <c r="G8">
        <f>'RAW FS ITC'!V8</f>
        <v>12</v>
      </c>
      <c r="H8">
        <f>'RAW FS ITC'!W8</f>
        <v>8</v>
      </c>
      <c r="I8">
        <f>'RAW FS ITC'!X8</f>
        <v>6</v>
      </c>
      <c r="J8">
        <f>'RAW FS ITC'!Y8</f>
        <v>6</v>
      </c>
      <c r="K8">
        <f>'RAW FS ITC'!Z8</f>
        <v>5</v>
      </c>
      <c r="L8">
        <f>'RAW FS ITC'!AA8</f>
        <v>3</v>
      </c>
      <c r="M8">
        <f>'RAW FS ITC'!AB8</f>
        <v>2</v>
      </c>
      <c r="N8">
        <f>'RAW FS ITC'!AC8</f>
        <v>0</v>
      </c>
    </row>
    <row r="9" spans="2:14">
      <c r="B9" t="str">
        <f>'RAW FS ITC'!Q9</f>
        <v>Short term Borrowings</v>
      </c>
      <c r="C9">
        <f>'RAW FS ITC'!R9</f>
        <v>150</v>
      </c>
      <c r="D9">
        <f>'RAW FS ITC'!S9</f>
        <v>195</v>
      </c>
      <c r="E9">
        <f>'RAW FS ITC'!T9</f>
        <v>44</v>
      </c>
      <c r="F9">
        <f>'RAW FS ITC'!U9</f>
        <v>19</v>
      </c>
      <c r="G9">
        <f>'RAW FS ITC'!V9</f>
        <v>17</v>
      </c>
      <c r="H9">
        <f>'RAW FS ITC'!W9</f>
        <v>2</v>
      </c>
      <c r="I9">
        <f>'RAW FS ITC'!X9</f>
        <v>1</v>
      </c>
      <c r="J9">
        <f>'RAW FS ITC'!Y9</f>
        <v>4</v>
      </c>
      <c r="K9">
        <f>'RAW FS ITC'!Z9</f>
        <v>1</v>
      </c>
      <c r="L9">
        <f>'RAW FS ITC'!AA9</f>
        <v>35</v>
      </c>
      <c r="M9">
        <f>'RAW FS ITC'!AB9</f>
        <v>10</v>
      </c>
      <c r="N9">
        <f>'RAW FS ITC'!AC9</f>
        <v>91</v>
      </c>
    </row>
    <row r="10" spans="2:14">
      <c r="B10" t="str">
        <f>'RAW FS ITC'!Q10</f>
        <v>Lease Liabilities</v>
      </c>
      <c r="C10">
        <f>'RAW FS ITC'!R10</f>
        <v>0</v>
      </c>
      <c r="D10">
        <f>'RAW FS ITC'!S10</f>
        <v>0</v>
      </c>
      <c r="E10">
        <f>'RAW FS ITC'!T10</f>
        <v>0</v>
      </c>
      <c r="F10">
        <f>'RAW FS ITC'!U10</f>
        <v>0</v>
      </c>
      <c r="G10">
        <f>'RAW FS ITC'!V10</f>
        <v>0</v>
      </c>
      <c r="H10">
        <f>'RAW FS ITC'!W10</f>
        <v>0</v>
      </c>
      <c r="I10">
        <f>'RAW FS ITC'!X10</f>
        <v>268</v>
      </c>
      <c r="J10">
        <f>'RAW FS ITC'!Y10</f>
        <v>261</v>
      </c>
      <c r="K10">
        <f>'RAW FS ITC'!Z10</f>
        <v>244</v>
      </c>
      <c r="L10">
        <f>'RAW FS ITC'!AA10</f>
        <v>267</v>
      </c>
      <c r="M10">
        <f>'RAW FS ITC'!AB10</f>
        <v>292</v>
      </c>
      <c r="N10">
        <f>'RAW FS ITC'!AC10</f>
        <v>193</v>
      </c>
    </row>
    <row r="11" spans="2:14">
      <c r="B11" t="str">
        <f>'RAW FS ITC'!Q11</f>
        <v>Other Borrowings</v>
      </c>
      <c r="C11">
        <f>'RAW FS ITC'!R11</f>
        <v>16</v>
      </c>
      <c r="D11">
        <f>'RAW FS ITC'!S11</f>
        <v>13</v>
      </c>
      <c r="E11">
        <f>'RAW FS ITC'!T11</f>
        <v>13</v>
      </c>
      <c r="F11">
        <f>'RAW FS ITC'!U11</f>
        <v>8</v>
      </c>
      <c r="G11">
        <f>'RAW FS ITC'!V11</f>
        <v>7</v>
      </c>
      <c r="H11">
        <f>'RAW FS ITC'!W11</f>
        <v>3</v>
      </c>
      <c r="I11">
        <f>'RAW FS ITC'!X11</f>
        <v>2</v>
      </c>
      <c r="J11">
        <f>'RAW FS ITC'!Y11</f>
        <v>0</v>
      </c>
      <c r="K11">
        <f>'RAW FS ITC'!Z11</f>
        <v>0</v>
      </c>
      <c r="L11">
        <f>'RAW FS ITC'!AA11</f>
        <v>0</v>
      </c>
      <c r="M11">
        <f>'RAW FS ITC'!AB11</f>
        <v>0</v>
      </c>
      <c r="N11">
        <f>'RAW FS ITC'!AC11</f>
        <v>0</v>
      </c>
    </row>
    <row r="12" spans="2:14">
      <c r="B12" t="str">
        <f>'RAW FS ITC'!Q12</f>
        <v>Other Liabilities</v>
      </c>
      <c r="C12">
        <f>'RAW FS ITC'!R12</f>
        <v>0</v>
      </c>
      <c r="D12">
        <f>'RAW FS ITC'!S12</f>
        <v>0</v>
      </c>
      <c r="E12">
        <f>'RAW FS ITC'!T12</f>
        <v>0</v>
      </c>
      <c r="F12">
        <f>'RAW FS ITC'!U12</f>
        <v>0</v>
      </c>
      <c r="G12">
        <f>'RAW FS ITC'!V12</f>
        <v>0</v>
      </c>
      <c r="H12">
        <f>'RAW FS ITC'!W12</f>
        <v>0</v>
      </c>
      <c r="I12">
        <f>'RAW FS ITC'!X12</f>
        <v>0</v>
      </c>
      <c r="J12">
        <f>'RAW FS ITC'!Y12</f>
        <v>0</v>
      </c>
      <c r="K12">
        <f>'RAW FS ITC'!Z12</f>
        <v>0</v>
      </c>
      <c r="L12">
        <f>'RAW FS ITC'!AA12</f>
        <v>0</v>
      </c>
      <c r="M12">
        <f>'RAW FS ITC'!AB12</f>
        <v>0</v>
      </c>
      <c r="N12">
        <f>'RAW FS ITC'!AC12</f>
        <v>0</v>
      </c>
    </row>
    <row r="13" spans="2:14">
      <c r="B13" t="str">
        <f>'RAW FS ITC'!Q13</f>
        <v>Non controlling int</v>
      </c>
      <c r="C13">
        <f>'RAW FS ITC'!R13</f>
        <v>203</v>
      </c>
      <c r="D13">
        <f>'RAW FS ITC'!S13</f>
        <v>225</v>
      </c>
      <c r="E13">
        <f>'RAW FS ITC'!T13</f>
        <v>261</v>
      </c>
      <c r="F13">
        <f>'RAW FS ITC'!U13</f>
        <v>295</v>
      </c>
      <c r="G13">
        <f>'RAW FS ITC'!V13</f>
        <v>334</v>
      </c>
      <c r="H13">
        <f>'RAW FS ITC'!W13</f>
        <v>343</v>
      </c>
      <c r="I13">
        <f>'RAW FS ITC'!X13</f>
        <v>377</v>
      </c>
      <c r="J13">
        <f>'RAW FS ITC'!Y13</f>
        <v>347</v>
      </c>
      <c r="K13">
        <f>'RAW FS ITC'!Z13</f>
        <v>366</v>
      </c>
      <c r="L13">
        <f>'RAW FS ITC'!AA13</f>
        <v>384</v>
      </c>
      <c r="M13">
        <f>'RAW FS ITC'!AB13</f>
        <v>383</v>
      </c>
      <c r="N13">
        <f>'RAW FS ITC'!AC13</f>
        <v>368</v>
      </c>
    </row>
    <row r="14" spans="2:14">
      <c r="B14" t="str">
        <f>'RAW FS ITC'!Q14</f>
        <v>Trade Payables</v>
      </c>
      <c r="C14">
        <f>'RAW FS ITC'!R14</f>
        <v>2106</v>
      </c>
      <c r="D14">
        <f>'RAW FS ITC'!S14</f>
        <v>2020</v>
      </c>
      <c r="E14">
        <f>'RAW FS ITC'!T14</f>
        <v>2339</v>
      </c>
      <c r="F14">
        <f>'RAW FS ITC'!U14</f>
        <v>2659</v>
      </c>
      <c r="G14">
        <f>'RAW FS ITC'!V14</f>
        <v>3496</v>
      </c>
      <c r="H14">
        <f>'RAW FS ITC'!W14</f>
        <v>3510</v>
      </c>
      <c r="I14">
        <f>'RAW FS ITC'!X14</f>
        <v>3630</v>
      </c>
      <c r="J14">
        <f>'RAW FS ITC'!Y14</f>
        <v>4319</v>
      </c>
      <c r="K14">
        <f>'RAW FS ITC'!Z14</f>
        <v>4417</v>
      </c>
      <c r="L14">
        <f>'RAW FS ITC'!AA14</f>
        <v>4659</v>
      </c>
      <c r="M14">
        <f>'RAW FS ITC'!AB14</f>
        <v>4798</v>
      </c>
      <c r="N14">
        <f>'RAW FS ITC'!AC14</f>
        <v>4807</v>
      </c>
    </row>
    <row r="15" spans="2:14">
      <c r="B15" t="str">
        <f>'RAW FS ITC'!Q15</f>
        <v>Advance from Customers</v>
      </c>
      <c r="C15">
        <f>'RAW FS ITC'!R15</f>
        <v>0</v>
      </c>
      <c r="D15">
        <f>'RAW FS ITC'!S15</f>
        <v>0</v>
      </c>
      <c r="E15">
        <f>'RAW FS ITC'!T15</f>
        <v>805</v>
      </c>
      <c r="F15">
        <f>'RAW FS ITC'!U15</f>
        <v>495</v>
      </c>
      <c r="G15">
        <f>'RAW FS ITC'!V15</f>
        <v>461</v>
      </c>
      <c r="H15">
        <f>'RAW FS ITC'!W15</f>
        <v>430</v>
      </c>
      <c r="I15">
        <f>'RAW FS ITC'!X15</f>
        <v>703</v>
      </c>
      <c r="J15">
        <f>'RAW FS ITC'!Y15</f>
        <v>811</v>
      </c>
      <c r="K15">
        <f>'RAW FS ITC'!Z15</f>
        <v>1278</v>
      </c>
      <c r="L15">
        <f>'RAW FS ITC'!AA15</f>
        <v>1295</v>
      </c>
      <c r="M15">
        <f>'RAW FS ITC'!AB15</f>
        <v>886</v>
      </c>
      <c r="N15">
        <f>'RAW FS ITC'!AC15</f>
        <v>1264</v>
      </c>
    </row>
    <row r="16" spans="2:14">
      <c r="B16" t="str">
        <f>'RAW FS ITC'!Q16</f>
        <v>Other liability items</v>
      </c>
      <c r="C16">
        <f>'RAW FS ITC'!R16</f>
        <v>11060</v>
      </c>
      <c r="D16">
        <f>'RAW FS ITC'!S16</f>
        <v>11702</v>
      </c>
      <c r="E16">
        <f>'RAW FS ITC'!T16</f>
        <v>5483</v>
      </c>
      <c r="F16">
        <f>'RAW FS ITC'!U16</f>
        <v>5991</v>
      </c>
      <c r="G16">
        <f>'RAW FS ITC'!V16</f>
        <v>7404</v>
      </c>
      <c r="H16">
        <f>'RAW FS ITC'!W16</f>
        <v>8301</v>
      </c>
      <c r="I16">
        <f>'RAW FS ITC'!X16</f>
        <v>7050</v>
      </c>
      <c r="J16">
        <f>'RAW FS ITC'!Y16</f>
        <v>7666</v>
      </c>
      <c r="K16">
        <f>'RAW FS ITC'!Z16</f>
        <v>8429</v>
      </c>
      <c r="L16">
        <f>'RAW FS ITC'!AA16</f>
        <v>10032</v>
      </c>
      <c r="M16">
        <f>'RAW FS ITC'!AB16</f>
        <v>10877</v>
      </c>
      <c r="N16">
        <f>'RAW FS ITC'!AC16</f>
        <v>11249</v>
      </c>
    </row>
    <row r="17" spans="2:14">
      <c r="B17" s="93" t="str">
        <f>'RAW FS ITC'!Q17</f>
        <v>Total Liabilities</v>
      </c>
      <c r="C17" s="93">
        <f>'RAW FS ITC'!R17</f>
        <v>40848</v>
      </c>
      <c r="D17" s="93">
        <f>'RAW FS ITC'!S17</f>
        <v>45952</v>
      </c>
      <c r="E17" s="93">
        <f>'RAW FS ITC'!T17</f>
        <v>51651</v>
      </c>
      <c r="F17" s="93">
        <f>'RAW FS ITC'!U17</f>
        <v>55898</v>
      </c>
      <c r="G17" s="93">
        <f>'RAW FS ITC'!V17</f>
        <v>64241</v>
      </c>
      <c r="H17" s="93">
        <f>'RAW FS ITC'!W17</f>
        <v>71739</v>
      </c>
      <c r="I17" s="93">
        <f>'RAW FS ITC'!X17</f>
        <v>77311</v>
      </c>
      <c r="J17" s="93">
        <f>'RAW FS ITC'!Y17</f>
        <v>73761</v>
      </c>
      <c r="K17" s="93">
        <f>'RAW FS ITC'!Z17</f>
        <v>77196</v>
      </c>
      <c r="L17" s="93">
        <f>'RAW FS ITC'!AA17</f>
        <v>85831</v>
      </c>
      <c r="M17" s="93">
        <f>'RAW FS ITC'!AB17</f>
        <v>91754</v>
      </c>
      <c r="N17" s="93">
        <f>'RAW FS ITC'!AC17</f>
        <v>88003</v>
      </c>
    </row>
    <row r="19" spans="2:14">
      <c r="B19" s="89" t="str">
        <f>'RAW FS ITC'!Q19</f>
        <v>Fixed Assets</v>
      </c>
      <c r="C19" s="89">
        <f>'RAW FS ITC'!R19</f>
        <v>12921</v>
      </c>
      <c r="D19" s="89">
        <f>'RAW FS ITC'!S19</f>
        <v>15303</v>
      </c>
      <c r="E19" s="89">
        <f>'RAW FS ITC'!T19</f>
        <v>15107</v>
      </c>
      <c r="F19" s="89">
        <f>'RAW FS ITC'!U19</f>
        <v>15893</v>
      </c>
      <c r="G19" s="89">
        <f>'RAW FS ITC'!V19</f>
        <v>16524</v>
      </c>
      <c r="H19" s="89">
        <f>'RAW FS ITC'!W19</f>
        <v>19374</v>
      </c>
      <c r="I19" s="89">
        <f>'RAW FS ITC'!X19</f>
        <v>21713</v>
      </c>
      <c r="J19" s="89">
        <f>'RAW FS ITC'!Y19</f>
        <v>23298</v>
      </c>
      <c r="K19" s="89">
        <f>'RAW FS ITC'!Z19</f>
        <v>24232</v>
      </c>
      <c r="L19" s="89">
        <f>'RAW FS ITC'!AA19</f>
        <v>25851</v>
      </c>
      <c r="M19" s="89">
        <f>'RAW FS ITC'!AB19</f>
        <v>27820</v>
      </c>
      <c r="N19" s="89">
        <f>'RAW FS ITC'!AC19</f>
        <v>21955</v>
      </c>
    </row>
    <row r="20" spans="2:14">
      <c r="B20" t="str">
        <f>'RAW FS ITC'!Q20</f>
        <v>Land</v>
      </c>
      <c r="C20">
        <f>'RAW FS ITC'!R20</f>
        <v>1564</v>
      </c>
      <c r="D20">
        <f>'RAW FS ITC'!S20</f>
        <v>1717</v>
      </c>
      <c r="E20">
        <f>'RAW FS ITC'!T20</f>
        <v>1615</v>
      </c>
      <c r="F20">
        <f>'RAW FS ITC'!U20</f>
        <v>1673</v>
      </c>
      <c r="G20">
        <f>'RAW FS ITC'!V20</f>
        <v>1685</v>
      </c>
      <c r="H20">
        <f>'RAW FS ITC'!W20</f>
        <v>2021</v>
      </c>
      <c r="I20">
        <f>'RAW FS ITC'!X20</f>
        <v>2797</v>
      </c>
      <c r="J20">
        <f>'RAW FS ITC'!Y20</f>
        <v>2889</v>
      </c>
      <c r="K20">
        <f>'RAW FS ITC'!Z20</f>
        <v>2829</v>
      </c>
      <c r="L20">
        <f>'RAW FS ITC'!AA20</f>
        <v>2830</v>
      </c>
      <c r="M20">
        <f>'RAW FS ITC'!AB20</f>
        <v>2865</v>
      </c>
      <c r="N20">
        <f>'RAW FS ITC'!AC20</f>
        <v>1588</v>
      </c>
    </row>
    <row r="21" spans="2:14">
      <c r="B21" t="str">
        <f>'RAW FS ITC'!Q21</f>
        <v>Building</v>
      </c>
      <c r="C21">
        <f>'RAW FS ITC'!R21</f>
        <v>4110</v>
      </c>
      <c r="D21">
        <f>'RAW FS ITC'!S21</f>
        <v>4860</v>
      </c>
      <c r="E21">
        <f>'RAW FS ITC'!T21</f>
        <v>4219</v>
      </c>
      <c r="F21">
        <f>'RAW FS ITC'!U21</f>
        <v>4716</v>
      </c>
      <c r="G21">
        <f>'RAW FS ITC'!V21</f>
        <v>5331</v>
      </c>
      <c r="H21">
        <f>'RAW FS ITC'!W21</f>
        <v>6996</v>
      </c>
      <c r="I21">
        <f>'RAW FS ITC'!X21</f>
        <v>8161</v>
      </c>
      <c r="J21">
        <f>'RAW FS ITC'!Y21</f>
        <v>8387</v>
      </c>
      <c r="K21">
        <f>'RAW FS ITC'!Z21</f>
        <v>9100</v>
      </c>
      <c r="L21">
        <f>'RAW FS ITC'!AA21</f>
        <v>9789</v>
      </c>
      <c r="M21">
        <f>'RAW FS ITC'!AB21</f>
        <v>10944</v>
      </c>
      <c r="N21">
        <f>'RAW FS ITC'!AC21</f>
        <v>7550</v>
      </c>
    </row>
    <row r="22" spans="2:14">
      <c r="B22" t="str">
        <f>'RAW FS ITC'!Q22</f>
        <v>Plant Machinery</v>
      </c>
      <c r="C22">
        <f>'RAW FS ITC'!R22</f>
        <v>12633</v>
      </c>
      <c r="D22">
        <f>'RAW FS ITC'!S22</f>
        <v>14667</v>
      </c>
      <c r="E22">
        <f>'RAW FS ITC'!T22</f>
        <v>9112</v>
      </c>
      <c r="F22">
        <f>'RAW FS ITC'!U22</f>
        <v>10384</v>
      </c>
      <c r="G22">
        <f>'RAW FS ITC'!V22</f>
        <v>11453</v>
      </c>
      <c r="H22">
        <f>'RAW FS ITC'!W22</f>
        <v>13316</v>
      </c>
      <c r="I22">
        <f>'RAW FS ITC'!X22</f>
        <v>14625</v>
      </c>
      <c r="J22">
        <f>'RAW FS ITC'!Y22</f>
        <v>15307</v>
      </c>
      <c r="K22">
        <f>'RAW FS ITC'!Z22</f>
        <v>16912</v>
      </c>
      <c r="L22">
        <f>'RAW FS ITC'!AA22</f>
        <v>18480</v>
      </c>
      <c r="M22">
        <f>'RAW FS ITC'!AB22</f>
        <v>20718</v>
      </c>
      <c r="N22">
        <f>'RAW FS ITC'!AC22</f>
        <v>19423</v>
      </c>
    </row>
    <row r="23" spans="2:14">
      <c r="B23" t="str">
        <f>'RAW FS ITC'!Q23</f>
        <v>Equipments</v>
      </c>
      <c r="C23">
        <f>'RAW FS ITC'!R23</f>
        <v>34</v>
      </c>
      <c r="D23">
        <f>'RAW FS ITC'!S23</f>
        <v>46</v>
      </c>
      <c r="E23">
        <f>'RAW FS ITC'!T23</f>
        <v>27</v>
      </c>
      <c r="F23">
        <f>'RAW FS ITC'!U23</f>
        <v>32</v>
      </c>
      <c r="G23">
        <f>'RAW FS ITC'!V23</f>
        <v>32</v>
      </c>
      <c r="H23">
        <f>'RAW FS ITC'!W23</f>
        <v>34</v>
      </c>
      <c r="I23">
        <f>'RAW FS ITC'!X23</f>
        <v>40</v>
      </c>
      <c r="J23">
        <f>'RAW FS ITC'!Y23</f>
        <v>41</v>
      </c>
      <c r="K23">
        <f>'RAW FS ITC'!Z23</f>
        <v>44</v>
      </c>
      <c r="L23">
        <f>'RAW FS ITC'!AA23</f>
        <v>44</v>
      </c>
      <c r="M23">
        <f>'RAW FS ITC'!AB23</f>
        <v>53</v>
      </c>
      <c r="N23">
        <f>'RAW FS ITC'!AC23</f>
        <v>63</v>
      </c>
    </row>
    <row r="24" spans="2:14">
      <c r="B24" t="str">
        <f>'RAW FS ITC'!Q24</f>
        <v>Furniture n fittings</v>
      </c>
      <c r="C24">
        <f>'RAW FS ITC'!R24</f>
        <v>729</v>
      </c>
      <c r="D24">
        <f>'RAW FS ITC'!S24</f>
        <v>805</v>
      </c>
      <c r="E24">
        <f>'RAW FS ITC'!T24</f>
        <v>413</v>
      </c>
      <c r="F24">
        <f>'RAW FS ITC'!U24</f>
        <v>459</v>
      </c>
      <c r="G24">
        <f>'RAW FS ITC'!V24</f>
        <v>497</v>
      </c>
      <c r="H24">
        <f>'RAW FS ITC'!W24</f>
        <v>644</v>
      </c>
      <c r="I24">
        <f>'RAW FS ITC'!X24</f>
        <v>810</v>
      </c>
      <c r="J24">
        <f>'RAW FS ITC'!Y24</f>
        <v>833</v>
      </c>
      <c r="K24">
        <f>'RAW FS ITC'!Z24</f>
        <v>907</v>
      </c>
      <c r="L24">
        <f>'RAW FS ITC'!AA24</f>
        <v>1000</v>
      </c>
      <c r="M24">
        <f>'RAW FS ITC'!AB24</f>
        <v>1068</v>
      </c>
      <c r="N24">
        <f>'RAW FS ITC'!AC24</f>
        <v>282</v>
      </c>
    </row>
    <row r="25" spans="2:14">
      <c r="B25" t="str">
        <f>'RAW FS ITC'!Q25</f>
        <v>Vehicles</v>
      </c>
      <c r="C25">
        <f>'RAW FS ITC'!R25</f>
        <v>122</v>
      </c>
      <c r="D25">
        <f>'RAW FS ITC'!S25</f>
        <v>130</v>
      </c>
      <c r="E25">
        <f>'RAW FS ITC'!T25</f>
        <v>109</v>
      </c>
      <c r="F25">
        <f>'RAW FS ITC'!U25</f>
        <v>130</v>
      </c>
      <c r="G25">
        <f>'RAW FS ITC'!V25</f>
        <v>142</v>
      </c>
      <c r="H25">
        <f>'RAW FS ITC'!W25</f>
        <v>163</v>
      </c>
      <c r="I25">
        <f>'RAW FS ITC'!X25</f>
        <v>186</v>
      </c>
      <c r="J25">
        <f>'RAW FS ITC'!Y25</f>
        <v>182</v>
      </c>
      <c r="K25">
        <f>'RAW FS ITC'!Z25</f>
        <v>181</v>
      </c>
      <c r="L25">
        <f>'RAW FS ITC'!AA25</f>
        <v>191</v>
      </c>
      <c r="M25">
        <f>'RAW FS ITC'!AB25</f>
        <v>194</v>
      </c>
      <c r="N25">
        <f>'RAW FS ITC'!AC25</f>
        <v>143</v>
      </c>
    </row>
    <row r="26" spans="2:14">
      <c r="B26" t="str">
        <f>'RAW FS ITC'!Q26</f>
        <v>Intangible Assets</v>
      </c>
      <c r="C26">
        <f>'RAW FS ITC'!R26</f>
        <v>398</v>
      </c>
      <c r="D26">
        <f>'RAW FS ITC'!S26</f>
        <v>678</v>
      </c>
      <c r="E26">
        <f>'RAW FS ITC'!T26</f>
        <v>563</v>
      </c>
      <c r="F26">
        <f>'RAW FS ITC'!U26</f>
        <v>563</v>
      </c>
      <c r="G26">
        <f>'RAW FS ITC'!V26</f>
        <v>570</v>
      </c>
      <c r="H26">
        <f>'RAW FS ITC'!W26</f>
        <v>684</v>
      </c>
      <c r="I26">
        <f>'RAW FS ITC'!X26</f>
        <v>684</v>
      </c>
      <c r="J26">
        <f>'RAW FS ITC'!Y26</f>
        <v>2734</v>
      </c>
      <c r="K26">
        <f>'RAW FS ITC'!Z26</f>
        <v>2744</v>
      </c>
      <c r="L26">
        <f>'RAW FS ITC'!AA26</f>
        <v>3490</v>
      </c>
      <c r="M26">
        <f>'RAW FS ITC'!AB26</f>
        <v>3505</v>
      </c>
      <c r="N26">
        <f>'RAW FS ITC'!AC26</f>
        <v>3622</v>
      </c>
    </row>
    <row r="27" spans="2:14">
      <c r="B27" t="str">
        <f>'RAW FS ITC'!Q27</f>
        <v>Other fixed assets</v>
      </c>
      <c r="C27">
        <f>'RAW FS ITC'!R27</f>
        <v>411</v>
      </c>
      <c r="D27">
        <f>'RAW FS ITC'!S27</f>
        <v>458</v>
      </c>
      <c r="E27">
        <f>'RAW FS ITC'!T27</f>
        <v>117</v>
      </c>
      <c r="F27">
        <f>'RAW FS ITC'!U27</f>
        <v>138</v>
      </c>
      <c r="G27">
        <f>'RAW FS ITC'!V27</f>
        <v>212</v>
      </c>
      <c r="H27">
        <f>'RAW FS ITC'!W27</f>
        <v>234</v>
      </c>
      <c r="I27">
        <f>'RAW FS ITC'!X27</f>
        <v>663</v>
      </c>
      <c r="J27">
        <f>'RAW FS ITC'!Y27</f>
        <v>716</v>
      </c>
      <c r="K27">
        <f>'RAW FS ITC'!Z27</f>
        <v>719</v>
      </c>
      <c r="L27">
        <f>'RAW FS ITC'!AA27</f>
        <v>786</v>
      </c>
      <c r="M27">
        <f>'RAW FS ITC'!AB27</f>
        <v>841</v>
      </c>
      <c r="N27">
        <f>'RAW FS ITC'!AC27</f>
        <v>967</v>
      </c>
    </row>
    <row r="28" spans="2:14">
      <c r="B28" s="89" t="str">
        <f>'RAW FS ITC'!Q28</f>
        <v>Gross Block</v>
      </c>
      <c r="C28" s="89">
        <f>'RAW FS ITC'!R28</f>
        <v>20000</v>
      </c>
      <c r="D28" s="89">
        <f>'RAW FS ITC'!S28</f>
        <v>23361</v>
      </c>
      <c r="E28" s="89">
        <f>'RAW FS ITC'!T28</f>
        <v>16176</v>
      </c>
      <c r="F28" s="89">
        <f>'RAW FS ITC'!U28</f>
        <v>18094</v>
      </c>
      <c r="G28" s="89">
        <f>'RAW FS ITC'!V28</f>
        <v>19920</v>
      </c>
      <c r="H28" s="89">
        <f>'RAW FS ITC'!W28</f>
        <v>24090</v>
      </c>
      <c r="I28" s="89">
        <f>'RAW FS ITC'!X28</f>
        <v>27965</v>
      </c>
      <c r="J28" s="89">
        <f>'RAW FS ITC'!Y28</f>
        <v>31088</v>
      </c>
      <c r="K28" s="89">
        <f>'RAW FS ITC'!Z28</f>
        <v>33435</v>
      </c>
      <c r="L28" s="89">
        <f>'RAW FS ITC'!AA28</f>
        <v>36608</v>
      </c>
      <c r="M28" s="89">
        <f>'RAW FS ITC'!AB28</f>
        <v>40189</v>
      </c>
      <c r="N28" s="89">
        <f>'RAW FS ITC'!AC28</f>
        <v>33638</v>
      </c>
    </row>
    <row r="29" spans="2:14">
      <c r="B29" s="89" t="str">
        <f>'RAW FS ITC'!Q29</f>
        <v>Accumulated Depreciation</v>
      </c>
      <c r="C29" s="89">
        <f>'RAW FS ITC'!R29</f>
        <v>7073</v>
      </c>
      <c r="D29" s="89">
        <f>'RAW FS ITC'!S29</f>
        <v>8057</v>
      </c>
      <c r="E29" s="89">
        <f>'RAW FS ITC'!T29</f>
        <v>1069</v>
      </c>
      <c r="F29" s="89">
        <f>'RAW FS ITC'!U29</f>
        <v>2201</v>
      </c>
      <c r="G29" s="89">
        <f>'RAW FS ITC'!V29</f>
        <v>3396</v>
      </c>
      <c r="H29" s="89">
        <f>'RAW FS ITC'!W29</f>
        <v>4716</v>
      </c>
      <c r="I29" s="89">
        <f>'RAW FS ITC'!X29</f>
        <v>6252</v>
      </c>
      <c r="J29" s="89">
        <f>'RAW FS ITC'!Y29</f>
        <v>7790</v>
      </c>
      <c r="K29" s="89">
        <f>'RAW FS ITC'!Z29</f>
        <v>9204</v>
      </c>
      <c r="L29" s="89">
        <f>'RAW FS ITC'!AA29</f>
        <v>10757</v>
      </c>
      <c r="M29" s="89">
        <f>'RAW FS ITC'!AB29</f>
        <v>12368</v>
      </c>
      <c r="N29" s="89">
        <f>'RAW FS ITC'!AC29</f>
        <v>11683</v>
      </c>
    </row>
    <row r="30" spans="2:14">
      <c r="B30" s="118" t="str">
        <f>'RAW FS ITC'!Q30</f>
        <v>Net Block</v>
      </c>
      <c r="C30" s="118">
        <f>'RAW FS ITC'!R30</f>
        <v>12927</v>
      </c>
      <c r="D30" s="118">
        <f>'RAW FS ITC'!S30</f>
        <v>15304</v>
      </c>
      <c r="E30" s="118">
        <f>'RAW FS ITC'!T30</f>
        <v>15107</v>
      </c>
      <c r="F30" s="118">
        <f>'RAW FS ITC'!U30</f>
        <v>15893</v>
      </c>
      <c r="G30" s="118">
        <f>'RAW FS ITC'!V30</f>
        <v>16524</v>
      </c>
      <c r="H30" s="118">
        <f>'RAW FS ITC'!W30</f>
        <v>19374</v>
      </c>
      <c r="I30" s="118">
        <f>'RAW FS ITC'!X30</f>
        <v>21713</v>
      </c>
      <c r="J30" s="118">
        <f>'RAW FS ITC'!Y30</f>
        <v>23298</v>
      </c>
      <c r="K30" s="118">
        <f>'RAW FS ITC'!Z30</f>
        <v>24231</v>
      </c>
      <c r="L30" s="118">
        <f>'RAW FS ITC'!AA30</f>
        <v>25851</v>
      </c>
      <c r="M30" s="118">
        <f>'RAW FS ITC'!AB30</f>
        <v>27821</v>
      </c>
      <c r="N30" s="118">
        <f>'RAW FS ITC'!AC30</f>
        <v>21955</v>
      </c>
    </row>
    <row r="32" spans="2:14">
      <c r="B32" s="89" t="str">
        <f>'RAW FS ITC'!Q32</f>
        <v>CWIP</v>
      </c>
      <c r="C32" s="89">
        <f>'RAW FS ITC'!R32</f>
        <v>3117</v>
      </c>
      <c r="D32" s="89">
        <f>'RAW FS ITC'!S32</f>
        <v>2700</v>
      </c>
      <c r="E32" s="89">
        <f>'RAW FS ITC'!T32</f>
        <v>2560</v>
      </c>
      <c r="F32" s="89">
        <f>'RAW FS ITC'!U32</f>
        <v>3730</v>
      </c>
      <c r="G32" s="89">
        <f>'RAW FS ITC'!V32</f>
        <v>5508</v>
      </c>
      <c r="H32" s="89">
        <f>'RAW FS ITC'!W32</f>
        <v>4136</v>
      </c>
      <c r="I32" s="89">
        <f>'RAW FS ITC'!X32</f>
        <v>3256</v>
      </c>
      <c r="J32" s="89">
        <f>'RAW FS ITC'!Y32</f>
        <v>4011</v>
      </c>
      <c r="K32" s="89">
        <f>'RAW FS ITC'!Z32</f>
        <v>3226</v>
      </c>
      <c r="L32" s="89">
        <f>'RAW FS ITC'!AA32</f>
        <v>3003</v>
      </c>
      <c r="M32" s="89">
        <f>'RAW FS ITC'!AB32</f>
        <v>2861</v>
      </c>
      <c r="N32" s="89">
        <f>'RAW FS ITC'!AC32</f>
        <v>1091</v>
      </c>
    </row>
    <row r="33" spans="2:14">
      <c r="B33" s="89" t="str">
        <f>'RAW FS ITC'!Q33</f>
        <v>Investments</v>
      </c>
      <c r="C33" s="89">
        <f>'RAW FS ITC'!R33</f>
        <v>7284</v>
      </c>
      <c r="D33" s="89">
        <f>'RAW FS ITC'!S33</f>
        <v>6943</v>
      </c>
      <c r="E33" s="89">
        <f>'RAW FS ITC'!T33</f>
        <v>11748</v>
      </c>
      <c r="F33" s="89">
        <f>'RAW FS ITC'!U33</f>
        <v>17581</v>
      </c>
      <c r="G33" s="89">
        <f>'RAW FS ITC'!V33</f>
        <v>22053</v>
      </c>
      <c r="H33" s="89">
        <f>'RAW FS ITC'!W33</f>
        <v>25043</v>
      </c>
      <c r="I33" s="89">
        <f>'RAW FS ITC'!X33</f>
        <v>28663</v>
      </c>
      <c r="J33" s="89">
        <f>'RAW FS ITC'!Y33</f>
        <v>24871</v>
      </c>
      <c r="K33" s="89">
        <f>'RAW FS ITC'!Z33</f>
        <v>24841</v>
      </c>
      <c r="L33" s="89">
        <f>'RAW FS ITC'!AA33</f>
        <v>29415</v>
      </c>
      <c r="M33" s="89">
        <f>'RAW FS ITC'!AB33</f>
        <v>31114</v>
      </c>
      <c r="N33" s="89">
        <f>'RAW FS ITC'!AC33</f>
        <v>34720</v>
      </c>
    </row>
    <row r="35" spans="2:14">
      <c r="B35" t="str">
        <f>'RAW FS ITC'!Q35</f>
        <v>Other Assets</v>
      </c>
      <c r="C35">
        <f>'RAW FS ITC'!R35</f>
        <v>17526</v>
      </c>
      <c r="D35">
        <f>'RAW FS ITC'!S35</f>
        <v>21006</v>
      </c>
      <c r="E35">
        <f>'RAW FS ITC'!T35</f>
        <v>22237</v>
      </c>
      <c r="F35">
        <f>'RAW FS ITC'!U35</f>
        <v>18694</v>
      </c>
      <c r="G35">
        <f>'RAW FS ITC'!V35</f>
        <v>20156</v>
      </c>
      <c r="H35">
        <f>'RAW FS ITC'!W35</f>
        <v>23185</v>
      </c>
      <c r="I35">
        <f>'RAW FS ITC'!X35</f>
        <v>23678</v>
      </c>
      <c r="J35">
        <f>'RAW FS ITC'!Y35</f>
        <v>21580</v>
      </c>
      <c r="K35">
        <f>'RAW FS ITC'!Z35</f>
        <v>24898</v>
      </c>
      <c r="L35">
        <f>'RAW FS ITC'!AA35</f>
        <v>27561</v>
      </c>
      <c r="M35">
        <f>'RAW FS ITC'!AB35</f>
        <v>29959</v>
      </c>
      <c r="N35">
        <f>'RAW FS ITC'!AC35</f>
        <v>30237</v>
      </c>
    </row>
    <row r="36" spans="2:14">
      <c r="B36" t="str">
        <f>'RAW FS ITC'!Q36</f>
        <v>Inventories</v>
      </c>
      <c r="C36">
        <f>'RAW FS ITC'!R36</f>
        <v>8255</v>
      </c>
      <c r="D36">
        <f>'RAW FS ITC'!S36</f>
        <v>8587</v>
      </c>
      <c r="E36">
        <f>'RAW FS ITC'!T36</f>
        <v>9062</v>
      </c>
      <c r="F36">
        <f>'RAW FS ITC'!U36</f>
        <v>8116</v>
      </c>
      <c r="G36">
        <f>'RAW FS ITC'!V36</f>
        <v>7495</v>
      </c>
      <c r="H36">
        <f>'RAW FS ITC'!W36</f>
        <v>7860</v>
      </c>
      <c r="I36">
        <f>'RAW FS ITC'!X36</f>
        <v>8879</v>
      </c>
      <c r="J36">
        <f>'RAW FS ITC'!Y36</f>
        <v>10397</v>
      </c>
      <c r="K36">
        <f>'RAW FS ITC'!Z36</f>
        <v>10864</v>
      </c>
      <c r="L36">
        <f>'RAW FS ITC'!AA36</f>
        <v>11771</v>
      </c>
      <c r="M36">
        <f>'RAW FS ITC'!AB36</f>
        <v>14153</v>
      </c>
      <c r="N36">
        <f>'RAW FS ITC'!AC36</f>
        <v>15638</v>
      </c>
    </row>
    <row r="37" spans="2:14">
      <c r="B37" t="str">
        <f>'RAW FS ITC'!Q37</f>
        <v>Trade receivables</v>
      </c>
      <c r="C37">
        <f>'RAW FS ITC'!R37</f>
        <v>2439</v>
      </c>
      <c r="D37">
        <f>'RAW FS ITC'!S37</f>
        <v>1982</v>
      </c>
      <c r="E37">
        <f>'RAW FS ITC'!T37</f>
        <v>1917</v>
      </c>
      <c r="F37">
        <f>'RAW FS ITC'!U37</f>
        <v>2474</v>
      </c>
      <c r="G37">
        <f>'RAW FS ITC'!V37</f>
        <v>2682</v>
      </c>
      <c r="H37">
        <f>'RAW FS ITC'!W37</f>
        <v>4035</v>
      </c>
      <c r="I37">
        <f>'RAW FS ITC'!X37</f>
        <v>2562</v>
      </c>
      <c r="J37">
        <f>'RAW FS ITC'!Y37</f>
        <v>2502</v>
      </c>
      <c r="K37">
        <f>'RAW FS ITC'!Z37</f>
        <v>2462</v>
      </c>
      <c r="L37">
        <f>'RAW FS ITC'!AA37</f>
        <v>2956</v>
      </c>
      <c r="M37">
        <f>'RAW FS ITC'!AB37</f>
        <v>4026</v>
      </c>
      <c r="N37">
        <f>'RAW FS ITC'!AC37</f>
        <v>4720</v>
      </c>
    </row>
    <row r="38" spans="2:14">
      <c r="B38" t="str">
        <f>'RAW FS ITC'!Q38</f>
        <v>Cash Equivalents</v>
      </c>
      <c r="C38">
        <f>'RAW FS ITC'!R38</f>
        <v>3490</v>
      </c>
      <c r="D38">
        <f>'RAW FS ITC'!S38</f>
        <v>7896</v>
      </c>
      <c r="E38">
        <f>'RAW FS ITC'!T38</f>
        <v>6063</v>
      </c>
      <c r="F38">
        <f>'RAW FS ITC'!U38</f>
        <v>2967</v>
      </c>
      <c r="G38">
        <f>'RAW FS ITC'!V38</f>
        <v>2900</v>
      </c>
      <c r="H38">
        <f>'RAW FS ITC'!W38</f>
        <v>4152</v>
      </c>
      <c r="I38">
        <f>'RAW FS ITC'!X38</f>
        <v>7277</v>
      </c>
      <c r="J38">
        <f>'RAW FS ITC'!Y38</f>
        <v>4659</v>
      </c>
      <c r="K38">
        <f>'RAW FS ITC'!Z38</f>
        <v>4654</v>
      </c>
      <c r="L38">
        <f>'RAW FS ITC'!AA38</f>
        <v>4880</v>
      </c>
      <c r="M38">
        <f>'RAW FS ITC'!AB38</f>
        <v>7218</v>
      </c>
      <c r="N38">
        <f>'RAW FS ITC'!AC38</f>
        <v>4012</v>
      </c>
    </row>
    <row r="39" spans="2:14">
      <c r="B39" t="str">
        <f>'RAW FS ITC'!Q39</f>
        <v>Loans n Advances</v>
      </c>
      <c r="C39">
        <f>'RAW FS ITC'!R39</f>
        <v>107</v>
      </c>
      <c r="D39">
        <f>'RAW FS ITC'!S39</f>
        <v>150</v>
      </c>
      <c r="E39">
        <f>'RAW FS ITC'!T39</f>
        <v>14</v>
      </c>
      <c r="F39">
        <f>'RAW FS ITC'!U39</f>
        <v>7</v>
      </c>
      <c r="G39">
        <f>'RAW FS ITC'!V39</f>
        <v>74</v>
      </c>
      <c r="H39">
        <f>'RAW FS ITC'!W39</f>
        <v>67</v>
      </c>
      <c r="I39">
        <f>'RAW FS ITC'!X39</f>
        <v>6</v>
      </c>
      <c r="J39">
        <f>'RAW FS ITC'!Y39</f>
        <v>7</v>
      </c>
      <c r="K39">
        <f>'RAW FS ITC'!Z39</f>
        <v>11</v>
      </c>
      <c r="L39">
        <f>'RAW FS ITC'!AA39</f>
        <v>13</v>
      </c>
      <c r="M39">
        <f>'RAW FS ITC'!AB39</f>
        <v>31</v>
      </c>
      <c r="N39">
        <f>'RAW FS ITC'!AC39</f>
        <v>10</v>
      </c>
    </row>
    <row r="40" spans="2:14">
      <c r="B40" t="str">
        <f>'RAW FS ITC'!Q40</f>
        <v>Other asset items</v>
      </c>
      <c r="C40">
        <f>'RAW FS ITC'!R40</f>
        <v>3234</v>
      </c>
      <c r="D40">
        <f>'RAW FS ITC'!S40</f>
        <v>2391</v>
      </c>
      <c r="E40">
        <f>'RAW FS ITC'!T40</f>
        <v>5180</v>
      </c>
      <c r="F40">
        <f>'RAW FS ITC'!U40</f>
        <v>5129</v>
      </c>
      <c r="G40">
        <f>'RAW FS ITC'!V40</f>
        <v>7004</v>
      </c>
      <c r="H40">
        <f>'RAW FS ITC'!W40</f>
        <v>7071</v>
      </c>
      <c r="I40">
        <f>'RAW FS ITC'!X40</f>
        <v>4952</v>
      </c>
      <c r="J40">
        <f>'RAW FS ITC'!Y40</f>
        <v>4015</v>
      </c>
      <c r="K40">
        <f>'RAW FS ITC'!Z40</f>
        <v>6906</v>
      </c>
      <c r="L40">
        <f>'RAW FS ITC'!AA40</f>
        <v>7941</v>
      </c>
      <c r="M40">
        <f>'RAW FS ITC'!AB40</f>
        <v>4531</v>
      </c>
      <c r="N40">
        <f>'RAW FS ITC'!AC40</f>
        <v>5858</v>
      </c>
    </row>
    <row r="41" spans="2:14">
      <c r="B41" s="93" t="str">
        <f>'RAW FS ITC'!Q41</f>
        <v>Total Assets</v>
      </c>
      <c r="C41" s="93">
        <f>'RAW FS ITC'!R41</f>
        <v>40848</v>
      </c>
      <c r="D41" s="93">
        <f>'RAW FS ITC'!S41</f>
        <v>45952</v>
      </c>
      <c r="E41" s="93">
        <f>'RAW FS ITC'!T41</f>
        <v>51651</v>
      </c>
      <c r="F41" s="93">
        <f>'RAW FS ITC'!U41</f>
        <v>55898</v>
      </c>
      <c r="G41" s="93">
        <f>'RAW FS ITC'!V41</f>
        <v>64241</v>
      </c>
      <c r="H41" s="93">
        <f>'RAW FS ITC'!W41</f>
        <v>71739</v>
      </c>
      <c r="I41" s="93">
        <f>'RAW FS ITC'!X41</f>
        <v>77311</v>
      </c>
      <c r="J41" s="93">
        <f>'RAW FS ITC'!Y41</f>
        <v>73761</v>
      </c>
      <c r="K41" s="93">
        <f>'RAW FS ITC'!Z41</f>
        <v>77196</v>
      </c>
      <c r="L41" s="93">
        <f>'RAW FS ITC'!AA41</f>
        <v>85831</v>
      </c>
      <c r="M41" s="93">
        <f>'RAW FS ITC'!AB41</f>
        <v>91754</v>
      </c>
      <c r="N41" s="93">
        <f>'RAW FS ITC'!AC41</f>
        <v>88003</v>
      </c>
    </row>
    <row r="43" spans="2:14">
      <c r="B43" s="95" t="s">
        <v>258</v>
      </c>
      <c r="C43" s="96"/>
      <c r="D43" s="96"/>
      <c r="E43" s="96"/>
      <c r="F43" s="96"/>
      <c r="G43" s="96"/>
      <c r="H43" s="96"/>
      <c r="I43" s="96"/>
      <c r="J43" s="96"/>
      <c r="K43" s="96"/>
      <c r="L43" s="96"/>
      <c r="M43" s="96"/>
      <c r="N43" s="77"/>
    </row>
    <row r="45" spans="2:14">
      <c r="B45" s="89" t="str">
        <f>'RAW FS ITC'!Q45</f>
        <v>Cash from Operating Activity</v>
      </c>
      <c r="C45" s="89">
        <f>'RAW FS ITC'!R45</f>
        <v>7344</v>
      </c>
      <c r="D45" s="89">
        <f>'RAW FS ITC'!S45</f>
        <v>9843</v>
      </c>
      <c r="E45" s="89">
        <f>'RAW FS ITC'!T45</f>
        <v>9799</v>
      </c>
      <c r="F45" s="89">
        <f>'RAW FS ITC'!U45</f>
        <v>10627</v>
      </c>
      <c r="G45" s="89">
        <f>'RAW FS ITC'!V45</f>
        <v>13169</v>
      </c>
      <c r="H45" s="89">
        <f>'RAW FS ITC'!W45</f>
        <v>12583</v>
      </c>
      <c r="I45" s="89">
        <f>'RAW FS ITC'!X45</f>
        <v>14690</v>
      </c>
      <c r="J45" s="89">
        <f>'RAW FS ITC'!Y45</f>
        <v>12527</v>
      </c>
      <c r="K45" s="89">
        <f>'RAW FS ITC'!Z45</f>
        <v>15776</v>
      </c>
      <c r="L45" s="89">
        <f>'RAW FS ITC'!AA45</f>
        <v>18878</v>
      </c>
      <c r="M45" s="89">
        <f>'RAW FS ITC'!AB45</f>
        <v>17179</v>
      </c>
      <c r="N45" s="89">
        <f>'RAW FS ITC'!AC45</f>
        <v>17627</v>
      </c>
    </row>
    <row r="46" spans="2:14">
      <c r="B46" t="str">
        <f>'RAW FS ITC'!Q46</f>
        <v>Profit from operations</v>
      </c>
      <c r="C46">
        <f>'RAW FS ITC'!R46</f>
        <v>13172</v>
      </c>
      <c r="D46">
        <f>'RAW FS ITC'!S46</f>
        <v>14261</v>
      </c>
      <c r="E46">
        <f>'RAW FS ITC'!T46</f>
        <v>15154</v>
      </c>
      <c r="F46">
        <f>'RAW FS ITC'!U46</f>
        <v>16075</v>
      </c>
      <c r="G46">
        <f>'RAW FS ITC'!V46</f>
        <v>17433</v>
      </c>
      <c r="H46">
        <f>'RAW FS ITC'!W46</f>
        <v>18862</v>
      </c>
      <c r="I46">
        <f>'RAW FS ITC'!X46</f>
        <v>19416</v>
      </c>
      <c r="J46">
        <f>'RAW FS ITC'!Y46</f>
        <v>17326</v>
      </c>
      <c r="K46">
        <f>'RAW FS ITC'!Z46</f>
        <v>20857</v>
      </c>
      <c r="L46">
        <f>'RAW FS ITC'!AA46</f>
        <v>26052</v>
      </c>
      <c r="M46">
        <f>'RAW FS ITC'!AB46</f>
        <v>26635</v>
      </c>
      <c r="N46">
        <f>'RAW FS ITC'!AC46</f>
        <v>26719</v>
      </c>
    </row>
    <row r="47" spans="2:14">
      <c r="B47" t="str">
        <f>'RAW FS ITC'!Q47</f>
        <v>Receivables</v>
      </c>
      <c r="C47">
        <f>'RAW FS ITC'!R47</f>
        <v>-1546</v>
      </c>
      <c r="D47">
        <f>'RAW FS ITC'!S47</f>
        <v>558</v>
      </c>
      <c r="E47">
        <f>'RAW FS ITC'!T47</f>
        <v>-207</v>
      </c>
      <c r="F47">
        <f>'RAW FS ITC'!U47</f>
        <v>-870</v>
      </c>
      <c r="G47">
        <f>'RAW FS ITC'!V47</f>
        <v>-964</v>
      </c>
      <c r="H47">
        <f>'RAW FS ITC'!W47</f>
        <v>-755</v>
      </c>
      <c r="I47">
        <f>'RAW FS ITC'!X47</f>
        <v>1411</v>
      </c>
      <c r="J47">
        <f>'RAW FS ITC'!Y47</f>
        <v>-66</v>
      </c>
      <c r="K47">
        <f>'RAW FS ITC'!Z47</f>
        <v>-732</v>
      </c>
      <c r="L47">
        <f>'RAW FS ITC'!AA47</f>
        <v>-884</v>
      </c>
      <c r="M47">
        <f>'RAW FS ITC'!AB47</f>
        <v>-934</v>
      </c>
      <c r="N47">
        <f>'RAW FS ITC'!AC47</f>
        <v>-1023</v>
      </c>
    </row>
    <row r="48" spans="2:14">
      <c r="B48" t="str">
        <f>'RAW FS ITC'!Q48</f>
        <v>Inventory</v>
      </c>
      <c r="C48">
        <f>'RAW FS ITC'!R48</f>
        <v>-755</v>
      </c>
      <c r="D48">
        <f>'RAW FS ITC'!S48</f>
        <v>-505</v>
      </c>
      <c r="E48">
        <f>'RAW FS ITC'!T48</f>
        <v>-693</v>
      </c>
      <c r="F48">
        <f>'RAW FS ITC'!U48</f>
        <v>593</v>
      </c>
      <c r="G48">
        <f>'RAW FS ITC'!V48</f>
        <v>602</v>
      </c>
      <c r="H48">
        <f>'RAW FS ITC'!W48</f>
        <v>-359</v>
      </c>
      <c r="I48">
        <f>'RAW FS ITC'!X48</f>
        <v>-508</v>
      </c>
      <c r="J48">
        <f>'RAW FS ITC'!Y48</f>
        <v>-1460</v>
      </c>
      <c r="K48">
        <f>'RAW FS ITC'!Z48</f>
        <v>-466</v>
      </c>
      <c r="L48">
        <f>'RAW FS ITC'!AA48</f>
        <v>-1098</v>
      </c>
      <c r="M48">
        <f>'RAW FS ITC'!AB48</f>
        <v>-2545</v>
      </c>
      <c r="N48">
        <f>'RAW FS ITC'!AC48</f>
        <v>-2975</v>
      </c>
    </row>
    <row r="49" spans="2:14">
      <c r="B49" t="str">
        <f>'RAW FS ITC'!Q49</f>
        <v>Payables</v>
      </c>
      <c r="C49">
        <f>'RAW FS ITC'!R49</f>
        <v>456</v>
      </c>
      <c r="D49">
        <f>'RAW FS ITC'!S49</f>
        <v>-23</v>
      </c>
      <c r="E49">
        <f>'RAW FS ITC'!T49</f>
        <v>622</v>
      </c>
      <c r="F49">
        <f>'RAW FS ITC'!U49</f>
        <v>321</v>
      </c>
      <c r="G49">
        <f>'RAW FS ITC'!V49</f>
        <v>2098</v>
      </c>
      <c r="H49">
        <f>'RAW FS ITC'!W49</f>
        <v>639</v>
      </c>
      <c r="I49">
        <f>'RAW FS ITC'!X49</f>
        <v>-607</v>
      </c>
      <c r="J49">
        <f>'RAW FS ITC'!Y49</f>
        <v>1112</v>
      </c>
      <c r="K49">
        <f>'RAW FS ITC'!Z49</f>
        <v>1099</v>
      </c>
      <c r="L49">
        <f>'RAW FS ITC'!AA49</f>
        <v>1058</v>
      </c>
      <c r="M49">
        <f>'RAW FS ITC'!AB49</f>
        <v>141</v>
      </c>
      <c r="N49">
        <f>'RAW FS ITC'!AC49</f>
        <v>1256</v>
      </c>
    </row>
    <row r="50" spans="2:14">
      <c r="B50" t="str">
        <f>'RAW FS ITC'!Q50</f>
        <v>Loans Advances</v>
      </c>
      <c r="C50">
        <f>'RAW FS ITC'!R50</f>
        <v>0</v>
      </c>
      <c r="D50">
        <f>'RAW FS ITC'!S50</f>
        <v>0</v>
      </c>
      <c r="E50">
        <f>'RAW FS ITC'!T50</f>
        <v>0</v>
      </c>
      <c r="F50">
        <f>'RAW FS ITC'!U50</f>
        <v>0</v>
      </c>
      <c r="G50">
        <f>'RAW FS ITC'!V50</f>
        <v>0</v>
      </c>
      <c r="H50">
        <f>'RAW FS ITC'!W50</f>
        <v>0</v>
      </c>
      <c r="I50">
        <f>'RAW FS ITC'!X50</f>
        <v>0</v>
      </c>
      <c r="J50">
        <f>'RAW FS ITC'!Y50</f>
        <v>0</v>
      </c>
      <c r="K50">
        <f>'RAW FS ITC'!Z50</f>
        <v>0</v>
      </c>
      <c r="L50">
        <f>'RAW FS ITC'!AA50</f>
        <v>0</v>
      </c>
      <c r="M50">
        <f>'RAW FS ITC'!AB50</f>
        <v>0</v>
      </c>
      <c r="N50">
        <f>'RAW FS ITC'!AC50</f>
        <v>0</v>
      </c>
    </row>
    <row r="51" spans="2:14">
      <c r="B51" t="str">
        <f>'RAW FS ITC'!Q51</f>
        <v>Other WC items</v>
      </c>
      <c r="C51">
        <f>'RAW FS ITC'!R51</f>
        <v>0</v>
      </c>
      <c r="D51">
        <f>'RAW FS ITC'!S51</f>
        <v>0</v>
      </c>
      <c r="E51">
        <f>'RAW FS ITC'!T51</f>
        <v>0</v>
      </c>
      <c r="F51">
        <f>'RAW FS ITC'!U51</f>
        <v>0</v>
      </c>
      <c r="G51">
        <f>'RAW FS ITC'!V51</f>
        <v>0</v>
      </c>
      <c r="H51">
        <f>'RAW FS ITC'!W51</f>
        <v>0</v>
      </c>
      <c r="I51">
        <f>'RAW FS ITC'!X51</f>
        <v>0</v>
      </c>
      <c r="J51">
        <f>'RAW FS ITC'!Y51</f>
        <v>0</v>
      </c>
      <c r="K51">
        <f>'RAW FS ITC'!Z51</f>
        <v>0</v>
      </c>
      <c r="L51">
        <f>'RAW FS ITC'!AA51</f>
        <v>0</v>
      </c>
      <c r="M51">
        <f>'RAW FS ITC'!AB51</f>
        <v>0</v>
      </c>
      <c r="N51">
        <f>'RAW FS ITC'!AC51</f>
        <v>0</v>
      </c>
    </row>
    <row r="52" spans="2:14">
      <c r="B52" t="str">
        <f>'RAW FS ITC'!Q52</f>
        <v>Working capital changes</v>
      </c>
      <c r="C52">
        <f>'RAW FS ITC'!R52</f>
        <v>-1844</v>
      </c>
      <c r="D52">
        <f>'RAW FS ITC'!S52</f>
        <v>31</v>
      </c>
      <c r="E52">
        <f>'RAW FS ITC'!T52</f>
        <v>-277</v>
      </c>
      <c r="F52">
        <f>'RAW FS ITC'!U52</f>
        <v>44</v>
      </c>
      <c r="G52">
        <f>'RAW FS ITC'!V52</f>
        <v>1736</v>
      </c>
      <c r="H52">
        <f>'RAW FS ITC'!W52</f>
        <v>-476</v>
      </c>
      <c r="I52">
        <f>'RAW FS ITC'!X52</f>
        <v>296</v>
      </c>
      <c r="J52">
        <f>'RAW FS ITC'!Y52</f>
        <v>-413</v>
      </c>
      <c r="K52">
        <f>'RAW FS ITC'!Z52</f>
        <v>-100</v>
      </c>
      <c r="L52">
        <f>'RAW FS ITC'!AA52</f>
        <v>-924</v>
      </c>
      <c r="M52">
        <f>'RAW FS ITC'!AB52</f>
        <v>-3337</v>
      </c>
      <c r="N52">
        <f>'RAW FS ITC'!AC52</f>
        <v>-2742</v>
      </c>
    </row>
    <row r="53" spans="2:14">
      <c r="B53" t="str">
        <f>'RAW FS ITC'!Q53</f>
        <v>Direct taxes</v>
      </c>
      <c r="C53">
        <f>'RAW FS ITC'!R53</f>
        <v>-3984</v>
      </c>
      <c r="D53">
        <f>'RAW FS ITC'!S53</f>
        <v>-4449</v>
      </c>
      <c r="E53">
        <f>'RAW FS ITC'!T53</f>
        <v>-5078</v>
      </c>
      <c r="F53">
        <f>'RAW FS ITC'!U53</f>
        <v>-5492</v>
      </c>
      <c r="G53">
        <f>'RAW FS ITC'!V53</f>
        <v>-6000</v>
      </c>
      <c r="H53">
        <f>'RAW FS ITC'!W53</f>
        <v>-5803</v>
      </c>
      <c r="I53">
        <f>'RAW FS ITC'!X53</f>
        <v>-5023</v>
      </c>
      <c r="J53">
        <f>'RAW FS ITC'!Y53</f>
        <v>-4387</v>
      </c>
      <c r="K53">
        <f>'RAW FS ITC'!Z53</f>
        <v>-4982</v>
      </c>
      <c r="L53">
        <f>'RAW FS ITC'!AA53</f>
        <v>-6250</v>
      </c>
      <c r="M53">
        <f>'RAW FS ITC'!AB53</f>
        <v>-6120</v>
      </c>
      <c r="N53">
        <f>'RAW FS ITC'!AC53</f>
        <v>-6350</v>
      </c>
    </row>
    <row r="54" spans="2:14">
      <c r="B54" t="str">
        <f>'RAW FS ITC'!Q54</f>
        <v>Exceptional CF items</v>
      </c>
      <c r="C54">
        <f>'RAW FS ITC'!R54</f>
        <v>0</v>
      </c>
      <c r="D54">
        <f>'RAW FS ITC'!S54</f>
        <v>0</v>
      </c>
      <c r="E54">
        <f>'RAW FS ITC'!T54</f>
        <v>0</v>
      </c>
      <c r="F54">
        <f>'RAW FS ITC'!U54</f>
        <v>0</v>
      </c>
      <c r="G54">
        <f>'RAW FS ITC'!V54</f>
        <v>0</v>
      </c>
      <c r="H54">
        <f>'RAW FS ITC'!W54</f>
        <v>0</v>
      </c>
      <c r="I54">
        <f>'RAW FS ITC'!X54</f>
        <v>0</v>
      </c>
      <c r="J54">
        <f>'RAW FS ITC'!Y54</f>
        <v>0</v>
      </c>
      <c r="K54">
        <f>'RAW FS ITC'!Z54</f>
        <v>0</v>
      </c>
      <c r="L54">
        <f>'RAW FS ITC'!AA54</f>
        <v>0</v>
      </c>
      <c r="M54">
        <f>'RAW FS ITC'!AB54</f>
        <v>0</v>
      </c>
      <c r="N54">
        <f>'RAW FS ITC'!AC54</f>
        <v>0</v>
      </c>
    </row>
    <row r="56" spans="2:14">
      <c r="B56" s="89" t="str">
        <f>'RAW FS ITC'!Q56</f>
        <v>Cash from Investing Activity</v>
      </c>
      <c r="C56" s="89">
        <f>'RAW FS ITC'!R56</f>
        <v>-3254</v>
      </c>
      <c r="D56" s="89">
        <f>'RAW FS ITC'!S56</f>
        <v>-5275</v>
      </c>
      <c r="E56" s="89">
        <f>'RAW FS ITC'!T56</f>
        <v>-3921</v>
      </c>
      <c r="F56" s="89">
        <f>'RAW FS ITC'!U56</f>
        <v>-3251</v>
      </c>
      <c r="G56" s="89">
        <f>'RAW FS ITC'!V56</f>
        <v>-7114</v>
      </c>
      <c r="H56" s="89">
        <f>'RAW FS ITC'!W56</f>
        <v>-5546</v>
      </c>
      <c r="I56" s="89">
        <f>'RAW FS ITC'!X56</f>
        <v>-6174</v>
      </c>
      <c r="J56" s="89">
        <f>'RAW FS ITC'!Y56</f>
        <v>5740</v>
      </c>
      <c r="K56" s="89">
        <f>'RAW FS ITC'!Z56</f>
        <v>-2238</v>
      </c>
      <c r="L56" s="89">
        <f>'RAW FS ITC'!AA56</f>
        <v>-5732</v>
      </c>
      <c r="M56" s="89">
        <f>'RAW FS ITC'!AB56</f>
        <v>1563</v>
      </c>
      <c r="N56" s="89">
        <f>'RAW FS ITC'!AC56</f>
        <v>-564</v>
      </c>
    </row>
    <row r="57" spans="2:14">
      <c r="B57" t="str">
        <f>'RAW FS ITC'!Q57</f>
        <v>Fixed assets purchased</v>
      </c>
      <c r="C57">
        <f>'RAW FS ITC'!R57</f>
        <v>-2887</v>
      </c>
      <c r="D57">
        <f>'RAW FS ITC'!S57</f>
        <v>-3300</v>
      </c>
      <c r="E57">
        <f>'RAW FS ITC'!T57</f>
        <v>-2348</v>
      </c>
      <c r="F57">
        <f>'RAW FS ITC'!U57</f>
        <v>-3122</v>
      </c>
      <c r="G57">
        <f>'RAW FS ITC'!V57</f>
        <v>-2878</v>
      </c>
      <c r="H57">
        <f>'RAW FS ITC'!W57</f>
        <v>-3169</v>
      </c>
      <c r="I57">
        <f>'RAW FS ITC'!X57</f>
        <v>-2441</v>
      </c>
      <c r="J57">
        <f>'RAW FS ITC'!Y57</f>
        <v>-1837</v>
      </c>
      <c r="K57">
        <f>'RAW FS ITC'!Z57</f>
        <v>-2142</v>
      </c>
      <c r="L57">
        <f>'RAW FS ITC'!AA57</f>
        <v>-2743</v>
      </c>
      <c r="M57">
        <f>'RAW FS ITC'!AB57</f>
        <v>-3563</v>
      </c>
      <c r="N57">
        <f>'RAW FS ITC'!AC57</f>
        <v>-2279</v>
      </c>
    </row>
    <row r="58" spans="2:14">
      <c r="B58" t="str">
        <f>'RAW FS ITC'!Q58</f>
        <v>Fixed assets sold</v>
      </c>
      <c r="C58">
        <f>'RAW FS ITC'!R58</f>
        <v>38</v>
      </c>
      <c r="D58">
        <f>'RAW FS ITC'!S58</f>
        <v>9</v>
      </c>
      <c r="E58">
        <f>'RAW FS ITC'!T58</f>
        <v>8</v>
      </c>
      <c r="F58">
        <f>'RAW FS ITC'!U58</f>
        <v>50</v>
      </c>
      <c r="G58">
        <f>'RAW FS ITC'!V58</f>
        <v>80</v>
      </c>
      <c r="H58">
        <f>'RAW FS ITC'!W58</f>
        <v>28</v>
      </c>
      <c r="I58">
        <f>'RAW FS ITC'!X58</f>
        <v>27</v>
      </c>
      <c r="J58">
        <f>'RAW FS ITC'!Y58</f>
        <v>3</v>
      </c>
      <c r="K58">
        <f>'RAW FS ITC'!Z58</f>
        <v>133</v>
      </c>
      <c r="L58">
        <f>'RAW FS ITC'!AA58</f>
        <v>49</v>
      </c>
      <c r="M58">
        <f>'RAW FS ITC'!AB58</f>
        <v>107</v>
      </c>
      <c r="N58">
        <f>'RAW FS ITC'!AC58</f>
        <v>175</v>
      </c>
    </row>
    <row r="59" spans="2:14">
      <c r="B59" t="str">
        <f>'RAW FS ITC'!Q59</f>
        <v>Investments purchased</v>
      </c>
      <c r="C59">
        <f>'RAW FS ITC'!R59</f>
        <v>-94242</v>
      </c>
      <c r="D59">
        <f>'RAW FS ITC'!S59</f>
        <v>-98742</v>
      </c>
      <c r="E59">
        <f>'RAW FS ITC'!T59</f>
        <v>-154081</v>
      </c>
      <c r="F59">
        <f>'RAW FS ITC'!U59</f>
        <v>-85683</v>
      </c>
      <c r="G59">
        <f>'RAW FS ITC'!V59</f>
        <v>-98330</v>
      </c>
      <c r="H59">
        <f>'RAW FS ITC'!W59</f>
        <v>-94187</v>
      </c>
      <c r="I59">
        <f>'RAW FS ITC'!X59</f>
        <v>-79835</v>
      </c>
      <c r="J59">
        <f>'RAW FS ITC'!Y59</f>
        <v>-57553</v>
      </c>
      <c r="K59">
        <f>'RAW FS ITC'!Z59</f>
        <v>-69776</v>
      </c>
      <c r="L59">
        <f>'RAW FS ITC'!AA59</f>
        <v>-80932</v>
      </c>
      <c r="M59">
        <f>'RAW FS ITC'!AB59</f>
        <v>-75107</v>
      </c>
      <c r="N59">
        <f>'RAW FS ITC'!AC59</f>
        <v>-66373</v>
      </c>
    </row>
    <row r="60" spans="2:14">
      <c r="B60" t="str">
        <f>'RAW FS ITC'!Q60</f>
        <v>Investments sold</v>
      </c>
      <c r="C60">
        <f>'RAW FS ITC'!R60</f>
        <v>93293</v>
      </c>
      <c r="D60">
        <f>'RAW FS ITC'!S60</f>
        <v>99658</v>
      </c>
      <c r="E60">
        <f>'RAW FS ITC'!T60</f>
        <v>150651</v>
      </c>
      <c r="F60">
        <f>'RAW FS ITC'!U60</f>
        <v>81034</v>
      </c>
      <c r="G60">
        <f>'RAW FS ITC'!V60</f>
        <v>95017</v>
      </c>
      <c r="H60">
        <f>'RAW FS ITC'!W60</f>
        <v>92454</v>
      </c>
      <c r="I60">
        <f>'RAW FS ITC'!X60</f>
        <v>75835</v>
      </c>
      <c r="J60">
        <f>'RAW FS ITC'!Y60</f>
        <v>62797</v>
      </c>
      <c r="K60">
        <f>'RAW FS ITC'!Z60</f>
        <v>70992</v>
      </c>
      <c r="L60">
        <f>'RAW FS ITC'!AA60</f>
        <v>77230</v>
      </c>
      <c r="M60">
        <f>'RAW FS ITC'!AB60</f>
        <v>77830</v>
      </c>
      <c r="N60">
        <f>'RAW FS ITC'!AC60</f>
        <v>67311</v>
      </c>
    </row>
    <row r="61" spans="2:14">
      <c r="B61" t="str">
        <f>'RAW FS ITC'!Q61</f>
        <v>Interest received</v>
      </c>
      <c r="C61">
        <f>'RAW FS ITC'!R61</f>
        <v>374</v>
      </c>
      <c r="D61">
        <f>'RAW FS ITC'!S61</f>
        <v>559</v>
      </c>
      <c r="E61">
        <f>'RAW FS ITC'!T61</f>
        <v>741</v>
      </c>
      <c r="F61">
        <f>'RAW FS ITC'!U61</f>
        <v>756</v>
      </c>
      <c r="G61">
        <f>'RAW FS ITC'!V61</f>
        <v>736</v>
      </c>
      <c r="H61">
        <f>'RAW FS ITC'!W61</f>
        <v>1184</v>
      </c>
      <c r="I61">
        <f>'RAW FS ITC'!X61</f>
        <v>1513</v>
      </c>
      <c r="J61">
        <f>'RAW FS ITC'!Y61</f>
        <v>1275</v>
      </c>
      <c r="K61">
        <f>'RAW FS ITC'!Z61</f>
        <v>1035</v>
      </c>
      <c r="L61">
        <f>'RAW FS ITC'!AA61</f>
        <v>1324</v>
      </c>
      <c r="M61">
        <f>'RAW FS ITC'!AB61</f>
        <v>1138</v>
      </c>
      <c r="N61">
        <f>'RAW FS ITC'!AC61</f>
        <v>1072</v>
      </c>
    </row>
    <row r="62" spans="2:14">
      <c r="B62" t="str">
        <f>'RAW FS ITC'!Q62</f>
        <v>Dividends received</v>
      </c>
      <c r="C62">
        <f>'RAW FS ITC'!R62</f>
        <v>192</v>
      </c>
      <c r="D62">
        <f>'RAW FS ITC'!S62</f>
        <v>268</v>
      </c>
      <c r="E62">
        <f>'RAW FS ITC'!T62</f>
        <v>64</v>
      </c>
      <c r="F62">
        <f>'RAW FS ITC'!U62</f>
        <v>4</v>
      </c>
      <c r="G62">
        <f>'RAW FS ITC'!V62</f>
        <v>13</v>
      </c>
      <c r="H62">
        <f>'RAW FS ITC'!W62</f>
        <v>13</v>
      </c>
      <c r="I62">
        <f>'RAW FS ITC'!X62</f>
        <v>17</v>
      </c>
      <c r="J62">
        <f>'RAW FS ITC'!Y62</f>
        <v>7</v>
      </c>
      <c r="K62">
        <f>'RAW FS ITC'!Z62</f>
        <v>16</v>
      </c>
      <c r="L62">
        <f>'RAW FS ITC'!AA62</f>
        <v>19</v>
      </c>
      <c r="M62">
        <f>'RAW FS ITC'!AB62</f>
        <v>36</v>
      </c>
      <c r="N62">
        <f>'RAW FS ITC'!AC62</f>
        <v>38</v>
      </c>
    </row>
    <row r="63" spans="2:14">
      <c r="B63" t="str">
        <f>'RAW FS ITC'!Q63</f>
        <v>Investment in group cos/subsid</v>
      </c>
      <c r="C63">
        <f>'RAW FS ITC'!R63</f>
        <v>0</v>
      </c>
      <c r="D63">
        <f>'RAW FS ITC'!S63</f>
        <v>0</v>
      </c>
      <c r="E63">
        <f>'RAW FS ITC'!T63</f>
        <v>-8</v>
      </c>
      <c r="F63">
        <f>'RAW FS ITC'!U63</f>
        <v>0</v>
      </c>
      <c r="G63">
        <f>'RAW FS ITC'!V63</f>
        <v>0</v>
      </c>
      <c r="H63">
        <f>'RAW FS ITC'!W63</f>
        <v>0</v>
      </c>
      <c r="I63">
        <f>'RAW FS ITC'!X63</f>
        <v>0</v>
      </c>
      <c r="J63">
        <f>'RAW FS ITC'!Y63</f>
        <v>-2</v>
      </c>
      <c r="K63">
        <f>'RAW FS ITC'!Z63</f>
        <v>-2</v>
      </c>
      <c r="L63">
        <f>'RAW FS ITC'!AA63</f>
        <v>-2</v>
      </c>
      <c r="M63">
        <f>'RAW FS ITC'!AB63</f>
        <v>-65</v>
      </c>
      <c r="N63">
        <f>'RAW FS ITC'!AC63</f>
        <v>-30</v>
      </c>
    </row>
    <row r="64" spans="2:14">
      <c r="B64" t="str">
        <f>'RAW FS ITC'!Q64</f>
        <v>Redemp n Canc of Shares</v>
      </c>
      <c r="C64">
        <f>'RAW FS ITC'!R64</f>
        <v>0</v>
      </c>
      <c r="D64">
        <f>'RAW FS ITC'!S64</f>
        <v>0</v>
      </c>
      <c r="E64">
        <f>'RAW FS ITC'!T64</f>
        <v>0</v>
      </c>
      <c r="F64">
        <f>'RAW FS ITC'!U64</f>
        <v>129</v>
      </c>
      <c r="G64">
        <f>'RAW FS ITC'!V64</f>
        <v>18</v>
      </c>
      <c r="H64">
        <f>'RAW FS ITC'!W64</f>
        <v>18</v>
      </c>
      <c r="I64">
        <f>'RAW FS ITC'!X64</f>
        <v>0</v>
      </c>
      <c r="J64">
        <f>'RAW FS ITC'!Y64</f>
        <v>0</v>
      </c>
      <c r="K64">
        <f>'RAW FS ITC'!Z64</f>
        <v>0</v>
      </c>
      <c r="L64">
        <f>'RAW FS ITC'!AA64</f>
        <v>56</v>
      </c>
      <c r="M64">
        <f>'RAW FS ITC'!AB64</f>
        <v>0</v>
      </c>
      <c r="N64">
        <f>'RAW FS ITC'!AC64</f>
        <v>0</v>
      </c>
    </row>
    <row r="65" spans="2:14">
      <c r="B65" t="str">
        <f>'RAW FS ITC'!Q65</f>
        <v>Acquisition of companies</v>
      </c>
      <c r="C65">
        <f>'RAW FS ITC'!R65</f>
        <v>0</v>
      </c>
      <c r="D65">
        <f>'RAW FS ITC'!S65</f>
        <v>0</v>
      </c>
      <c r="E65">
        <f>'RAW FS ITC'!T65</f>
        <v>0</v>
      </c>
      <c r="F65">
        <f>'RAW FS ITC'!U65</f>
        <v>0</v>
      </c>
      <c r="G65">
        <f>'RAW FS ITC'!V65</f>
        <v>0</v>
      </c>
      <c r="H65">
        <f>'RAW FS ITC'!W65</f>
        <v>0</v>
      </c>
      <c r="I65">
        <f>'RAW FS ITC'!X65</f>
        <v>0</v>
      </c>
      <c r="J65">
        <f>'RAW FS ITC'!Y65</f>
        <v>0</v>
      </c>
      <c r="K65">
        <f>'RAW FS ITC'!Z65</f>
        <v>0</v>
      </c>
      <c r="L65">
        <f>'RAW FS ITC'!AA65</f>
        <v>0</v>
      </c>
      <c r="M65">
        <f>'RAW FS ITC'!AB65</f>
        <v>0</v>
      </c>
      <c r="N65">
        <f>'RAW FS ITC'!AC65</f>
        <v>0</v>
      </c>
    </row>
    <row r="66" spans="2:14">
      <c r="B66" t="str">
        <f>'RAW FS ITC'!Q66</f>
        <v>Inter corporate deposits</v>
      </c>
      <c r="C66">
        <f>'RAW FS ITC'!R66</f>
        <v>0</v>
      </c>
      <c r="D66">
        <f>'RAW FS ITC'!S66</f>
        <v>0</v>
      </c>
      <c r="E66">
        <f>'RAW FS ITC'!T66</f>
        <v>0</v>
      </c>
      <c r="F66">
        <f>'RAW FS ITC'!U66</f>
        <v>0</v>
      </c>
      <c r="G66">
        <f>'RAW FS ITC'!V66</f>
        <v>0</v>
      </c>
      <c r="H66">
        <f>'RAW FS ITC'!W66</f>
        <v>0</v>
      </c>
      <c r="I66">
        <f>'RAW FS ITC'!X66</f>
        <v>0</v>
      </c>
      <c r="J66">
        <f>'RAW FS ITC'!Y66</f>
        <v>0</v>
      </c>
      <c r="K66">
        <f>'RAW FS ITC'!Z66</f>
        <v>0</v>
      </c>
      <c r="L66">
        <f>'RAW FS ITC'!AA66</f>
        <v>0</v>
      </c>
      <c r="M66">
        <f>'RAW FS ITC'!AB66</f>
        <v>0</v>
      </c>
      <c r="N66">
        <f>'RAW FS ITC'!AC66</f>
        <v>0</v>
      </c>
    </row>
    <row r="67" spans="2:14">
      <c r="B67" t="str">
        <f>'RAW FS ITC'!Q67</f>
        <v>Other investing items</v>
      </c>
      <c r="C67">
        <f>'RAW FS ITC'!R67</f>
        <v>-21</v>
      </c>
      <c r="D67">
        <f>'RAW FS ITC'!S67</f>
        <v>-3728</v>
      </c>
      <c r="E67">
        <f>'RAW FS ITC'!T67</f>
        <v>1052</v>
      </c>
      <c r="F67">
        <f>'RAW FS ITC'!U67</f>
        <v>3579</v>
      </c>
      <c r="G67">
        <f>'RAW FS ITC'!V67</f>
        <v>-1769</v>
      </c>
      <c r="H67">
        <f>'RAW FS ITC'!W67</f>
        <v>-1887</v>
      </c>
      <c r="I67">
        <f>'RAW FS ITC'!X67</f>
        <v>-1290</v>
      </c>
      <c r="J67">
        <f>'RAW FS ITC'!Y67</f>
        <v>1051</v>
      </c>
      <c r="K67">
        <f>'RAW FS ITC'!Z67</f>
        <v>-2494</v>
      </c>
      <c r="L67">
        <f>'RAW FS ITC'!AA67</f>
        <v>-733</v>
      </c>
      <c r="M67">
        <f>'RAW FS ITC'!AB67</f>
        <v>1187</v>
      </c>
      <c r="N67">
        <f>'RAW FS ITC'!AC67</f>
        <v>-478</v>
      </c>
    </row>
    <row r="69" spans="2:14">
      <c r="B69" s="89" t="str">
        <f>'RAW FS ITC'!Q69</f>
        <v>Cash from Financing Activity</v>
      </c>
      <c r="C69" s="89">
        <f>'RAW FS ITC'!R69</f>
        <v>-4122</v>
      </c>
      <c r="D69" s="89">
        <f>'RAW FS ITC'!S69</f>
        <v>-4661</v>
      </c>
      <c r="E69" s="89">
        <f>'RAW FS ITC'!T69</f>
        <v>-5613</v>
      </c>
      <c r="F69" s="89">
        <f>'RAW FS ITC'!U69</f>
        <v>-7301</v>
      </c>
      <c r="G69" s="89">
        <f>'RAW FS ITC'!V69</f>
        <v>-6221</v>
      </c>
      <c r="H69" s="89">
        <f>'RAW FS ITC'!W69</f>
        <v>-6869</v>
      </c>
      <c r="I69" s="89">
        <f>'RAW FS ITC'!X69</f>
        <v>-8181</v>
      </c>
      <c r="J69" s="89">
        <f>'RAW FS ITC'!Y69</f>
        <v>-18634</v>
      </c>
      <c r="K69" s="89">
        <f>'RAW FS ITC'!Z69</f>
        <v>-13580</v>
      </c>
      <c r="L69" s="89">
        <f>'RAW FS ITC'!AA69</f>
        <v>-13006</v>
      </c>
      <c r="M69" s="89">
        <f>'RAW FS ITC'!AB69</f>
        <v>-18551</v>
      </c>
      <c r="N69" s="89">
        <f>'RAW FS ITC'!AC69</f>
        <v>-17037</v>
      </c>
    </row>
    <row r="70" spans="2:14">
      <c r="B70" t="str">
        <f>'RAW FS ITC'!Q70</f>
        <v>Proceeds from shares</v>
      </c>
      <c r="C70">
        <f>'RAW FS ITC'!R70</f>
        <v>691</v>
      </c>
      <c r="D70">
        <f>'RAW FS ITC'!S70</f>
        <v>979</v>
      </c>
      <c r="E70">
        <f>'RAW FS ITC'!T70</f>
        <v>532</v>
      </c>
      <c r="F70">
        <f>'RAW FS ITC'!U70</f>
        <v>1067</v>
      </c>
      <c r="G70">
        <f>'RAW FS ITC'!V70</f>
        <v>913</v>
      </c>
      <c r="H70">
        <f>'RAW FS ITC'!W70</f>
        <v>969</v>
      </c>
      <c r="I70">
        <f>'RAW FS ITC'!X70</f>
        <v>625</v>
      </c>
      <c r="J70">
        <f>'RAW FS ITC'!Y70</f>
        <v>291</v>
      </c>
      <c r="K70">
        <f>'RAW FS ITC'!Z70</f>
        <v>292</v>
      </c>
      <c r="L70">
        <f>'RAW FS ITC'!AA70</f>
        <v>2477</v>
      </c>
      <c r="M70">
        <f>'RAW FS ITC'!AB70</f>
        <v>1443</v>
      </c>
      <c r="N70">
        <f>'RAW FS ITC'!AC70</f>
        <v>797</v>
      </c>
    </row>
    <row r="71" spans="2:14">
      <c r="B71" t="str">
        <f>'RAW FS ITC'!Q71</f>
        <v>Redemption of debentures</v>
      </c>
      <c r="C71">
        <f>'RAW FS ITC'!R71</f>
        <v>0</v>
      </c>
      <c r="D71">
        <f>'RAW FS ITC'!S71</f>
        <v>0</v>
      </c>
      <c r="E71">
        <f>'RAW FS ITC'!T71</f>
        <v>0</v>
      </c>
      <c r="F71">
        <f>'RAW FS ITC'!U71</f>
        <v>0</v>
      </c>
      <c r="G71">
        <f>'RAW FS ITC'!V71</f>
        <v>0</v>
      </c>
      <c r="H71">
        <f>'RAW FS ITC'!W71</f>
        <v>0</v>
      </c>
      <c r="I71">
        <f>'RAW FS ITC'!X71</f>
        <v>0</v>
      </c>
      <c r="J71">
        <f>'RAW FS ITC'!Y71</f>
        <v>0</v>
      </c>
      <c r="K71">
        <f>'RAW FS ITC'!Z71</f>
        <v>0</v>
      </c>
      <c r="L71">
        <f>'RAW FS ITC'!AA71</f>
        <v>0</v>
      </c>
      <c r="M71">
        <f>'RAW FS ITC'!AB71</f>
        <v>0</v>
      </c>
      <c r="N71">
        <f>'RAW FS ITC'!AC71</f>
        <v>0</v>
      </c>
    </row>
    <row r="72" spans="2:14">
      <c r="B72" t="str">
        <f>'RAW FS ITC'!Q72</f>
        <v>Proceeds from borrowings</v>
      </c>
      <c r="C72">
        <f>'RAW FS ITC'!R72</f>
        <v>156</v>
      </c>
      <c r="D72">
        <f>'RAW FS ITC'!S72</f>
        <v>7</v>
      </c>
      <c r="E72">
        <f>'RAW FS ITC'!T72</f>
        <v>0</v>
      </c>
      <c r="F72">
        <f>'RAW FS ITC'!U72</f>
        <v>0</v>
      </c>
      <c r="G72">
        <f>'RAW FS ITC'!V72</f>
        <v>11</v>
      </c>
      <c r="H72">
        <f>'RAW FS ITC'!W72</f>
        <v>0</v>
      </c>
      <c r="I72">
        <f>'RAW FS ITC'!X72</f>
        <v>0</v>
      </c>
      <c r="J72">
        <f>'RAW FS ITC'!Y72</f>
        <v>0</v>
      </c>
      <c r="K72">
        <f>'RAW FS ITC'!Z72</f>
        <v>0</v>
      </c>
      <c r="L72">
        <f>'RAW FS ITC'!AA72</f>
        <v>0</v>
      </c>
      <c r="M72">
        <f>'RAW FS ITC'!AB72</f>
        <v>8</v>
      </c>
      <c r="N72">
        <f>'RAW FS ITC'!AC72</f>
        <v>90</v>
      </c>
    </row>
    <row r="73" spans="2:14">
      <c r="B73" t="str">
        <f>'RAW FS ITC'!Q73</f>
        <v>Repayment of borrowings</v>
      </c>
      <c r="C73">
        <f>'RAW FS ITC'!R73</f>
        <v>-15</v>
      </c>
      <c r="D73">
        <f>'RAW FS ITC'!S73</f>
        <v>-20</v>
      </c>
      <c r="E73">
        <f>'RAW FS ITC'!T73</f>
        <v>-13</v>
      </c>
      <c r="F73">
        <f>'RAW FS ITC'!U73</f>
        <v>-13</v>
      </c>
      <c r="G73">
        <f>'RAW FS ITC'!V73</f>
        <v>-8</v>
      </c>
      <c r="H73">
        <f>'RAW FS ITC'!W73</f>
        <v>-18</v>
      </c>
      <c r="I73">
        <f>'RAW FS ITC'!X73</f>
        <v>-3</v>
      </c>
      <c r="J73">
        <f>'RAW FS ITC'!Y73</f>
        <v>-2</v>
      </c>
      <c r="K73">
        <f>'RAW FS ITC'!Z73</f>
        <v>-1</v>
      </c>
      <c r="L73">
        <f>'RAW FS ITC'!AA73</f>
        <v>-1</v>
      </c>
      <c r="M73">
        <f>'RAW FS ITC'!AB73</f>
        <v>-2</v>
      </c>
      <c r="N73">
        <f>'RAW FS ITC'!AC73</f>
        <v>-54</v>
      </c>
    </row>
    <row r="74" spans="2:14">
      <c r="B74" t="str">
        <f>'RAW FS ITC'!Q74</f>
        <v>Interest paid fin</v>
      </c>
      <c r="C74">
        <f>'RAW FS ITC'!R74</f>
        <v>-48</v>
      </c>
      <c r="D74">
        <f>'RAW FS ITC'!S74</f>
        <v>-16</v>
      </c>
      <c r="E74">
        <f>'RAW FS ITC'!T74</f>
        <v>-28</v>
      </c>
      <c r="F74">
        <f>'RAW FS ITC'!U74</f>
        <v>-25</v>
      </c>
      <c r="G74">
        <f>'RAW FS ITC'!V74</f>
        <v>-49</v>
      </c>
      <c r="H74">
        <f>'RAW FS ITC'!W74</f>
        <v>-98</v>
      </c>
      <c r="I74">
        <f>'RAW FS ITC'!X74</f>
        <v>-44</v>
      </c>
      <c r="J74">
        <f>'RAW FS ITC'!Y74</f>
        <v>-41</v>
      </c>
      <c r="K74">
        <f>'RAW FS ITC'!Z74</f>
        <v>-40</v>
      </c>
      <c r="L74">
        <f>'RAW FS ITC'!AA74</f>
        <v>-41</v>
      </c>
      <c r="M74">
        <f>'RAW FS ITC'!AB74</f>
        <v>-46</v>
      </c>
      <c r="N74">
        <f>'RAW FS ITC'!AC74</f>
        <v>-50</v>
      </c>
    </row>
    <row r="75" spans="2:14">
      <c r="B75" t="str">
        <f>'RAW FS ITC'!Q75</f>
        <v>Dividends paid</v>
      </c>
      <c r="C75">
        <f>'RAW FS ITC'!R75</f>
        <v>-4239</v>
      </c>
      <c r="D75">
        <f>'RAW FS ITC'!S75</f>
        <v>-4876</v>
      </c>
      <c r="E75">
        <f>'RAW FS ITC'!T75</f>
        <v>-5133</v>
      </c>
      <c r="F75">
        <f>'RAW FS ITC'!U75</f>
        <v>-6994</v>
      </c>
      <c r="G75">
        <f>'RAW FS ITC'!V75</f>
        <v>-5952</v>
      </c>
      <c r="H75">
        <f>'RAW FS ITC'!W75</f>
        <v>-6519</v>
      </c>
      <c r="I75">
        <f>'RAW FS ITC'!X75</f>
        <v>-7302</v>
      </c>
      <c r="J75">
        <f>'RAW FS ITC'!Y75</f>
        <v>-18881</v>
      </c>
      <c r="K75">
        <f>'RAW FS ITC'!Z75</f>
        <v>-13788</v>
      </c>
      <c r="L75">
        <f>'RAW FS ITC'!AA75</f>
        <v>-15418</v>
      </c>
      <c r="M75">
        <f>'RAW FS ITC'!AB75</f>
        <v>-19899</v>
      </c>
      <c r="N75">
        <f>'RAW FS ITC'!AC75</f>
        <v>-17782</v>
      </c>
    </row>
    <row r="76" spans="2:14">
      <c r="B76" t="str">
        <f>'RAW FS ITC'!Q76</f>
        <v>Financial liabilities</v>
      </c>
      <c r="C76">
        <f>'RAW FS ITC'!R76</f>
        <v>0</v>
      </c>
      <c r="D76">
        <f>'RAW FS ITC'!S76</f>
        <v>0</v>
      </c>
      <c r="E76">
        <f>'RAW FS ITC'!T76</f>
        <v>0</v>
      </c>
      <c r="F76">
        <f>'RAW FS ITC'!U76</f>
        <v>0</v>
      </c>
      <c r="G76">
        <f>'RAW FS ITC'!V76</f>
        <v>0</v>
      </c>
      <c r="H76">
        <f>'RAW FS ITC'!W76</f>
        <v>0</v>
      </c>
      <c r="I76">
        <f>'RAW FS ITC'!X76</f>
        <v>-49</v>
      </c>
      <c r="J76">
        <f>'RAW FS ITC'!Y76</f>
        <v>-55</v>
      </c>
      <c r="K76">
        <f>'RAW FS ITC'!Z76</f>
        <v>-59</v>
      </c>
      <c r="L76">
        <f>'RAW FS ITC'!AA76</f>
        <v>-59</v>
      </c>
      <c r="M76">
        <f>'RAW FS ITC'!AB76</f>
        <v>-67</v>
      </c>
      <c r="N76">
        <f>'RAW FS ITC'!AC76</f>
        <v>-66</v>
      </c>
    </row>
    <row r="77" spans="2:14">
      <c r="B77" t="str">
        <f>'RAW FS ITC'!Q77</f>
        <v>Other financing items</v>
      </c>
      <c r="C77">
        <f>'RAW FS ITC'!R77</f>
        <v>-667</v>
      </c>
      <c r="D77">
        <f>'RAW FS ITC'!S77</f>
        <v>-734</v>
      </c>
      <c r="E77">
        <f>'RAW FS ITC'!T77</f>
        <v>-971</v>
      </c>
      <c r="F77">
        <f>'RAW FS ITC'!U77</f>
        <v>-1335</v>
      </c>
      <c r="G77">
        <f>'RAW FS ITC'!V77</f>
        <v>-1136</v>
      </c>
      <c r="H77">
        <f>'RAW FS ITC'!W77</f>
        <v>-1203</v>
      </c>
      <c r="I77">
        <f>'RAW FS ITC'!X77</f>
        <v>-1409</v>
      </c>
      <c r="J77">
        <f>'RAW FS ITC'!Y77</f>
        <v>55</v>
      </c>
      <c r="K77">
        <f>'RAW FS ITC'!Z77</f>
        <v>15</v>
      </c>
      <c r="L77">
        <f>'RAW FS ITC'!AA77</f>
        <v>35</v>
      </c>
      <c r="M77">
        <f>'RAW FS ITC'!AB77</f>
        <v>12</v>
      </c>
      <c r="N77">
        <f>'RAW FS ITC'!AC77</f>
        <v>28</v>
      </c>
    </row>
    <row r="79" spans="2:14">
      <c r="B79" s="93" t="str">
        <f>'RAW FS ITC'!Q79</f>
        <v>Net Cash Flow</v>
      </c>
      <c r="C79" s="93">
        <f>'RAW FS ITC'!R79</f>
        <v>-32</v>
      </c>
      <c r="D79" s="93">
        <f>'RAW FS ITC'!S79</f>
        <v>-93</v>
      </c>
      <c r="E79" s="93">
        <f>'RAW FS ITC'!T79</f>
        <v>266</v>
      </c>
      <c r="F79" s="93">
        <f>'RAW FS ITC'!U79</f>
        <v>75</v>
      </c>
      <c r="G79" s="93">
        <f>'RAW FS ITC'!V79</f>
        <v>-166</v>
      </c>
      <c r="H79" s="93">
        <f>'RAW FS ITC'!W79</f>
        <v>169</v>
      </c>
      <c r="I79" s="93">
        <f>'RAW FS ITC'!X79</f>
        <v>334</v>
      </c>
      <c r="J79" s="93">
        <f>'RAW FS ITC'!Y79</f>
        <v>-367</v>
      </c>
      <c r="K79" s="93">
        <f>'RAW FS ITC'!Z79</f>
        <v>-43</v>
      </c>
      <c r="L79" s="93">
        <f>'RAW FS ITC'!AA79</f>
        <v>139</v>
      </c>
      <c r="M79" s="93">
        <f>'RAW FS ITC'!AB79</f>
        <v>191</v>
      </c>
      <c r="N79" s="93">
        <f>'RAW FS ITC'!AC79</f>
        <v>26</v>
      </c>
    </row>
  </sheetData>
  <sheetProtection sheet="1" objects="1" scenarios="1"/>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G27"/>
  <sheetViews>
    <sheetView showGridLines="0" workbookViewId="0">
      <selection activeCell="F4" sqref="F4"/>
    </sheetView>
  </sheetViews>
  <sheetFormatPr defaultRowHeight="15"/>
  <cols>
    <col min="5" max="5" width="19.85546875" bestFit="1" customWidth="1"/>
    <col min="7" max="7" width="16.28515625" customWidth="1"/>
  </cols>
  <sheetData>
    <row r="2" spans="2:7">
      <c r="B2" s="78" t="s">
        <v>128</v>
      </c>
      <c r="C2" s="78" t="s">
        <v>203</v>
      </c>
    </row>
    <row r="3" spans="2:7">
      <c r="B3" s="32">
        <v>2000</v>
      </c>
      <c r="C3" s="196">
        <v>-0.14649999999999999</v>
      </c>
      <c r="E3" s="3" t="s">
        <v>204</v>
      </c>
      <c r="F3" s="79">
        <f>AVERAGE(C3:C27)</f>
        <v>0.15334799999999998</v>
      </c>
      <c r="G3" s="79"/>
    </row>
    <row r="4" spans="2:7">
      <c r="B4" s="32">
        <v>2001</v>
      </c>
      <c r="C4" s="196">
        <v>-0.1618</v>
      </c>
      <c r="E4" s="3" t="s">
        <v>205</v>
      </c>
      <c r="F4" s="195">
        <v>1.2999999999999999E-2</v>
      </c>
      <c r="G4" s="80"/>
    </row>
    <row r="5" spans="2:7">
      <c r="B5" s="32">
        <v>2002</v>
      </c>
      <c r="C5" s="196">
        <v>3.2500000000000001E-2</v>
      </c>
      <c r="E5" s="69" t="s">
        <v>206</v>
      </c>
      <c r="F5" s="81">
        <f>SUM(F3:F4)</f>
        <v>0.166348</v>
      </c>
    </row>
    <row r="6" spans="2:7">
      <c r="B6" s="32">
        <v>2003</v>
      </c>
      <c r="C6" s="196">
        <v>0.71900000000000008</v>
      </c>
    </row>
    <row r="7" spans="2:7">
      <c r="B7" s="32">
        <v>2004</v>
      </c>
      <c r="C7" s="196">
        <v>0.10679999999999999</v>
      </c>
    </row>
    <row r="8" spans="2:7">
      <c r="B8" s="32">
        <v>2005</v>
      </c>
      <c r="C8" s="196">
        <v>0.36340000000000006</v>
      </c>
    </row>
    <row r="9" spans="2:7">
      <c r="B9" s="32">
        <v>2006</v>
      </c>
      <c r="C9" s="196">
        <v>0.39829999999999999</v>
      </c>
    </row>
    <row r="10" spans="2:7">
      <c r="B10" s="32">
        <v>2007</v>
      </c>
      <c r="C10" s="196">
        <v>0.54770000000000008</v>
      </c>
    </row>
    <row r="11" spans="2:7">
      <c r="B11" s="32">
        <v>2008</v>
      </c>
      <c r="C11" s="196">
        <v>-0.51790000000000003</v>
      </c>
    </row>
    <row r="12" spans="2:7">
      <c r="B12" s="32">
        <v>2009</v>
      </c>
      <c r="C12" s="196">
        <v>0.75760000000000005</v>
      </c>
    </row>
    <row r="13" spans="2:7">
      <c r="B13" s="32">
        <v>2010</v>
      </c>
      <c r="C13" s="196">
        <v>0.17949999999999999</v>
      </c>
    </row>
    <row r="14" spans="2:7">
      <c r="B14" s="32">
        <v>2011</v>
      </c>
      <c r="C14" s="196">
        <v>-0.2462</v>
      </c>
    </row>
    <row r="15" spans="2:7">
      <c r="B15" s="32">
        <v>2012</v>
      </c>
      <c r="C15" s="196">
        <v>0.27699999999999997</v>
      </c>
    </row>
    <row r="16" spans="2:7">
      <c r="B16" s="32">
        <v>2013</v>
      </c>
      <c r="C16" s="196">
        <v>6.7599999999999993E-2</v>
      </c>
    </row>
    <row r="17" spans="2:3">
      <c r="B17" s="32">
        <v>2014</v>
      </c>
      <c r="C17" s="196">
        <v>0.31390000000000001</v>
      </c>
    </row>
    <row r="18" spans="2:3">
      <c r="B18" s="32">
        <v>2015</v>
      </c>
      <c r="C18" s="196">
        <v>-4.0599999999999997E-2</v>
      </c>
    </row>
    <row r="19" spans="2:3">
      <c r="B19" s="32">
        <v>2016</v>
      </c>
      <c r="C19" s="196">
        <v>3.0099999999999998E-2</v>
      </c>
    </row>
    <row r="20" spans="2:3">
      <c r="B20" s="32">
        <v>2017</v>
      </c>
      <c r="C20" s="196">
        <v>0.28649999999999998</v>
      </c>
    </row>
    <row r="21" spans="2:3">
      <c r="B21" s="32">
        <v>2018</v>
      </c>
      <c r="C21" s="196">
        <v>3.15E-2</v>
      </c>
    </row>
    <row r="22" spans="2:3">
      <c r="B22" s="32">
        <v>2019</v>
      </c>
      <c r="C22" s="196">
        <v>0.1202</v>
      </c>
    </row>
    <row r="23" spans="2:3">
      <c r="B23" s="32">
        <v>2020</v>
      </c>
      <c r="C23" s="196">
        <v>0.14899999999999999</v>
      </c>
    </row>
    <row r="24" spans="2:3">
      <c r="B24" s="32">
        <v>2021</v>
      </c>
      <c r="C24" s="196">
        <v>0.2412</v>
      </c>
    </row>
    <row r="25" spans="2:3">
      <c r="B25" s="32">
        <v>2022</v>
      </c>
      <c r="C25" s="196">
        <v>4.3200000000000002E-2</v>
      </c>
    </row>
    <row r="26" spans="2:3">
      <c r="B26" s="32">
        <v>2023</v>
      </c>
      <c r="C26" s="196">
        <v>0.19420000000000001</v>
      </c>
    </row>
    <row r="27" spans="2:3">
      <c r="B27" s="32">
        <v>2024</v>
      </c>
      <c r="C27" s="196">
        <v>8.7499999999999994E-2</v>
      </c>
    </row>
  </sheetData>
  <sheetProtection sheet="1" objects="1" scenarios="1"/>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3:M101"/>
  <sheetViews>
    <sheetView showGridLines="0" workbookViewId="0">
      <selection activeCell="F94" sqref="F94"/>
    </sheetView>
  </sheetViews>
  <sheetFormatPr defaultRowHeight="15"/>
  <cols>
    <col min="1" max="1" width="1.85546875" customWidth="1"/>
    <col min="2" max="2" width="38.7109375" bestFit="1" customWidth="1"/>
    <col min="3" max="3" width="11.7109375" customWidth="1"/>
    <col min="4" max="4" width="17" customWidth="1"/>
    <col min="5" max="5" width="15" customWidth="1"/>
    <col min="6" max="6" width="17.5703125" customWidth="1"/>
    <col min="7" max="7" width="13.42578125" customWidth="1"/>
    <col min="8" max="8" width="13.28515625" customWidth="1"/>
    <col min="9" max="9" width="14.7109375" customWidth="1"/>
    <col min="10" max="10" width="15.42578125" customWidth="1"/>
    <col min="11" max="11" width="11.7109375" customWidth="1"/>
    <col min="12" max="12" width="16" customWidth="1"/>
    <col min="13" max="13" width="15" customWidth="1"/>
  </cols>
  <sheetData>
    <row r="3" spans="2:13" ht="21">
      <c r="B3" s="139" t="s">
        <v>310</v>
      </c>
    </row>
    <row r="4" spans="2:13">
      <c r="B4" t="s">
        <v>311</v>
      </c>
    </row>
    <row r="5" spans="2:13" ht="45">
      <c r="B5" s="140" t="s">
        <v>312</v>
      </c>
      <c r="C5" s="140" t="s">
        <v>313</v>
      </c>
      <c r="D5" s="140" t="s">
        <v>314</v>
      </c>
      <c r="E5" s="140" t="s">
        <v>315</v>
      </c>
      <c r="F5" s="140" t="s">
        <v>316</v>
      </c>
      <c r="G5" s="140" t="s">
        <v>317</v>
      </c>
      <c r="H5" s="140" t="s">
        <v>318</v>
      </c>
      <c r="I5" s="140" t="s">
        <v>319</v>
      </c>
      <c r="J5" s="140" t="s">
        <v>320</v>
      </c>
      <c r="K5" s="140" t="s">
        <v>321</v>
      </c>
      <c r="L5" s="141" t="s">
        <v>272</v>
      </c>
      <c r="M5" s="140" t="s">
        <v>322</v>
      </c>
    </row>
    <row r="6" spans="2:13">
      <c r="B6" s="142" t="s">
        <v>323</v>
      </c>
      <c r="C6" s="143">
        <v>13</v>
      </c>
      <c r="D6" s="144">
        <v>12.254999999999999</v>
      </c>
      <c r="E6" s="144">
        <v>6.1719999999999988</v>
      </c>
      <c r="F6" s="145">
        <v>1.9855800388852887</v>
      </c>
      <c r="G6" s="144">
        <v>15.7</v>
      </c>
      <c r="H6" s="144">
        <v>1.9499999999999993</v>
      </c>
      <c r="I6" s="145">
        <v>0.11509866777887166</v>
      </c>
      <c r="J6" s="145">
        <v>0.92871967524177057</v>
      </c>
      <c r="K6" s="146">
        <v>4.3520758141792797</v>
      </c>
      <c r="L6" s="147">
        <f>1/K6</f>
        <v>0.22977540895357343</v>
      </c>
      <c r="M6" s="148">
        <f>VLOOKUP(B6,'[3]Industry Averages'!$A$9:$E$104,5,0)</f>
        <v>0.5859619601682664</v>
      </c>
    </row>
    <row r="7" spans="2:13">
      <c r="B7" s="142" t="s">
        <v>324</v>
      </c>
      <c r="C7" s="143">
        <v>13</v>
      </c>
      <c r="D7" s="144">
        <v>179.85599999999999</v>
      </c>
      <c r="E7" s="144">
        <v>230.04299999999998</v>
      </c>
      <c r="F7" s="145">
        <v>0.78183643927439661</v>
      </c>
      <c r="G7" s="144">
        <v>0</v>
      </c>
      <c r="H7" s="144">
        <v>130.91380000000004</v>
      </c>
      <c r="I7" s="145">
        <v>1.1286262733025205E-2</v>
      </c>
      <c r="J7" s="145">
        <v>8.590057130269689E-2</v>
      </c>
      <c r="K7" s="146">
        <v>2.3987361826292801</v>
      </c>
      <c r="L7" s="147">
        <f t="shared" ref="L7:L70" si="0">1/K7</f>
        <v>0.41688619500619256</v>
      </c>
      <c r="M7" s="148">
        <f>VLOOKUP(B7,'[3]Industry Averages'!$A$9:$E$104,5,0)</f>
        <v>3.398413975620472E-2</v>
      </c>
    </row>
    <row r="8" spans="2:13">
      <c r="B8" s="142" t="s">
        <v>325</v>
      </c>
      <c r="C8" s="143">
        <v>6</v>
      </c>
      <c r="D8" s="144">
        <v>522.1389999999999</v>
      </c>
      <c r="E8" s="144">
        <v>907.27300000000002</v>
      </c>
      <c r="F8" s="145">
        <v>0.57550373481851647</v>
      </c>
      <c r="G8" s="144">
        <v>0</v>
      </c>
      <c r="H8" s="144">
        <v>0</v>
      </c>
      <c r="I8" s="145">
        <v>-5.2425788869725737E-2</v>
      </c>
      <c r="J8" s="145">
        <v>-30.163963317758547</v>
      </c>
      <c r="K8" s="146">
        <v>0.99250581619997469</v>
      </c>
      <c r="L8" s="147">
        <f t="shared" si="0"/>
        <v>1.0075507706632072</v>
      </c>
      <c r="M8" s="148">
        <f>VLOOKUP(B8,'[3]Industry Averages'!$A$9:$E$104,5,0)</f>
        <v>-0.59810780376869188</v>
      </c>
    </row>
    <row r="9" spans="2:13">
      <c r="B9" s="142" t="s">
        <v>326</v>
      </c>
      <c r="C9" s="143">
        <v>323</v>
      </c>
      <c r="D9" s="144">
        <v>1319.1549999999995</v>
      </c>
      <c r="E9" s="144">
        <v>1037.4009999999992</v>
      </c>
      <c r="F9" s="145">
        <v>1.2715960366338577</v>
      </c>
      <c r="G9" s="144">
        <v>18.023</v>
      </c>
      <c r="H9" s="144">
        <v>19.954000000001088</v>
      </c>
      <c r="I9" s="145">
        <v>4.4862222418410296E-3</v>
      </c>
      <c r="J9" s="145">
        <v>0.1324811729154258</v>
      </c>
      <c r="K9" s="146">
        <v>2.8247623583292145</v>
      </c>
      <c r="L9" s="147">
        <f t="shared" si="0"/>
        <v>0.35401208071587242</v>
      </c>
      <c r="M9" s="148">
        <f>VLOOKUP(B9,'[3]Industry Averages'!$A$9:$E$104,5,0)</f>
        <v>9.5153899651068408E-2</v>
      </c>
    </row>
    <row r="10" spans="2:13">
      <c r="B10" s="142" t="s">
        <v>327</v>
      </c>
      <c r="C10" s="143">
        <v>12</v>
      </c>
      <c r="D10" s="144">
        <v>2055.7350000000001</v>
      </c>
      <c r="E10" s="144">
        <v>4078.6380000000004</v>
      </c>
      <c r="F10" s="145">
        <v>0.50402487300907806</v>
      </c>
      <c r="G10" s="144">
        <v>103.39999999999999</v>
      </c>
      <c r="H10" s="144">
        <v>106.72619999999915</v>
      </c>
      <c r="I10" s="145">
        <v>-2.3678847600735676E-2</v>
      </c>
      <c r="J10" s="145">
        <v>-0.48880651837000005</v>
      </c>
      <c r="K10" s="146">
        <v>1.1695525313659343</v>
      </c>
      <c r="L10" s="147">
        <f t="shared" si="0"/>
        <v>0.85502786166610933</v>
      </c>
      <c r="M10" s="148">
        <f>VLOOKUP(B10,'[3]Industry Averages'!$A$9:$E$104,5,0)</f>
        <v>-3.5019143033347938E-2</v>
      </c>
    </row>
    <row r="11" spans="2:13">
      <c r="B11" s="142" t="s">
        <v>328</v>
      </c>
      <c r="C11" s="143">
        <v>107</v>
      </c>
      <c r="D11" s="144">
        <v>1610.9509999999998</v>
      </c>
      <c r="E11" s="144">
        <v>1354.4360000000001</v>
      </c>
      <c r="F11" s="145">
        <v>1.1893887935642582</v>
      </c>
      <c r="G11" s="144">
        <v>188.833</v>
      </c>
      <c r="H11" s="144">
        <v>14.640199999999822</v>
      </c>
      <c r="I11" s="145">
        <v>1.2636963472964002E-2</v>
      </c>
      <c r="J11" s="145">
        <v>0.25411285871330636</v>
      </c>
      <c r="K11" s="146">
        <v>1.9351196747785298</v>
      </c>
      <c r="L11" s="147">
        <f t="shared" si="0"/>
        <v>0.51676390511323178</v>
      </c>
      <c r="M11" s="148">
        <f>VLOOKUP(B11,'[3]Industry Averages'!$A$9:$E$104,5,0)</f>
        <v>5.9256669670706655E-2</v>
      </c>
    </row>
    <row r="12" spans="2:13">
      <c r="B12" s="142" t="s">
        <v>329</v>
      </c>
      <c r="C12" s="143">
        <v>32</v>
      </c>
      <c r="D12" s="144">
        <v>2515.3199999999997</v>
      </c>
      <c r="E12" s="144">
        <v>9.25</v>
      </c>
      <c r="F12" s="145" t="s">
        <v>330</v>
      </c>
      <c r="G12" s="144">
        <v>283.76100000000002</v>
      </c>
      <c r="H12" s="144">
        <v>0</v>
      </c>
      <c r="I12" s="145">
        <v>2.8561625183255935E-2</v>
      </c>
      <c r="J12" s="145">
        <v>95.33594666973957</v>
      </c>
      <c r="K12" s="146">
        <v>0.4374686930360836</v>
      </c>
      <c r="L12" s="147">
        <f t="shared" si="0"/>
        <v>2.2858778603330072</v>
      </c>
      <c r="M12" s="148">
        <f>VLOOKUP(B12,'[3]Industry Averages'!$A$9:$E$104,5,0)</f>
        <v>1.176175134580692E-2</v>
      </c>
    </row>
    <row r="13" spans="2:13">
      <c r="B13" s="142" t="s">
        <v>331</v>
      </c>
      <c r="C13" s="143">
        <v>5</v>
      </c>
      <c r="D13" s="144">
        <v>90.31</v>
      </c>
      <c r="E13" s="144">
        <v>0</v>
      </c>
      <c r="F13" s="145" t="s">
        <v>330</v>
      </c>
      <c r="G13" s="144">
        <v>0</v>
      </c>
      <c r="H13" s="144">
        <v>0</v>
      </c>
      <c r="I13" s="145">
        <v>4.0481420054686447E-2</v>
      </c>
      <c r="J13" s="145">
        <v>14.611621092579158</v>
      </c>
      <c r="K13" s="146">
        <v>0.52508707334008453</v>
      </c>
      <c r="L13" s="147">
        <f t="shared" si="0"/>
        <v>1.9044460448035585</v>
      </c>
      <c r="M13" s="148">
        <f>VLOOKUP(B13,'[3]Industry Averages'!$A$9:$E$104,5,0)</f>
        <v>2.1963454228465167E-2</v>
      </c>
    </row>
    <row r="14" spans="2:13">
      <c r="B14" s="142" t="s">
        <v>332</v>
      </c>
      <c r="C14" s="143">
        <v>19</v>
      </c>
      <c r="D14" s="144">
        <v>132.85499999999999</v>
      </c>
      <c r="E14" s="144">
        <v>94.073999999999998</v>
      </c>
      <c r="F14" s="145">
        <v>1.4122393009758274</v>
      </c>
      <c r="G14" s="144">
        <v>31.029999999999998</v>
      </c>
      <c r="H14" s="144">
        <v>1.3230000000000359</v>
      </c>
      <c r="I14" s="145">
        <v>1.9774489535232507E-2</v>
      </c>
      <c r="J14" s="145">
        <v>0.23780071124215976</v>
      </c>
      <c r="K14" s="146">
        <v>1.8773559185600828</v>
      </c>
      <c r="L14" s="147">
        <f t="shared" si="0"/>
        <v>0.5326640463397011</v>
      </c>
      <c r="M14" s="148">
        <f>VLOOKUP(B14,'[3]Industry Averages'!$A$9:$E$104,5,0)</f>
        <v>4.3070540726236804E-2</v>
      </c>
    </row>
    <row r="15" spans="2:13">
      <c r="B15" s="142" t="s">
        <v>333</v>
      </c>
      <c r="C15" s="143">
        <v>5</v>
      </c>
      <c r="D15" s="144">
        <v>1.59</v>
      </c>
      <c r="E15" s="144">
        <v>70.091000000000008</v>
      </c>
      <c r="F15" s="145">
        <v>2.2684795480161501E-2</v>
      </c>
      <c r="G15" s="144">
        <v>0</v>
      </c>
      <c r="H15" s="144">
        <v>0</v>
      </c>
      <c r="I15" s="145">
        <v>-4.3484802124820511E-2</v>
      </c>
      <c r="J15" s="145">
        <v>-0.34007573967155907</v>
      </c>
      <c r="K15" s="146">
        <v>2.0035510469356326</v>
      </c>
      <c r="L15" s="147">
        <f t="shared" si="0"/>
        <v>0.49911381171419023</v>
      </c>
      <c r="M15" s="148">
        <f>VLOOKUP(B15,'[3]Industry Averages'!$A$9:$E$104,5,0)</f>
        <v>-0.10415246868424263</v>
      </c>
    </row>
    <row r="16" spans="2:13">
      <c r="B16" s="142" t="s">
        <v>334</v>
      </c>
      <c r="C16" s="143">
        <v>17</v>
      </c>
      <c r="D16" s="144">
        <v>182.505</v>
      </c>
      <c r="E16" s="144">
        <v>165.614</v>
      </c>
      <c r="F16" s="145">
        <v>1.1019901699131716</v>
      </c>
      <c r="G16" s="144">
        <v>4.95</v>
      </c>
      <c r="H16" s="144">
        <v>4.0799999999990177E-2</v>
      </c>
      <c r="I16" s="145">
        <v>6.484380093286779E-3</v>
      </c>
      <c r="J16" s="145">
        <v>4.8500550382375579E-2</v>
      </c>
      <c r="K16" s="146">
        <v>1.0879530894503171</v>
      </c>
      <c r="L16" s="147">
        <f t="shared" si="0"/>
        <v>0.91915727773266864</v>
      </c>
      <c r="M16" s="148">
        <f>VLOOKUP(B16,'[3]Industry Averages'!$A$9:$E$104,5,0)</f>
        <v>0.17417747786795842</v>
      </c>
    </row>
    <row r="17" spans="2:13">
      <c r="B17" s="142" t="s">
        <v>335</v>
      </c>
      <c r="C17" s="143">
        <v>174</v>
      </c>
      <c r="D17" s="144">
        <v>98.346000000000089</v>
      </c>
      <c r="E17" s="144">
        <v>60.774000000000022</v>
      </c>
      <c r="F17" s="145">
        <v>1.6182248988054111</v>
      </c>
      <c r="G17" s="144">
        <v>1.6089999999999998</v>
      </c>
      <c r="H17" s="144">
        <v>0.97879999999999967</v>
      </c>
      <c r="I17" s="145">
        <v>5.718692742478557E-3</v>
      </c>
      <c r="J17" s="145">
        <v>2.6058980419272868</v>
      </c>
      <c r="K17" s="146">
        <v>0.7957445803487172</v>
      </c>
      <c r="L17" s="147">
        <f t="shared" si="0"/>
        <v>1.2566846506975549</v>
      </c>
      <c r="M17" s="148">
        <f>VLOOKUP(B17,'[3]Industry Averages'!$A$9:$E$104,5,0)</f>
        <v>1.1229890259896977E-2</v>
      </c>
    </row>
    <row r="18" spans="2:13">
      <c r="B18" s="142" t="s">
        <v>336</v>
      </c>
      <c r="C18" s="143">
        <v>48</v>
      </c>
      <c r="D18" s="144">
        <v>294.06299999999999</v>
      </c>
      <c r="E18" s="144">
        <v>132.08999999999997</v>
      </c>
      <c r="F18" s="145">
        <v>2.2262321144674089</v>
      </c>
      <c r="G18" s="144">
        <v>-2.7E-2</v>
      </c>
      <c r="H18" s="144">
        <v>0.48220000000009122</v>
      </c>
      <c r="I18" s="145">
        <v>3.0565548896952174E-2</v>
      </c>
      <c r="J18" s="145">
        <v>0.5501661862388435</v>
      </c>
      <c r="K18" s="146">
        <v>2.0105271975176731</v>
      </c>
      <c r="L18" s="147">
        <f t="shared" si="0"/>
        <v>0.497381980823072</v>
      </c>
      <c r="M18" s="148">
        <f>VLOOKUP(B18,'[3]Industry Averages'!$A$9:$E$104,5,0)</f>
        <v>0.1715718544183254</v>
      </c>
    </row>
    <row r="19" spans="2:13">
      <c r="B19" s="142" t="s">
        <v>337</v>
      </c>
      <c r="C19" s="143">
        <v>58</v>
      </c>
      <c r="D19" s="144">
        <v>141.79699999999997</v>
      </c>
      <c r="E19" s="144">
        <v>125.52300000000002</v>
      </c>
      <c r="F19" s="145">
        <v>1.1296495462982874</v>
      </c>
      <c r="G19" s="144">
        <v>-26.311</v>
      </c>
      <c r="H19" s="144">
        <v>7.9599999999913962E-2</v>
      </c>
      <c r="I19" s="145">
        <v>-1.5559103624124143E-3</v>
      </c>
      <c r="J19" s="145">
        <v>-2.2128621978277325E-2</v>
      </c>
      <c r="K19" s="146">
        <v>4.0759056231095938</v>
      </c>
      <c r="L19" s="147">
        <f t="shared" si="0"/>
        <v>0.24534424799489812</v>
      </c>
      <c r="M19" s="148">
        <f>VLOOKUP(B19,'[3]Industry Averages'!$A$9:$E$104,5,0)</f>
        <v>0.13481714734660222</v>
      </c>
    </row>
    <row r="20" spans="2:13">
      <c r="B20" s="142" t="s">
        <v>338</v>
      </c>
      <c r="C20" s="143">
        <v>8</v>
      </c>
      <c r="D20" s="144">
        <v>207.31</v>
      </c>
      <c r="E20" s="144">
        <v>272.43100000000004</v>
      </c>
      <c r="F20" s="145">
        <v>0.76096332649368081</v>
      </c>
      <c r="G20" s="144">
        <v>-0.42799999999999999</v>
      </c>
      <c r="H20" s="144">
        <v>0</v>
      </c>
      <c r="I20" s="145">
        <v>-5.0339982459454806E-2</v>
      </c>
      <c r="J20" s="145">
        <v>-0.91369890717302304</v>
      </c>
      <c r="K20" s="146">
        <v>0.98018147410448508</v>
      </c>
      <c r="L20" s="147">
        <f t="shared" si="0"/>
        <v>1.0202192414558964</v>
      </c>
      <c r="M20" s="148">
        <f>VLOOKUP(B20,'[3]Industry Averages'!$A$9:$E$104,5,0)</f>
        <v>-3.5265425948056281E-3</v>
      </c>
    </row>
    <row r="21" spans="2:13">
      <c r="B21" s="142" t="s">
        <v>339</v>
      </c>
      <c r="C21" s="143">
        <v>128</v>
      </c>
      <c r="D21" s="144">
        <v>1638.4330000000004</v>
      </c>
      <c r="E21" s="144">
        <v>741.08699999999999</v>
      </c>
      <c r="F21" s="145">
        <v>2.2108510876590746</v>
      </c>
      <c r="G21" s="144">
        <v>29.027999999999999</v>
      </c>
      <c r="H21" s="144">
        <v>4.4913999999994303</v>
      </c>
      <c r="I21" s="145">
        <v>3.651505614599599E-2</v>
      </c>
      <c r="J21" s="145">
        <v>0.36157794125719617</v>
      </c>
      <c r="K21" s="146">
        <v>1.4829760826656215</v>
      </c>
      <c r="L21" s="147">
        <f t="shared" si="0"/>
        <v>0.67431970865134849</v>
      </c>
      <c r="M21" s="148">
        <f>VLOOKUP(B21,'[3]Industry Averages'!$A$9:$E$104,5,0)</f>
        <v>0.11908758671978847</v>
      </c>
    </row>
    <row r="22" spans="2:13">
      <c r="B22" s="142" t="s">
        <v>340</v>
      </c>
      <c r="C22" s="143">
        <v>10</v>
      </c>
      <c r="D22" s="144">
        <v>678.43</v>
      </c>
      <c r="E22" s="144">
        <v>188.09999999999994</v>
      </c>
      <c r="F22" s="145">
        <v>3.6067517278043604</v>
      </c>
      <c r="G22" s="144">
        <v>33.42</v>
      </c>
      <c r="H22" s="144">
        <v>1.6743999999996504</v>
      </c>
      <c r="I22" s="145">
        <v>6.8788133485199535E-2</v>
      </c>
      <c r="J22" s="145">
        <v>0.69803448886853148</v>
      </c>
      <c r="K22" s="146">
        <v>1.9394418222297922</v>
      </c>
      <c r="L22" s="147">
        <f t="shared" si="0"/>
        <v>0.51561226974588581</v>
      </c>
      <c r="M22" s="148">
        <f>VLOOKUP(B22,'[3]Industry Averages'!$A$9:$E$104,5,0)</f>
        <v>0.221375215652759</v>
      </c>
    </row>
    <row r="23" spans="2:13">
      <c r="B23" s="142" t="s">
        <v>341</v>
      </c>
      <c r="C23" s="143">
        <v>167</v>
      </c>
      <c r="D23" s="144">
        <v>2136.2280000000005</v>
      </c>
      <c r="E23" s="144">
        <v>1159.7210000000005</v>
      </c>
      <c r="F23" s="145">
        <v>1.8420188993732109</v>
      </c>
      <c r="G23" s="144">
        <v>149.75400000000002</v>
      </c>
      <c r="H23" s="144">
        <v>-8.0283999999992375</v>
      </c>
      <c r="I23" s="145">
        <v>2.2489217526960082E-2</v>
      </c>
      <c r="J23" s="145">
        <v>0.23451832048916638</v>
      </c>
      <c r="K23" s="146">
        <v>2.0349819285044326</v>
      </c>
      <c r="L23" s="147">
        <f t="shared" si="0"/>
        <v>0.49140485524356919</v>
      </c>
      <c r="M23" s="148">
        <f>VLOOKUP(B23,'[3]Industry Averages'!$A$9:$E$104,5,0)</f>
        <v>0.20753919314975397</v>
      </c>
    </row>
    <row r="24" spans="2:13">
      <c r="B24" s="142" t="s">
        <v>342</v>
      </c>
      <c r="C24" s="143">
        <v>2</v>
      </c>
      <c r="D24" s="144">
        <v>1808.8</v>
      </c>
      <c r="E24" s="144">
        <v>550.29999999999995</v>
      </c>
      <c r="F24" s="145">
        <v>3.2869343994184992</v>
      </c>
      <c r="G24" s="144">
        <v>0</v>
      </c>
      <c r="H24" s="144">
        <v>0.78600000000005821</v>
      </c>
      <c r="I24" s="145">
        <v>8.2890844583698109E-2</v>
      </c>
      <c r="J24" s="145">
        <v>0.43299617791782347</v>
      </c>
      <c r="K24" s="146">
        <v>4.0386197113756372</v>
      </c>
      <c r="L24" s="147">
        <f t="shared" si="0"/>
        <v>0.24760934959617165</v>
      </c>
      <c r="M24" s="148">
        <f>VLOOKUP(B24,'[3]Industry Averages'!$A$9:$E$104,5,0)</f>
        <v>0.29707528166542035</v>
      </c>
    </row>
    <row r="25" spans="2:13">
      <c r="B25" s="142" t="s">
        <v>343</v>
      </c>
      <c r="C25" s="143">
        <v>132</v>
      </c>
      <c r="D25" s="144">
        <v>1553.5179999999993</v>
      </c>
      <c r="E25" s="144">
        <v>2311.905999999999</v>
      </c>
      <c r="F25" s="145">
        <v>0.67196417155368771</v>
      </c>
      <c r="G25" s="144">
        <v>1856.9579999999999</v>
      </c>
      <c r="H25" s="144">
        <v>-15.583800000000338</v>
      </c>
      <c r="I25" s="145">
        <v>1.1830690502188625E-2</v>
      </c>
      <c r="J25" s="145">
        <v>8.9775143517130118E-2</v>
      </c>
      <c r="K25" s="146">
        <v>2.3636028584024564</v>
      </c>
      <c r="L25" s="147">
        <f t="shared" si="0"/>
        <v>0.42308292040055046</v>
      </c>
      <c r="M25" s="148">
        <f>VLOOKUP(B25,'[3]Industry Averages'!$A$9:$E$104,5,0)</f>
        <v>0.13864803973032297</v>
      </c>
    </row>
    <row r="26" spans="2:13">
      <c r="B26" s="142" t="s">
        <v>344</v>
      </c>
      <c r="C26" s="143">
        <v>6</v>
      </c>
      <c r="D26" s="144">
        <v>1.4159999999999999</v>
      </c>
      <c r="E26" s="144">
        <v>1.145</v>
      </c>
      <c r="F26" s="145">
        <v>1.2366812227074235</v>
      </c>
      <c r="G26" s="144">
        <v>0</v>
      </c>
      <c r="H26" s="144">
        <v>0</v>
      </c>
      <c r="I26" s="145">
        <v>4.5590659802833E-3</v>
      </c>
      <c r="J26" s="145">
        <v>0.1367178137238407</v>
      </c>
      <c r="K26" s="146">
        <v>1.8150229007633587</v>
      </c>
      <c r="L26" s="147">
        <f t="shared" si="0"/>
        <v>0.55095723562464249</v>
      </c>
      <c r="M26" s="148">
        <f>VLOOKUP(B26,'[3]Industry Averages'!$A$9:$E$104,5,0)</f>
        <v>8.0008171038542325E-2</v>
      </c>
    </row>
    <row r="27" spans="2:13">
      <c r="B27" s="142" t="s">
        <v>345</v>
      </c>
      <c r="C27" s="143">
        <v>92</v>
      </c>
      <c r="D27" s="144">
        <v>4110.0010000000002</v>
      </c>
      <c r="E27" s="144">
        <v>2184.752</v>
      </c>
      <c r="F27" s="145">
        <v>1.8812208433726119</v>
      </c>
      <c r="G27" s="144">
        <v>89.38900000000001</v>
      </c>
      <c r="H27" s="144">
        <v>18.402200000002267</v>
      </c>
      <c r="I27" s="145">
        <v>4.1099200956765662E-2</v>
      </c>
      <c r="J27" s="145">
        <v>0.48172167480265604</v>
      </c>
      <c r="K27" s="146">
        <v>0.95495638161746377</v>
      </c>
      <c r="L27" s="147">
        <f t="shared" si="0"/>
        <v>1.0471682468954691</v>
      </c>
      <c r="M27" s="148">
        <f>VLOOKUP(B27,'[3]Industry Averages'!$A$9:$E$104,5,0)</f>
        <v>5.3265356814775004E-2</v>
      </c>
    </row>
    <row r="28" spans="2:13">
      <c r="B28" s="142" t="s">
        <v>346</v>
      </c>
      <c r="C28" s="143">
        <v>13</v>
      </c>
      <c r="D28" s="144">
        <v>164.44300000000001</v>
      </c>
      <c r="E28" s="144">
        <v>222.017</v>
      </c>
      <c r="F28" s="145">
        <v>0.74067751568573581</v>
      </c>
      <c r="G28" s="144">
        <v>9.2309999999999999</v>
      </c>
      <c r="H28" s="144">
        <v>-2.2498000000001639</v>
      </c>
      <c r="I28" s="145">
        <v>-6.2112043729173278E-3</v>
      </c>
      <c r="J28" s="145">
        <v>-8.6913482771074024E-2</v>
      </c>
      <c r="K28" s="146">
        <v>0.60656203573712342</v>
      </c>
      <c r="L28" s="147">
        <f t="shared" si="0"/>
        <v>1.6486359862347002</v>
      </c>
      <c r="M28" s="148">
        <f>VLOOKUP(B28,'[3]Industry Averages'!$A$9:$E$104,5,0)</f>
        <v>2.1566234409499157E-2</v>
      </c>
    </row>
    <row r="29" spans="2:13">
      <c r="B29" s="142" t="s">
        <v>347</v>
      </c>
      <c r="C29" s="143">
        <v>8</v>
      </c>
      <c r="D29" s="144">
        <v>228.45800000000003</v>
      </c>
      <c r="E29" s="144">
        <v>115.92200000000001</v>
      </c>
      <c r="F29" s="145">
        <v>1.9707907040941324</v>
      </c>
      <c r="G29" s="144">
        <v>1.2E-2</v>
      </c>
      <c r="H29" s="144">
        <v>-106.18860000000001</v>
      </c>
      <c r="I29" s="145">
        <v>5.2157139025832567E-3</v>
      </c>
      <c r="J29" s="145">
        <v>6.7797118914613846E-2</v>
      </c>
      <c r="K29" s="146">
        <v>0.8111705878752562</v>
      </c>
      <c r="L29" s="147">
        <f t="shared" si="0"/>
        <v>1.2327863151687428</v>
      </c>
      <c r="M29" s="148">
        <f>VLOOKUP(B29,'[3]Industry Averages'!$A$9:$E$104,5,0)</f>
        <v>5.5785785478105164E-3</v>
      </c>
    </row>
    <row r="30" spans="2:13">
      <c r="B30" s="142" t="s">
        <v>348</v>
      </c>
      <c r="C30" s="143">
        <v>156</v>
      </c>
      <c r="D30" s="144">
        <v>2186.7790000000009</v>
      </c>
      <c r="E30" s="144">
        <v>1565.3380000000004</v>
      </c>
      <c r="F30" s="145">
        <v>1.3970011588551485</v>
      </c>
      <c r="G30" s="144">
        <v>407.00899999999996</v>
      </c>
      <c r="H30" s="144">
        <v>93.16939999999704</v>
      </c>
      <c r="I30" s="145">
        <v>3.1780616216509919E-2</v>
      </c>
      <c r="J30" s="145">
        <v>0.29197518924808835</v>
      </c>
      <c r="K30" s="146">
        <v>0.92891089839558916</v>
      </c>
      <c r="L30" s="147">
        <f t="shared" si="0"/>
        <v>1.0765295161540205</v>
      </c>
      <c r="M30" s="148">
        <f>VLOOKUP(B30,'[3]Industry Averages'!$A$9:$E$104,5,0)</f>
        <v>5.4942200303473188E-2</v>
      </c>
    </row>
    <row r="31" spans="2:13">
      <c r="B31" s="142" t="s">
        <v>349</v>
      </c>
      <c r="C31" s="143">
        <v>26</v>
      </c>
      <c r="D31" s="144">
        <v>9.1889999999999983</v>
      </c>
      <c r="E31" s="144">
        <v>17.787000000000006</v>
      </c>
      <c r="F31" s="145">
        <v>0.51661325687299686</v>
      </c>
      <c r="G31" s="144">
        <v>4.2090000000000005</v>
      </c>
      <c r="H31" s="144">
        <v>0.30079999999999896</v>
      </c>
      <c r="I31" s="145">
        <v>-2.5667072665402673E-2</v>
      </c>
      <c r="J31" s="145" t="s">
        <v>330</v>
      </c>
      <c r="K31" s="146">
        <v>0.46552026137843255</v>
      </c>
      <c r="L31" s="147">
        <f t="shared" si="0"/>
        <v>2.1481342123303975</v>
      </c>
      <c r="M31" s="148" t="str">
        <f>VLOOKUP(B31,'[3]Industry Averages'!$A$9:$E$104,5,0)</f>
        <v>NA</v>
      </c>
    </row>
    <row r="32" spans="2:13">
      <c r="B32" s="142" t="s">
        <v>350</v>
      </c>
      <c r="C32" s="143">
        <v>102</v>
      </c>
      <c r="D32" s="144">
        <v>563.66300000000012</v>
      </c>
      <c r="E32" s="144">
        <v>356.55100000000033</v>
      </c>
      <c r="F32" s="145">
        <v>1.5808762280851816</v>
      </c>
      <c r="G32" s="144">
        <v>1.613</v>
      </c>
      <c r="H32" s="144">
        <v>32.251199999999926</v>
      </c>
      <c r="I32" s="145">
        <v>1.3219963238289219E-2</v>
      </c>
      <c r="J32" s="145">
        <v>0.28987966912953128</v>
      </c>
      <c r="K32" s="146">
        <v>1.5318773983427414</v>
      </c>
      <c r="L32" s="147">
        <f t="shared" si="0"/>
        <v>0.65279375561115272</v>
      </c>
      <c r="M32" s="148">
        <f>VLOOKUP(B32,'[3]Industry Averages'!$A$9:$E$104,5,0)</f>
        <v>5.4779301194835844E-2</v>
      </c>
    </row>
    <row r="33" spans="2:13">
      <c r="B33" s="142" t="s">
        <v>351</v>
      </c>
      <c r="C33" s="143">
        <v>8</v>
      </c>
      <c r="D33" s="144">
        <v>57.395999999999994</v>
      </c>
      <c r="E33" s="144">
        <v>14.183000000000003</v>
      </c>
      <c r="F33" s="145">
        <v>4.046816611436225</v>
      </c>
      <c r="G33" s="144">
        <v>0</v>
      </c>
      <c r="H33" s="144">
        <v>0.41819999999999879</v>
      </c>
      <c r="I33" s="145">
        <v>2.4886209893978418E-2</v>
      </c>
      <c r="J33" s="145">
        <v>1.2335301560243535</v>
      </c>
      <c r="K33" s="146">
        <v>8.0284903363834275</v>
      </c>
      <c r="L33" s="147">
        <f t="shared" si="0"/>
        <v>0.12455641821828078</v>
      </c>
      <c r="M33" s="148">
        <f>VLOOKUP(B33,'[3]Industry Averages'!$A$9:$E$104,5,0)</f>
        <v>0.32618520356113251</v>
      </c>
    </row>
    <row r="34" spans="2:13">
      <c r="B34" s="142" t="s">
        <v>352</v>
      </c>
      <c r="C34" s="143">
        <v>27</v>
      </c>
      <c r="D34" s="144">
        <v>56.801000000000009</v>
      </c>
      <c r="E34" s="144">
        <v>29.396999999999991</v>
      </c>
      <c r="F34" s="145">
        <v>1.9322039663911292</v>
      </c>
      <c r="G34" s="144">
        <v>38.200000000000003</v>
      </c>
      <c r="H34" s="144">
        <v>1.4602000000000146</v>
      </c>
      <c r="I34" s="145">
        <v>4.8774070052516501E-2</v>
      </c>
      <c r="J34" s="145">
        <v>0.76100466033512837</v>
      </c>
      <c r="K34" s="146">
        <v>2.4268056179172435</v>
      </c>
      <c r="L34" s="147">
        <f t="shared" si="0"/>
        <v>0.41206431723123738</v>
      </c>
      <c r="M34" s="148">
        <f>VLOOKUP(B34,'[3]Industry Averages'!$A$9:$E$104,5,0)</f>
        <v>0.27119359131932486</v>
      </c>
    </row>
    <row r="35" spans="2:13">
      <c r="B35" s="142" t="s">
        <v>353</v>
      </c>
      <c r="C35" s="143">
        <v>144</v>
      </c>
      <c r="D35" s="144">
        <v>1658.8349999999991</v>
      </c>
      <c r="E35" s="144">
        <v>1125.7489999999993</v>
      </c>
      <c r="F35" s="145">
        <v>1.4735389505120591</v>
      </c>
      <c r="G35" s="144">
        <v>31.045000000000005</v>
      </c>
      <c r="H35" s="144">
        <v>41.382199999999102</v>
      </c>
      <c r="I35" s="145">
        <v>1.2229110161280348E-2</v>
      </c>
      <c r="J35" s="145">
        <v>0.18999347335267988</v>
      </c>
      <c r="K35" s="146">
        <v>0.97947460971731182</v>
      </c>
      <c r="L35" s="147">
        <f t="shared" si="0"/>
        <v>1.0209555103103816</v>
      </c>
      <c r="M35" s="148">
        <f>VLOOKUP(B35,'[3]Industry Averages'!$A$9:$E$104,5,0)</f>
        <v>4.8665675034765175E-2</v>
      </c>
    </row>
    <row r="36" spans="2:13">
      <c r="B36" s="142" t="s">
        <v>354</v>
      </c>
      <c r="C36" s="143">
        <v>60</v>
      </c>
      <c r="D36" s="144">
        <v>108.20100000000001</v>
      </c>
      <c r="E36" s="144">
        <v>238.99400000000006</v>
      </c>
      <c r="F36" s="145">
        <v>0.4527352151100027</v>
      </c>
      <c r="G36" s="144">
        <v>14.456000000000001</v>
      </c>
      <c r="H36" s="144">
        <v>0.22699999999997544</v>
      </c>
      <c r="I36" s="145">
        <v>-6.3295762547399617E-2</v>
      </c>
      <c r="J36" s="145">
        <v>-0.90136253583662951</v>
      </c>
      <c r="K36" s="146">
        <v>0.67995090932629787</v>
      </c>
      <c r="L36" s="147">
        <f t="shared" si="0"/>
        <v>1.4706944079107269</v>
      </c>
      <c r="M36" s="148">
        <f>VLOOKUP(B36,'[3]Industry Averages'!$A$9:$E$104,5,0)</f>
        <v>6.6039226657281618E-3</v>
      </c>
    </row>
    <row r="37" spans="2:13">
      <c r="B37" s="142" t="s">
        <v>355</v>
      </c>
      <c r="C37" s="143">
        <v>10</v>
      </c>
      <c r="D37" s="144">
        <v>37.591000000000001</v>
      </c>
      <c r="E37" s="144">
        <v>8.3019999999999996</v>
      </c>
      <c r="F37" s="145">
        <v>4.5279450734762712</v>
      </c>
      <c r="G37" s="144">
        <v>0</v>
      </c>
      <c r="H37" s="144">
        <v>0.12040000000000362</v>
      </c>
      <c r="I37" s="145">
        <v>4.7153118486451824E-2</v>
      </c>
      <c r="J37" s="145">
        <v>0.31870481467573086</v>
      </c>
      <c r="K37" s="146">
        <v>5.2712447135424583</v>
      </c>
      <c r="L37" s="147">
        <f t="shared" si="0"/>
        <v>0.18970851370851374</v>
      </c>
      <c r="M37" s="148">
        <f>VLOOKUP(B37,'[3]Industry Averages'!$A$9:$E$104,5,0)</f>
        <v>0.84345976944175927</v>
      </c>
    </row>
    <row r="38" spans="2:13">
      <c r="B38" s="142" t="s">
        <v>356</v>
      </c>
      <c r="C38" s="143">
        <v>57</v>
      </c>
      <c r="D38" s="144">
        <v>161.96200000000005</v>
      </c>
      <c r="E38" s="144">
        <v>119.33699999999997</v>
      </c>
      <c r="F38" s="145">
        <v>1.3571817625715417</v>
      </c>
      <c r="G38" s="144">
        <v>-3.7859999999999996</v>
      </c>
      <c r="H38" s="144">
        <v>2.4352000000000658</v>
      </c>
      <c r="I38" s="145">
        <v>7.7462767885144116E-3</v>
      </c>
      <c r="J38" s="145">
        <v>0.13946671212312556</v>
      </c>
      <c r="K38" s="146">
        <v>1.499299489143417</v>
      </c>
      <c r="L38" s="147">
        <f t="shared" si="0"/>
        <v>0.66697815029025465</v>
      </c>
      <c r="M38" s="148">
        <f>VLOOKUP(B38,'[3]Industry Averages'!$A$9:$E$104,5,0)</f>
        <v>4.1177374405029624E-2</v>
      </c>
    </row>
    <row r="39" spans="2:13">
      <c r="B39" s="142" t="s">
        <v>357</v>
      </c>
      <c r="C39" s="143">
        <v>254</v>
      </c>
      <c r="D39" s="144">
        <v>906.47899999999925</v>
      </c>
      <c r="E39" s="144">
        <v>620.97899999999879</v>
      </c>
      <c r="F39" s="145">
        <v>1.4597578984152459</v>
      </c>
      <c r="G39" s="144">
        <v>287.91599999999994</v>
      </c>
      <c r="H39" s="144">
        <v>0.36240000000043437</v>
      </c>
      <c r="I39" s="145">
        <v>1.1353578117487301E-2</v>
      </c>
      <c r="J39" s="145">
        <v>0.19426990353303017</v>
      </c>
      <c r="K39" s="146">
        <v>0.10361553672669978</v>
      </c>
      <c r="L39" s="147">
        <f t="shared" si="0"/>
        <v>9.6510622980956757</v>
      </c>
      <c r="M39" s="148">
        <f>VLOOKUP(B39,'[3]Industry Averages'!$A$9:$E$104,5,0)</f>
        <v>1.6319973349452094E-3</v>
      </c>
    </row>
    <row r="40" spans="2:13">
      <c r="B40" s="142" t="s">
        <v>358</v>
      </c>
      <c r="C40" s="143">
        <v>185</v>
      </c>
      <c r="D40" s="144">
        <v>1139.2389999999998</v>
      </c>
      <c r="E40" s="144">
        <v>609.47200000000021</v>
      </c>
      <c r="F40" s="145">
        <v>1.8692228683188061</v>
      </c>
      <c r="G40" s="144">
        <v>99.592999999999989</v>
      </c>
      <c r="H40" s="144">
        <v>3.0955999999996493</v>
      </c>
      <c r="I40" s="145">
        <v>1.654482844947593E-2</v>
      </c>
      <c r="J40" s="145">
        <v>0.34667722096273373</v>
      </c>
      <c r="K40" s="146">
        <v>2.3987393584917776</v>
      </c>
      <c r="L40" s="147">
        <f t="shared" si="0"/>
        <v>0.41688564306076015</v>
      </c>
      <c r="M40" s="148">
        <f>VLOOKUP(B40,'[3]Industry Averages'!$A$9:$E$104,5,0)</f>
        <v>5.4777162946450651E-2</v>
      </c>
    </row>
    <row r="41" spans="2:13">
      <c r="B41" s="142" t="s">
        <v>359</v>
      </c>
      <c r="C41" s="143">
        <v>32</v>
      </c>
      <c r="D41" s="144">
        <v>6.987000000000001</v>
      </c>
      <c r="E41" s="144">
        <v>5.0289999999999973</v>
      </c>
      <c r="F41" s="145">
        <v>1.3893418174587402</v>
      </c>
      <c r="G41" s="144">
        <v>0</v>
      </c>
      <c r="H41" s="144">
        <v>1.440000000000019E-2</v>
      </c>
      <c r="I41" s="145">
        <v>1.9393915557216219E-3</v>
      </c>
      <c r="J41" s="145">
        <v>0.2785279810024085</v>
      </c>
      <c r="K41" s="146">
        <v>6.2547509341966405</v>
      </c>
      <c r="L41" s="147">
        <f t="shared" si="0"/>
        <v>0.15987846846669682</v>
      </c>
      <c r="M41" s="148">
        <f>VLOOKUP(B41,'[3]Industry Averages'!$A$9:$E$104,5,0)</f>
        <v>-0.12880591650667342</v>
      </c>
    </row>
    <row r="42" spans="2:13">
      <c r="B42" s="142" t="s">
        <v>360</v>
      </c>
      <c r="C42" s="143">
        <v>38</v>
      </c>
      <c r="D42" s="144">
        <v>205.1639999999999</v>
      </c>
      <c r="E42" s="144">
        <v>125.40899999999999</v>
      </c>
      <c r="F42" s="145">
        <v>1.635959141688395</v>
      </c>
      <c r="G42" s="144">
        <v>258.56399999999996</v>
      </c>
      <c r="H42" s="144">
        <v>0.71700000000015507</v>
      </c>
      <c r="I42" s="145">
        <v>5.678549822224991E-2</v>
      </c>
      <c r="J42" s="145">
        <v>1.2293976587488495</v>
      </c>
      <c r="K42" s="146">
        <v>2.8429462461480384</v>
      </c>
      <c r="L42" s="147">
        <f t="shared" si="0"/>
        <v>0.35174776918660311</v>
      </c>
      <c r="M42" s="148">
        <f>VLOOKUP(B42,'[3]Industry Averages'!$A$9:$E$104,5,0)</f>
        <v>0.16055101798163096</v>
      </c>
    </row>
    <row r="43" spans="2:13">
      <c r="B43" s="142" t="s">
        <v>361</v>
      </c>
      <c r="C43" s="143">
        <v>18</v>
      </c>
      <c r="D43" s="144">
        <v>2209.9460000000008</v>
      </c>
      <c r="E43" s="144">
        <v>407.41700000000003</v>
      </c>
      <c r="F43" s="145">
        <v>5.4242851918304851</v>
      </c>
      <c r="G43" s="144">
        <v>155.48400000000001</v>
      </c>
      <c r="H43" s="144">
        <v>1.8600000000105865E-2</v>
      </c>
      <c r="I43" s="145">
        <v>0.62222232108695863</v>
      </c>
      <c r="J43" s="145">
        <v>1.7375867271130236</v>
      </c>
      <c r="K43" s="146">
        <v>0.17791576151384964</v>
      </c>
      <c r="L43" s="147">
        <f t="shared" si="0"/>
        <v>5.620637494346763</v>
      </c>
      <c r="M43" s="148">
        <f>VLOOKUP(B43,'[3]Industry Averages'!$A$9:$E$104,5,0)</f>
        <v>0.12033880405733269</v>
      </c>
    </row>
    <row r="44" spans="2:13">
      <c r="B44" s="142" t="s">
        <v>362</v>
      </c>
      <c r="C44" s="143">
        <v>13</v>
      </c>
      <c r="D44" s="144">
        <v>28.855000000000004</v>
      </c>
      <c r="E44" s="144">
        <v>8.5590000000000011</v>
      </c>
      <c r="F44" s="145">
        <v>3.37130505900222</v>
      </c>
      <c r="G44" s="144">
        <v>0</v>
      </c>
      <c r="H44" s="144">
        <v>-6.1599999999998545E-2</v>
      </c>
      <c r="I44" s="145">
        <v>9.3935229889326344E-2</v>
      </c>
      <c r="J44" s="145">
        <v>1.078518650966914</v>
      </c>
      <c r="K44" s="146">
        <v>1.0103972299070223</v>
      </c>
      <c r="L44" s="147">
        <f t="shared" si="0"/>
        <v>0.98970976008319123</v>
      </c>
      <c r="M44" s="148">
        <f>VLOOKUP(B44,'[3]Industry Averages'!$A$9:$E$104,5,0)</f>
        <v>0.13112550858463776</v>
      </c>
    </row>
    <row r="45" spans="2:13">
      <c r="B45" s="142" t="s">
        <v>363</v>
      </c>
      <c r="C45" s="143">
        <v>30</v>
      </c>
      <c r="D45" s="144">
        <v>58.57</v>
      </c>
      <c r="E45" s="144">
        <v>48.622000000000007</v>
      </c>
      <c r="F45" s="145">
        <v>1.2045987413105177</v>
      </c>
      <c r="G45" s="144">
        <v>139.298</v>
      </c>
      <c r="H45" s="144">
        <v>0.11639999999999873</v>
      </c>
      <c r="I45" s="145">
        <v>0.21153810202272269</v>
      </c>
      <c r="J45" s="145">
        <v>1.598799920268565</v>
      </c>
      <c r="K45" s="146">
        <v>2.2587325328416026</v>
      </c>
      <c r="L45" s="147">
        <f t="shared" si="0"/>
        <v>0.44272616853043162</v>
      </c>
      <c r="M45" s="148">
        <f>VLOOKUP(B45,'[3]Industry Averages'!$A$9:$E$104,5,0)</f>
        <v>0.5607973554348672</v>
      </c>
    </row>
    <row r="46" spans="2:13">
      <c r="B46" s="142" t="s">
        <v>364</v>
      </c>
      <c r="C46" s="143">
        <v>14</v>
      </c>
      <c r="D46" s="144">
        <v>245.56200000000001</v>
      </c>
      <c r="E46" s="144">
        <v>130.38100000000003</v>
      </c>
      <c r="F46" s="145">
        <v>1.8834185962678609</v>
      </c>
      <c r="G46" s="144">
        <v>0</v>
      </c>
      <c r="H46" s="144">
        <v>-5.9585999999999331</v>
      </c>
      <c r="I46" s="145">
        <v>5.2776095978677454E-2</v>
      </c>
      <c r="J46" s="145">
        <v>0.27452649041740573</v>
      </c>
      <c r="K46" s="146">
        <v>0.8419131155581171</v>
      </c>
      <c r="L46" s="147">
        <f t="shared" si="0"/>
        <v>1.187771019978807</v>
      </c>
      <c r="M46" s="148">
        <f>VLOOKUP(B46,'[3]Industry Averages'!$A$9:$E$104,5,0)</f>
        <v>6.8925325537212895E-2</v>
      </c>
    </row>
    <row r="47" spans="2:13">
      <c r="B47" s="142" t="s">
        <v>365</v>
      </c>
      <c r="C47" s="143">
        <v>1</v>
      </c>
      <c r="D47" s="144">
        <v>0</v>
      </c>
      <c r="E47" s="144">
        <v>0</v>
      </c>
      <c r="F47" s="145" t="s">
        <v>330</v>
      </c>
      <c r="G47" s="144">
        <v>0</v>
      </c>
      <c r="H47" s="144">
        <v>0</v>
      </c>
      <c r="I47" s="145">
        <v>0</v>
      </c>
      <c r="J47" s="145">
        <v>0</v>
      </c>
      <c r="K47" s="146">
        <v>0.39187227866473157</v>
      </c>
      <c r="L47" s="147">
        <f t="shared" si="0"/>
        <v>2.5518518518518514</v>
      </c>
      <c r="M47" s="148">
        <f>VLOOKUP(B47,'[3]Industry Averages'!$A$9:$E$104,5,0)</f>
        <v>-8.7953555878084178E-2</v>
      </c>
    </row>
    <row r="48" spans="2:13">
      <c r="B48" s="142" t="s">
        <v>366</v>
      </c>
      <c r="C48" s="143">
        <v>24</v>
      </c>
      <c r="D48" s="144">
        <v>359.25599999999991</v>
      </c>
      <c r="E48" s="144">
        <v>253.76999999999998</v>
      </c>
      <c r="F48" s="145">
        <v>1.4156756117744411</v>
      </c>
      <c r="G48" s="144">
        <v>37.39</v>
      </c>
      <c r="H48" s="144">
        <v>-0.227800000000002</v>
      </c>
      <c r="I48" s="145">
        <v>2.8952690929321033E-2</v>
      </c>
      <c r="J48" s="145">
        <v>0.27604457399917059</v>
      </c>
      <c r="K48" s="146">
        <v>1.5637777259650962</v>
      </c>
      <c r="L48" s="147">
        <f t="shared" si="0"/>
        <v>0.6394770710670169</v>
      </c>
      <c r="M48" s="148">
        <f>VLOOKUP(B48,'[3]Industry Averages'!$A$9:$E$104,5,0)</f>
        <v>6.18346216636518E-2</v>
      </c>
    </row>
    <row r="49" spans="2:13">
      <c r="B49" s="142" t="s">
        <v>367</v>
      </c>
      <c r="C49" s="143">
        <v>57</v>
      </c>
      <c r="D49" s="144">
        <v>148.63600000000005</v>
      </c>
      <c r="E49" s="144">
        <v>218.17899999999997</v>
      </c>
      <c r="F49" s="145">
        <v>0.68125713290463363</v>
      </c>
      <c r="G49" s="144">
        <v>2.8319999999999999</v>
      </c>
      <c r="H49" s="144">
        <v>-0.28880000000003747</v>
      </c>
      <c r="I49" s="145">
        <v>-2.4199394941083311E-2</v>
      </c>
      <c r="J49" s="145">
        <v>-0.28817138514468504</v>
      </c>
      <c r="K49" s="146">
        <v>0.54590969046030613</v>
      </c>
      <c r="L49" s="147">
        <f t="shared" si="0"/>
        <v>1.8318048158419922</v>
      </c>
      <c r="M49" s="148">
        <f>VLOOKUP(B49,'[3]Industry Averages'!$A$9:$E$104,5,0)</f>
        <v>-1.6908550269373573E-2</v>
      </c>
    </row>
    <row r="50" spans="2:13">
      <c r="B50" s="142" t="s">
        <v>368</v>
      </c>
      <c r="C50" s="143">
        <v>36</v>
      </c>
      <c r="D50" s="144">
        <v>349.27199999999999</v>
      </c>
      <c r="E50" s="144">
        <v>289.44400000000013</v>
      </c>
      <c r="F50" s="145">
        <v>1.206699741573499</v>
      </c>
      <c r="G50" s="144">
        <v>7.234</v>
      </c>
      <c r="H50" s="144">
        <v>0.22779999999966094</v>
      </c>
      <c r="I50" s="145">
        <v>5.3128495228211186E-3</v>
      </c>
      <c r="J50" s="145">
        <v>3.4634031632731738E-2</v>
      </c>
      <c r="K50" s="146">
        <v>1.8467133773836284</v>
      </c>
      <c r="L50" s="147">
        <f t="shared" si="0"/>
        <v>0.54150254839046652</v>
      </c>
      <c r="M50" s="148">
        <f>VLOOKUP(B50,'[3]Industry Averages'!$A$9:$E$104,5,0)</f>
        <v>4.9129456316730782E-2</v>
      </c>
    </row>
    <row r="51" spans="2:13">
      <c r="B51" s="142" t="s">
        <v>369</v>
      </c>
      <c r="C51" s="143">
        <v>24</v>
      </c>
      <c r="D51" s="144">
        <v>242.60499999999999</v>
      </c>
      <c r="E51" s="144">
        <v>190.98800000000006</v>
      </c>
      <c r="F51" s="145">
        <v>1.2702630531761154</v>
      </c>
      <c r="G51" s="144">
        <v>152.81300000000002</v>
      </c>
      <c r="H51" s="144">
        <v>0.80420000000000158</v>
      </c>
      <c r="I51" s="145">
        <v>5.4409208363942217E-2</v>
      </c>
      <c r="J51" s="145" t="s">
        <v>330</v>
      </c>
      <c r="K51" s="146">
        <v>2.016158684729112</v>
      </c>
      <c r="L51" s="147">
        <f t="shared" si="0"/>
        <v>0.49599270512497307</v>
      </c>
      <c r="M51" s="148" t="str">
        <f>VLOOKUP(B51,'[3]Industry Averages'!$A$9:$E$104,5,0)</f>
        <v>NA</v>
      </c>
    </row>
    <row r="52" spans="2:13">
      <c r="B52" s="142" t="s">
        <v>370</v>
      </c>
      <c r="C52" s="143">
        <v>2</v>
      </c>
      <c r="D52" s="144">
        <v>22.009999999999998</v>
      </c>
      <c r="E52" s="144">
        <v>20.84</v>
      </c>
      <c r="F52" s="145">
        <v>1.0561420345489443</v>
      </c>
      <c r="G52" s="144">
        <v>0</v>
      </c>
      <c r="H52" s="144">
        <v>0</v>
      </c>
      <c r="I52" s="145">
        <v>5.9022347777833736E-4</v>
      </c>
      <c r="J52" s="145" t="s">
        <v>330</v>
      </c>
      <c r="K52" s="146">
        <v>2.0227551020408163</v>
      </c>
      <c r="L52" s="147">
        <f t="shared" si="0"/>
        <v>0.49437522070322354</v>
      </c>
      <c r="M52" s="148" t="str">
        <f>VLOOKUP(B52,'[3]Industry Averages'!$A$9:$E$104,5,0)</f>
        <v>NA</v>
      </c>
    </row>
    <row r="53" spans="2:13">
      <c r="B53" s="142" t="s">
        <v>371</v>
      </c>
      <c r="C53" s="143">
        <v>7</v>
      </c>
      <c r="D53" s="144">
        <v>159.36000000000001</v>
      </c>
      <c r="E53" s="144">
        <v>-1789.213</v>
      </c>
      <c r="F53" s="145" t="s">
        <v>330</v>
      </c>
      <c r="G53" s="144">
        <v>0</v>
      </c>
      <c r="H53" s="144">
        <v>0</v>
      </c>
      <c r="I53" s="145">
        <v>1.5894366174205841E-2</v>
      </c>
      <c r="J53" s="145">
        <v>1.0830438797279165</v>
      </c>
      <c r="K53" s="146">
        <v>27.659866021622332</v>
      </c>
      <c r="L53" s="147">
        <f t="shared" si="0"/>
        <v>3.6153465068062073E-2</v>
      </c>
      <c r="M53" s="148">
        <f>VLOOKUP(B53,'[3]Industry Averages'!$A$9:$E$104,5,0)</f>
        <v>0.52271365920868906</v>
      </c>
    </row>
    <row r="54" spans="2:13">
      <c r="B54" s="142" t="s">
        <v>372</v>
      </c>
      <c r="C54" s="143">
        <v>2</v>
      </c>
      <c r="D54" s="144">
        <v>20.020000000000003</v>
      </c>
      <c r="E54" s="144">
        <v>7.7999999999999545</v>
      </c>
      <c r="F54" s="145">
        <v>2.566666666666682</v>
      </c>
      <c r="G54" s="144">
        <v>0</v>
      </c>
      <c r="H54" s="144">
        <v>0</v>
      </c>
      <c r="I54" s="145">
        <v>1.7839155632764555E-3</v>
      </c>
      <c r="J54" s="145">
        <v>2.3687101478835789E-2</v>
      </c>
      <c r="K54" s="146">
        <v>1.1971135683141541</v>
      </c>
      <c r="L54" s="147">
        <f t="shared" si="0"/>
        <v>0.83534263287004507</v>
      </c>
      <c r="M54" s="148">
        <f>VLOOKUP(B54,'[3]Industry Averages'!$A$9:$E$104,5,0)</f>
        <v>2.1071216029695549E-3</v>
      </c>
    </row>
    <row r="55" spans="2:13">
      <c r="B55" s="142" t="s">
        <v>373</v>
      </c>
      <c r="C55" s="143">
        <v>96</v>
      </c>
      <c r="D55" s="144">
        <v>123.97400000000006</v>
      </c>
      <c r="E55" s="144">
        <v>152.52400000000011</v>
      </c>
      <c r="F55" s="145">
        <v>0.81281634365739142</v>
      </c>
      <c r="G55" s="144">
        <v>1.4E-2</v>
      </c>
      <c r="H55" s="144">
        <v>0.79800000000000182</v>
      </c>
      <c r="I55" s="145">
        <v>-6.2420506007113043E-3</v>
      </c>
      <c r="J55" s="145">
        <v>-3.2318517770407194E-2</v>
      </c>
      <c r="K55" s="146">
        <v>0.23998447600853637</v>
      </c>
      <c r="L55" s="147">
        <f t="shared" si="0"/>
        <v>4.1669361978415198</v>
      </c>
      <c r="M55" s="148">
        <f>VLOOKUP(B55,'[3]Industry Averages'!$A$9:$E$104,5,0)</f>
        <v>-9.1890334416287415E-3</v>
      </c>
    </row>
    <row r="56" spans="2:13">
      <c r="B56" s="142" t="s">
        <v>374</v>
      </c>
      <c r="C56" s="143">
        <v>149</v>
      </c>
      <c r="D56" s="144">
        <v>364.84599999999972</v>
      </c>
      <c r="E56" s="144">
        <v>282.70999999999981</v>
      </c>
      <c r="F56" s="145">
        <v>1.2905309327579497</v>
      </c>
      <c r="G56" s="144">
        <v>47.929000000000009</v>
      </c>
      <c r="H56" s="144">
        <v>-203.96879999999976</v>
      </c>
      <c r="I56" s="145">
        <v>-6.5319394531836742E-3</v>
      </c>
      <c r="J56" s="145">
        <v>-8.107268208736218E-2</v>
      </c>
      <c r="K56" s="146">
        <v>1.749101753442039</v>
      </c>
      <c r="L56" s="147">
        <f t="shared" si="0"/>
        <v>0.57172202705309194</v>
      </c>
      <c r="M56" s="148">
        <f>VLOOKUP(B56,'[3]Industry Averages'!$A$9:$E$104,5,0)</f>
        <v>5.711745461804045E-2</v>
      </c>
    </row>
    <row r="57" spans="2:13">
      <c r="B57" s="142" t="s">
        <v>375</v>
      </c>
      <c r="C57" s="143">
        <v>39</v>
      </c>
      <c r="D57" s="144">
        <v>3290.7089999999994</v>
      </c>
      <c r="E57" s="144">
        <v>2544.5460000000012</v>
      </c>
      <c r="F57" s="145">
        <v>1.2932401300664236</v>
      </c>
      <c r="G57" s="144">
        <v>50.6</v>
      </c>
      <c r="H57" s="144">
        <v>2.4316000000017084</v>
      </c>
      <c r="I57" s="145">
        <v>1.5023865210204128E-2</v>
      </c>
      <c r="J57" s="145">
        <v>0.12188782901690641</v>
      </c>
      <c r="K57" s="146">
        <v>1.5089391479616288</v>
      </c>
      <c r="L57" s="147">
        <f t="shared" si="0"/>
        <v>0.66271724830710621</v>
      </c>
      <c r="M57" s="148">
        <f>VLOOKUP(B57,'[3]Industry Averages'!$A$9:$E$104,5,0)</f>
        <v>4.7486807148475557E-2</v>
      </c>
    </row>
    <row r="58" spans="2:13">
      <c r="B58" s="142" t="s">
        <v>376</v>
      </c>
      <c r="C58" s="143">
        <v>13</v>
      </c>
      <c r="D58" s="144">
        <v>11.138000000000002</v>
      </c>
      <c r="E58" s="144">
        <v>8.6159999999999997</v>
      </c>
      <c r="F58" s="145">
        <v>1.2927112349117922</v>
      </c>
      <c r="G58" s="144">
        <v>0</v>
      </c>
      <c r="H58" s="144">
        <v>4.3399999999998329E-2</v>
      </c>
      <c r="I58" s="145">
        <v>1.0388842543472452E-2</v>
      </c>
      <c r="J58" s="145">
        <v>0.16317856165464587</v>
      </c>
      <c r="K58" s="146">
        <v>1.9836940038374806</v>
      </c>
      <c r="L58" s="147">
        <f t="shared" si="0"/>
        <v>0.5041100079273757</v>
      </c>
      <c r="M58" s="148">
        <f>VLOOKUP(B58,'[3]Industry Averages'!$A$9:$E$104,5,0)</f>
        <v>9.4608582412233591E-2</v>
      </c>
    </row>
    <row r="59" spans="2:13">
      <c r="B59" s="142" t="s">
        <v>377</v>
      </c>
      <c r="C59" s="143">
        <v>1</v>
      </c>
      <c r="D59" s="144">
        <v>5441.3</v>
      </c>
      <c r="E59" s="144">
        <v>3108.8</v>
      </c>
      <c r="F59" s="145">
        <v>1.7502895007720021</v>
      </c>
      <c r="G59" s="144">
        <v>0</v>
      </c>
      <c r="H59" s="144">
        <v>6.7600000000002183</v>
      </c>
      <c r="I59" s="145">
        <v>3.1070945187593728E-2</v>
      </c>
      <c r="J59" s="145">
        <v>0.44887612996332521</v>
      </c>
      <c r="K59" s="146">
        <v>1.5854294393906911</v>
      </c>
      <c r="L59" s="147">
        <f t="shared" si="0"/>
        <v>0.63074393293990927</v>
      </c>
      <c r="M59" s="148">
        <f>VLOOKUP(B59,'[3]Industry Averages'!$A$9:$E$104,5,0)</f>
        <v>3.9412351988456329E-2</v>
      </c>
    </row>
    <row r="60" spans="2:13">
      <c r="B60" s="142" t="s">
        <v>378</v>
      </c>
      <c r="C60" s="143">
        <v>6</v>
      </c>
      <c r="D60" s="144">
        <v>984.04099999999994</v>
      </c>
      <c r="E60" s="144">
        <v>356.79100000000005</v>
      </c>
      <c r="F60" s="145">
        <v>2.7580320131393443</v>
      </c>
      <c r="G60" s="144">
        <v>0</v>
      </c>
      <c r="H60" s="144">
        <v>3.3999999999998636</v>
      </c>
      <c r="I60" s="145">
        <v>0.12979088160659558</v>
      </c>
      <c r="J60" s="145">
        <v>0.55508674543788539</v>
      </c>
      <c r="K60" s="146">
        <v>0.76607135875001109</v>
      </c>
      <c r="L60" s="147">
        <f t="shared" si="0"/>
        <v>1.3053614243347869</v>
      </c>
      <c r="M60" s="148">
        <f>VLOOKUP(B60,'[3]Industry Averages'!$A$9:$E$104,5,0)</f>
        <v>0.1360487245614464</v>
      </c>
    </row>
    <row r="61" spans="2:13">
      <c r="B61" s="142" t="s">
        <v>379</v>
      </c>
      <c r="C61" s="143">
        <v>11</v>
      </c>
      <c r="D61" s="144">
        <v>175.249</v>
      </c>
      <c r="E61" s="144">
        <v>307.99700000000001</v>
      </c>
      <c r="F61" s="145">
        <v>0.56899580190716137</v>
      </c>
      <c r="G61" s="144">
        <v>24.6</v>
      </c>
      <c r="H61" s="144">
        <v>0</v>
      </c>
      <c r="I61" s="145">
        <v>-1.2710918169556327E-2</v>
      </c>
      <c r="J61" s="145">
        <v>-0.13728573957960782</v>
      </c>
      <c r="K61" s="146">
        <v>2.4712319074834248</v>
      </c>
      <c r="L61" s="147">
        <f t="shared" si="0"/>
        <v>0.40465647799859805</v>
      </c>
      <c r="M61" s="148">
        <f>VLOOKUP(B61,'[3]Industry Averages'!$A$9:$E$104,5,0)</f>
        <v>5.1078271283413475E-2</v>
      </c>
    </row>
    <row r="62" spans="2:13">
      <c r="B62" s="142" t="s">
        <v>380</v>
      </c>
      <c r="C62" s="143">
        <v>22</v>
      </c>
      <c r="D62" s="144">
        <v>20972.774000000001</v>
      </c>
      <c r="E62" s="144">
        <v>7314.3220000000019</v>
      </c>
      <c r="F62" s="145">
        <v>2.8673572205325382</v>
      </c>
      <c r="G62" s="144">
        <v>303.3</v>
      </c>
      <c r="H62" s="144">
        <v>20.54859999999826</v>
      </c>
      <c r="I62" s="145">
        <v>4.307572207484802E-2</v>
      </c>
      <c r="J62" s="145">
        <v>1.2697498286588713</v>
      </c>
      <c r="K62" s="146">
        <v>1.7169471150374962</v>
      </c>
      <c r="L62" s="147">
        <f t="shared" si="0"/>
        <v>0.58242912157382387</v>
      </c>
      <c r="M62" s="148">
        <f>VLOOKUP(B62,'[3]Industry Averages'!$A$9:$E$104,5,0)</f>
        <v>0.14364011191390805</v>
      </c>
    </row>
    <row r="63" spans="2:13">
      <c r="B63" s="142" t="s">
        <v>381</v>
      </c>
      <c r="C63" s="143">
        <v>79</v>
      </c>
      <c r="D63" s="144">
        <v>496.73400000000004</v>
      </c>
      <c r="E63" s="144">
        <v>241.19500000000011</v>
      </c>
      <c r="F63" s="145">
        <v>2.0594705528721566</v>
      </c>
      <c r="G63" s="144">
        <v>-2.1000000000000001E-2</v>
      </c>
      <c r="H63" s="144">
        <v>0.70659999999998035</v>
      </c>
      <c r="I63" s="145">
        <v>3.951158378589182E-2</v>
      </c>
      <c r="J63" s="145">
        <v>0.69052921631519515</v>
      </c>
      <c r="K63" s="146">
        <v>1.478543060181414</v>
      </c>
      <c r="L63" s="147">
        <f t="shared" si="0"/>
        <v>0.67634147894029018</v>
      </c>
      <c r="M63" s="148">
        <f>VLOOKUP(B63,'[3]Industry Averages'!$A$9:$E$104,5,0)</f>
        <v>0.12924755000991897</v>
      </c>
    </row>
    <row r="64" spans="2:13">
      <c r="B64" s="142" t="s">
        <v>382</v>
      </c>
      <c r="C64" s="143">
        <v>50</v>
      </c>
      <c r="D64" s="144">
        <v>383.40699999999975</v>
      </c>
      <c r="E64" s="144">
        <v>200.15199999999996</v>
      </c>
      <c r="F64" s="145">
        <v>1.9155791598385219</v>
      </c>
      <c r="G64" s="144">
        <v>6.6289999999999996</v>
      </c>
      <c r="H64" s="144">
        <v>0.80820000000016989</v>
      </c>
      <c r="I64" s="145">
        <v>3.5064032631662356E-2</v>
      </c>
      <c r="J64" s="145">
        <v>0.36737281198455657</v>
      </c>
      <c r="K64" s="146">
        <v>1.2129510738707308</v>
      </c>
      <c r="L64" s="147">
        <f t="shared" si="0"/>
        <v>0.82443556178142607</v>
      </c>
      <c r="M64" s="148">
        <f>VLOOKUP(B64,'[3]Industry Averages'!$A$9:$E$104,5,0)</f>
        <v>5.7808054027391566E-2</v>
      </c>
    </row>
    <row r="65" spans="2:13">
      <c r="B65" s="142" t="s">
        <v>383</v>
      </c>
      <c r="C65" s="143">
        <v>30</v>
      </c>
      <c r="D65" s="144">
        <v>9577.5750000000044</v>
      </c>
      <c r="E65" s="144">
        <v>6046.0380000000014</v>
      </c>
      <c r="F65" s="145">
        <v>1.5841076420624551</v>
      </c>
      <c r="G65" s="144">
        <v>136.30000000000001</v>
      </c>
      <c r="H65" s="144">
        <v>11.251600000001417</v>
      </c>
      <c r="I65" s="145">
        <v>4.9610993909065593E-2</v>
      </c>
      <c r="J65" s="145">
        <v>0.33518376876360284</v>
      </c>
      <c r="K65" s="146">
        <v>0.54234523967187198</v>
      </c>
      <c r="L65" s="147">
        <f t="shared" si="0"/>
        <v>1.8438439703186422</v>
      </c>
      <c r="M65" s="148">
        <f>VLOOKUP(B65,'[3]Industry Averages'!$A$9:$E$104,5,0)</f>
        <v>5.2286628677512687E-2</v>
      </c>
    </row>
    <row r="66" spans="2:13">
      <c r="B66" s="142" t="s">
        <v>384</v>
      </c>
      <c r="C66" s="143">
        <v>1</v>
      </c>
      <c r="D66" s="144">
        <v>3.7999999999999999E-2</v>
      </c>
      <c r="E66" s="144">
        <v>3.0000000000000001E-3</v>
      </c>
      <c r="F66" s="145">
        <v>12.666666666666666</v>
      </c>
      <c r="G66" s="144">
        <v>0</v>
      </c>
      <c r="H66" s="144">
        <v>0</v>
      </c>
      <c r="I66" s="145">
        <v>8.7499999999999982</v>
      </c>
      <c r="J66" s="145" t="s">
        <v>330</v>
      </c>
      <c r="K66" s="146">
        <v>6.8622405215302803E-4</v>
      </c>
      <c r="L66" s="147">
        <f t="shared" si="0"/>
        <v>1457.2499999999998</v>
      </c>
      <c r="M66" s="148" t="str">
        <f>VLOOKUP(B66,'[3]Industry Averages'!$A$9:$E$104,5,0)</f>
        <v>NA</v>
      </c>
    </row>
    <row r="67" spans="2:13">
      <c r="B67" s="142" t="s">
        <v>385</v>
      </c>
      <c r="C67" s="143">
        <v>25</v>
      </c>
      <c r="D67" s="144">
        <v>22.612000000000002</v>
      </c>
      <c r="E67" s="144">
        <v>66.911999999999992</v>
      </c>
      <c r="F67" s="145">
        <v>0.33793639406982312</v>
      </c>
      <c r="G67" s="144">
        <v>4.9950000000000001</v>
      </c>
      <c r="H67" s="144">
        <v>0.10119999999997731</v>
      </c>
      <c r="I67" s="145">
        <v>-3.1455569703840829E-2</v>
      </c>
      <c r="J67" s="145">
        <v>-0.47283571497967053</v>
      </c>
      <c r="K67" s="146">
        <v>0.79541061078468267</v>
      </c>
      <c r="L67" s="147">
        <f t="shared" si="0"/>
        <v>1.2572122956889993</v>
      </c>
      <c r="M67" s="148">
        <f>VLOOKUP(B67,'[3]Industry Averages'!$A$9:$E$104,5,0)</f>
        <v>-2.0872202952572742E-3</v>
      </c>
    </row>
    <row r="68" spans="2:13">
      <c r="B68" s="142" t="s">
        <v>386</v>
      </c>
      <c r="C68" s="143">
        <v>4</v>
      </c>
      <c r="D68" s="144">
        <v>0.47899999999999998</v>
      </c>
      <c r="E68" s="144">
        <v>221.09999999999997</v>
      </c>
      <c r="F68" s="145">
        <v>2.1664405246494801E-3</v>
      </c>
      <c r="G68" s="144">
        <v>167.4</v>
      </c>
      <c r="H68" s="144">
        <v>0</v>
      </c>
      <c r="I68" s="145">
        <v>-5.5450093769535268E-2</v>
      </c>
      <c r="J68" s="145">
        <v>-0.1196015143947952</v>
      </c>
      <c r="K68" s="146">
        <v>0.10401742654947817</v>
      </c>
      <c r="L68" s="147">
        <f t="shared" si="0"/>
        <v>9.613773702854763</v>
      </c>
      <c r="M68" s="148">
        <f>VLOOKUP(B68,'[3]Industry Averages'!$A$9:$E$104,5,0)</f>
        <v>-5.255710794257038E-3</v>
      </c>
    </row>
    <row r="69" spans="2:13">
      <c r="B69" s="142" t="s">
        <v>387</v>
      </c>
      <c r="C69" s="143">
        <v>137</v>
      </c>
      <c r="D69" s="144">
        <v>458.39599999999967</v>
      </c>
      <c r="E69" s="144">
        <v>132.47399999999999</v>
      </c>
      <c r="F69" s="145">
        <v>3.4602714494919735</v>
      </c>
      <c r="G69" s="144">
        <v>-1.0689999999999991</v>
      </c>
      <c r="H69" s="144">
        <v>0.21940000000006421</v>
      </c>
      <c r="I69" s="145">
        <v>6.5727372224622632E-2</v>
      </c>
      <c r="J69" s="145">
        <v>0.46036074137383692</v>
      </c>
      <c r="K69" s="146">
        <v>0.3554555570308639</v>
      </c>
      <c r="L69" s="147">
        <f t="shared" si="0"/>
        <v>2.813291226484246</v>
      </c>
      <c r="M69" s="148">
        <f>VLOOKUP(B69,'[3]Industry Averages'!$A$9:$E$104,5,0)</f>
        <v>4.6094470092084644E-2</v>
      </c>
    </row>
    <row r="70" spans="2:13">
      <c r="B70" s="142" t="s">
        <v>388</v>
      </c>
      <c r="C70" s="143">
        <v>15</v>
      </c>
      <c r="D70" s="144">
        <v>43.756</v>
      </c>
      <c r="E70" s="144">
        <v>91.657000000000025</v>
      </c>
      <c r="F70" s="145">
        <v>0.47738852460804942</v>
      </c>
      <c r="G70" s="144">
        <v>114.001</v>
      </c>
      <c r="H70" s="144">
        <v>6.779999999997699E-2</v>
      </c>
      <c r="I70" s="145">
        <v>3.7157452992883269E-2</v>
      </c>
      <c r="J70" s="145">
        <v>0.1909782731680417</v>
      </c>
      <c r="K70" s="146">
        <v>0.18337935269557221</v>
      </c>
      <c r="L70" s="147">
        <f t="shared" si="0"/>
        <v>5.4531766270333524</v>
      </c>
      <c r="M70" s="148">
        <f>VLOOKUP(B70,'[3]Industry Averages'!$A$9:$E$104,5,0)</f>
        <v>-5.5160550821569329E-3</v>
      </c>
    </row>
    <row r="71" spans="2:13">
      <c r="B71" s="142" t="s">
        <v>389</v>
      </c>
      <c r="C71" s="143">
        <v>30</v>
      </c>
      <c r="D71" s="144">
        <v>2.4489999999999994</v>
      </c>
      <c r="E71" s="144">
        <v>24.219999999999995</v>
      </c>
      <c r="F71" s="145">
        <v>0.10111478117258464</v>
      </c>
      <c r="G71" s="144">
        <v>0</v>
      </c>
      <c r="H71" s="144">
        <v>2.0600000000001728E-2</v>
      </c>
      <c r="I71" s="145">
        <v>-0.12135806946575531</v>
      </c>
      <c r="J71" s="145">
        <v>-0.35085282609750534</v>
      </c>
      <c r="K71" s="146">
        <v>0.2223747310359025</v>
      </c>
      <c r="L71" s="147">
        <f t="shared" ref="L71:L101" si="1">1/K71</f>
        <v>4.4969138145401493</v>
      </c>
      <c r="M71" s="148">
        <f>VLOOKUP(B71,'[3]Industry Averages'!$A$9:$E$104,5,0)</f>
        <v>-3.2764428544759978E-2</v>
      </c>
    </row>
    <row r="72" spans="2:13">
      <c r="B72" s="142" t="s">
        <v>390</v>
      </c>
      <c r="C72" s="143">
        <v>11</v>
      </c>
      <c r="D72" s="144">
        <v>3.5510000000000002</v>
      </c>
      <c r="E72" s="144">
        <v>18.690000000000005</v>
      </c>
      <c r="F72" s="145">
        <v>0.18999464954521131</v>
      </c>
      <c r="G72" s="144">
        <v>0</v>
      </c>
      <c r="H72" s="144">
        <v>-3.5999999999987153E-3</v>
      </c>
      <c r="I72" s="145">
        <v>-0.13896245721260175</v>
      </c>
      <c r="J72" s="145">
        <v>-0.87944317733493726</v>
      </c>
      <c r="K72" s="146">
        <v>0.39546291225931024</v>
      </c>
      <c r="L72" s="147">
        <f t="shared" si="1"/>
        <v>2.5286821317501622</v>
      </c>
      <c r="M72" s="148">
        <f>VLOOKUP(B72,'[3]Industry Averages'!$A$9:$E$104,5,0)</f>
        <v>-4.8298479733488581E-2</v>
      </c>
    </row>
    <row r="73" spans="2:13">
      <c r="B73" s="142" t="s">
        <v>391</v>
      </c>
      <c r="C73" s="143">
        <v>1</v>
      </c>
      <c r="D73" s="144">
        <v>2.48</v>
      </c>
      <c r="E73" s="144">
        <v>0.79999999999995453</v>
      </c>
      <c r="F73" s="145">
        <v>3.1000000000001764</v>
      </c>
      <c r="G73" s="144">
        <v>0</v>
      </c>
      <c r="H73" s="144">
        <v>0</v>
      </c>
      <c r="I73" s="145">
        <v>2.8865483410938736E-4</v>
      </c>
      <c r="J73" s="145">
        <v>3.4129116353550874E-3</v>
      </c>
      <c r="K73" s="146">
        <v>1.0845425526562449</v>
      </c>
      <c r="L73" s="147">
        <f t="shared" si="1"/>
        <v>0.92204773113864036</v>
      </c>
      <c r="M73" s="148">
        <f>VLOOKUP(B73,'[3]Industry Averages'!$A$9:$E$104,5,0)</f>
        <v>3.1305845062155988E-4</v>
      </c>
    </row>
    <row r="74" spans="2:13">
      <c r="B74" s="142" t="s">
        <v>392</v>
      </c>
      <c r="C74" s="143">
        <v>13</v>
      </c>
      <c r="D74" s="144">
        <v>238.21899999999997</v>
      </c>
      <c r="E74" s="144">
        <v>197.71199999999996</v>
      </c>
      <c r="F74" s="145">
        <v>1.2048788136279034</v>
      </c>
      <c r="G74" s="144">
        <v>96.355000000000004</v>
      </c>
      <c r="H74" s="144">
        <v>0</v>
      </c>
      <c r="I74" s="145">
        <v>6.9807000694183399E-2</v>
      </c>
      <c r="J74" s="145">
        <v>0.88382400419783902</v>
      </c>
      <c r="K74" s="146">
        <v>1.1162340170939109</v>
      </c>
      <c r="L74" s="147">
        <f t="shared" si="1"/>
        <v>0.89586949034529206</v>
      </c>
      <c r="M74" s="148">
        <f>VLOOKUP(B74,'[3]Industry Averages'!$A$9:$E$104,5,0)</f>
        <v>8.9699132232692561E-2</v>
      </c>
    </row>
    <row r="75" spans="2:13">
      <c r="B75" s="142" t="s">
        <v>393</v>
      </c>
      <c r="C75" s="143">
        <v>4</v>
      </c>
      <c r="D75" s="144">
        <v>2.09</v>
      </c>
      <c r="E75" s="144">
        <v>2.9610000000000003</v>
      </c>
      <c r="F75" s="145">
        <v>0.7058426207362376</v>
      </c>
      <c r="G75" s="144">
        <v>0</v>
      </c>
      <c r="H75" s="144">
        <v>0</v>
      </c>
      <c r="I75" s="145">
        <v>-4.0863816990152355E-3</v>
      </c>
      <c r="J75" s="145">
        <v>-0.29761597466706147</v>
      </c>
      <c r="K75" s="146">
        <v>3.913251817580965</v>
      </c>
      <c r="L75" s="147">
        <f t="shared" si="1"/>
        <v>0.25554194992188489</v>
      </c>
      <c r="M75" s="148">
        <f>VLOOKUP(B75,'[3]Industry Averages'!$A$9:$E$104,5,0)</f>
        <v>0.11542089413722149</v>
      </c>
    </row>
    <row r="76" spans="2:13">
      <c r="B76" s="142" t="s">
        <v>394</v>
      </c>
      <c r="C76" s="143">
        <v>2</v>
      </c>
      <c r="D76" s="144">
        <v>5.16</v>
      </c>
      <c r="E76" s="144">
        <v>6.35</v>
      </c>
      <c r="F76" s="145">
        <v>0.81259842519685044</v>
      </c>
      <c r="G76" s="144">
        <v>0</v>
      </c>
      <c r="H76" s="144">
        <v>0</v>
      </c>
      <c r="I76" s="145">
        <v>-2.7262313860251992E-3</v>
      </c>
      <c r="J76" s="145">
        <v>-0.47387853055196599</v>
      </c>
      <c r="K76" s="146">
        <v>3.9317240136912268</v>
      </c>
      <c r="L76" s="147">
        <f t="shared" si="1"/>
        <v>0.2543413516609393</v>
      </c>
      <c r="M76" s="148">
        <f>VLOOKUP(B76,'[3]Industry Averages'!$A$9:$E$104,5,0)</f>
        <v>-7.0849812703902906E-2</v>
      </c>
    </row>
    <row r="77" spans="2:13">
      <c r="B77" s="142" t="s">
        <v>395</v>
      </c>
      <c r="C77" s="143">
        <v>239</v>
      </c>
      <c r="D77" s="144">
        <v>1877.3529999999996</v>
      </c>
      <c r="E77" s="144">
        <v>270.19499999999977</v>
      </c>
      <c r="F77" s="145">
        <v>6.9481411573123157</v>
      </c>
      <c r="G77" s="144">
        <v>66.355000000000004</v>
      </c>
      <c r="H77" s="144">
        <v>3.0000000000086402E-2</v>
      </c>
      <c r="I77" s="145">
        <v>8.6444957619814869E-2</v>
      </c>
      <c r="J77" s="145">
        <v>3.0138247652546903</v>
      </c>
      <c r="K77" s="146">
        <v>1.8495472161548048</v>
      </c>
      <c r="L77" s="147">
        <f t="shared" si="1"/>
        <v>0.54067286915712953</v>
      </c>
      <c r="M77" s="148">
        <f>VLOOKUP(B77,'[3]Industry Averages'!$A$9:$E$104,5,0)</f>
        <v>0.13155020801505649</v>
      </c>
    </row>
    <row r="78" spans="2:13">
      <c r="B78" s="142" t="s">
        <v>396</v>
      </c>
      <c r="C78" s="143">
        <v>5</v>
      </c>
      <c r="D78" s="144">
        <v>37.169999999999995</v>
      </c>
      <c r="E78" s="144">
        <v>304.18</v>
      </c>
      <c r="F78" s="145">
        <v>0.12219738312841079</v>
      </c>
      <c r="G78" s="144">
        <v>0</v>
      </c>
      <c r="H78" s="144">
        <v>0</v>
      </c>
      <c r="I78" s="145">
        <v>-0.11824019130280755</v>
      </c>
      <c r="J78" s="145" t="s">
        <v>330</v>
      </c>
      <c r="K78" s="146">
        <v>0.78189759225955302</v>
      </c>
      <c r="L78" s="147">
        <f t="shared" si="1"/>
        <v>1.2789398636081837</v>
      </c>
      <c r="M78" s="148" t="str">
        <f>VLOOKUP(B78,'[3]Industry Averages'!$A$9:$E$104,5,0)</f>
        <v>NA</v>
      </c>
    </row>
    <row r="79" spans="2:13">
      <c r="B79" s="142" t="s">
        <v>397</v>
      </c>
      <c r="C79" s="143">
        <v>5</v>
      </c>
      <c r="D79" s="144">
        <v>290.51799999999997</v>
      </c>
      <c r="E79" s="144">
        <v>72.546000000000006</v>
      </c>
      <c r="F79" s="145">
        <v>4.0046039754087053</v>
      </c>
      <c r="G79" s="144">
        <v>0</v>
      </c>
      <c r="H79" s="144">
        <v>0</v>
      </c>
      <c r="I79" s="145">
        <v>4.4944867420352821E-2</v>
      </c>
      <c r="J79" s="145">
        <v>0.77377882336589843</v>
      </c>
      <c r="K79" s="146">
        <v>2.8303328399949574</v>
      </c>
      <c r="L79" s="147">
        <f t="shared" si="1"/>
        <v>0.35331533658132647</v>
      </c>
      <c r="M79" s="148">
        <f>VLOOKUP(B79,'[3]Industry Averages'!$A$9:$E$104,5,0)</f>
        <v>0.21158284062596186</v>
      </c>
    </row>
    <row r="80" spans="2:13">
      <c r="B80" s="142" t="s">
        <v>398</v>
      </c>
      <c r="C80" s="143">
        <v>13</v>
      </c>
      <c r="D80" s="144">
        <v>35.311</v>
      </c>
      <c r="E80" s="144">
        <v>47.831000000000003</v>
      </c>
      <c r="F80" s="145">
        <v>0.73824507118814153</v>
      </c>
      <c r="G80" s="144">
        <v>26.27</v>
      </c>
      <c r="H80" s="144">
        <v>0.42920000000003711</v>
      </c>
      <c r="I80" s="145">
        <v>8.3257489192944192E-3</v>
      </c>
      <c r="J80" s="145" t="s">
        <v>330</v>
      </c>
      <c r="K80" s="146">
        <v>0.90286408066942947</v>
      </c>
      <c r="L80" s="147">
        <f t="shared" si="1"/>
        <v>1.1075864256982613</v>
      </c>
      <c r="M80" s="148" t="str">
        <f>VLOOKUP(B80,'[3]Industry Averages'!$A$9:$E$104,5,0)</f>
        <v>NA</v>
      </c>
    </row>
    <row r="81" spans="2:13">
      <c r="B81" s="142" t="s">
        <v>399</v>
      </c>
      <c r="C81" s="143">
        <v>28</v>
      </c>
      <c r="D81" s="144">
        <v>130.67999999999998</v>
      </c>
      <c r="E81" s="144">
        <v>208.64199999999997</v>
      </c>
      <c r="F81" s="145">
        <v>0.62633602055195026</v>
      </c>
      <c r="G81" s="144">
        <v>-0.12</v>
      </c>
      <c r="H81" s="144">
        <v>0.13580000000001746</v>
      </c>
      <c r="I81" s="145">
        <v>-1.6713976996844022E-2</v>
      </c>
      <c r="J81" s="145">
        <v>-0.7382619924875593</v>
      </c>
      <c r="K81" s="146">
        <v>1.5681994972937092</v>
      </c>
      <c r="L81" s="147">
        <f t="shared" si="1"/>
        <v>0.6376739705156973</v>
      </c>
      <c r="M81" s="148">
        <f>VLOOKUP(B81,'[3]Industry Averages'!$A$9:$E$104,5,0)</f>
        <v>6.9002525312139878E-2</v>
      </c>
    </row>
    <row r="82" spans="2:13">
      <c r="B82" s="142" t="s">
        <v>400</v>
      </c>
      <c r="C82" s="143">
        <v>16</v>
      </c>
      <c r="D82" s="144">
        <v>867.07800000000009</v>
      </c>
      <c r="E82" s="144">
        <v>510.80799999999994</v>
      </c>
      <c r="F82" s="145">
        <v>1.697463626254875</v>
      </c>
      <c r="G82" s="144">
        <v>0</v>
      </c>
      <c r="H82" s="144">
        <v>2.4633999999999787</v>
      </c>
      <c r="I82" s="145">
        <v>3.4196272715001814E-2</v>
      </c>
      <c r="J82" s="145">
        <v>0.8589267525665949</v>
      </c>
      <c r="K82" s="146">
        <v>1.3204628527400293</v>
      </c>
      <c r="L82" s="147">
        <f t="shared" si="1"/>
        <v>0.75731020976845187</v>
      </c>
      <c r="M82" s="148">
        <f>VLOOKUP(B82,'[3]Industry Averages'!$A$9:$E$104,5,0)</f>
        <v>0.10110433623143425</v>
      </c>
    </row>
    <row r="83" spans="2:13">
      <c r="B83" s="142" t="s">
        <v>401</v>
      </c>
      <c r="C83" s="143">
        <v>8</v>
      </c>
      <c r="D83" s="144">
        <v>11.166</v>
      </c>
      <c r="E83" s="144">
        <v>3.5999999999999996</v>
      </c>
      <c r="F83" s="145">
        <v>3.101666666666667</v>
      </c>
      <c r="G83" s="144">
        <v>0</v>
      </c>
      <c r="H83" s="144">
        <v>5.119999999999969E-2</v>
      </c>
      <c r="I83" s="145">
        <v>9.8898987276032205E-2</v>
      </c>
      <c r="J83" s="145">
        <v>6.4894376296640539</v>
      </c>
      <c r="K83" s="146">
        <v>0.90744999717231878</v>
      </c>
      <c r="L83" s="147">
        <f t="shared" si="1"/>
        <v>1.1019890937418853</v>
      </c>
      <c r="M83" s="148">
        <f>VLOOKUP(B83,'[3]Industry Averages'!$A$9:$E$104,5,0)</f>
        <v>0.15848687566684819</v>
      </c>
    </row>
    <row r="84" spans="2:13">
      <c r="B84" s="142" t="s">
        <v>402</v>
      </c>
      <c r="C84" s="143">
        <v>1</v>
      </c>
      <c r="D84" s="144">
        <v>59.9</v>
      </c>
      <c r="E84" s="144">
        <v>5.22</v>
      </c>
      <c r="F84" s="145">
        <v>11.475095785440613</v>
      </c>
      <c r="G84" s="144">
        <v>0</v>
      </c>
      <c r="H84" s="144">
        <v>0</v>
      </c>
      <c r="I84" s="145">
        <v>0.64481132075471703</v>
      </c>
      <c r="J84" s="145">
        <v>3.1907520266412459</v>
      </c>
      <c r="K84" s="146">
        <v>0.84453739667363803</v>
      </c>
      <c r="L84" s="147">
        <f t="shared" si="1"/>
        <v>1.1840801886792454</v>
      </c>
      <c r="M84" s="148">
        <f>VLOOKUP(B84,'[3]Industry Averages'!$A$9:$E$104,5,0)</f>
        <v>0.63668957275171789</v>
      </c>
    </row>
    <row r="85" spans="2:13">
      <c r="B85" s="142" t="s">
        <v>403</v>
      </c>
      <c r="C85" s="143">
        <v>20</v>
      </c>
      <c r="D85" s="144">
        <v>931.37200000000007</v>
      </c>
      <c r="E85" s="144">
        <v>501.19700000000017</v>
      </c>
      <c r="F85" s="145">
        <v>1.8582952411925844</v>
      </c>
      <c r="G85" s="144">
        <v>186.8</v>
      </c>
      <c r="H85" s="144">
        <v>0</v>
      </c>
      <c r="I85" s="145">
        <v>0.16691158846212736</v>
      </c>
      <c r="J85" s="145">
        <v>0.53795637574683053</v>
      </c>
      <c r="K85" s="146">
        <v>0.33701841721371267</v>
      </c>
      <c r="L85" s="147">
        <f t="shared" si="1"/>
        <v>2.9671968916935256</v>
      </c>
      <c r="M85" s="148">
        <f>VLOOKUP(B85,'[3]Industry Averages'!$A$9:$E$104,5,0)</f>
        <v>5.3748694638332047E-2</v>
      </c>
    </row>
    <row r="86" spans="2:13">
      <c r="B86" s="142" t="s">
        <v>404</v>
      </c>
      <c r="C86" s="143">
        <v>12</v>
      </c>
      <c r="D86" s="144">
        <v>59.263999999999989</v>
      </c>
      <c r="E86" s="144">
        <v>69.007000000000005</v>
      </c>
      <c r="F86" s="145">
        <v>0.85881142492790563</v>
      </c>
      <c r="G86" s="144">
        <v>-1E-3</v>
      </c>
      <c r="H86" s="144">
        <v>0.39379999999999882</v>
      </c>
      <c r="I86" s="145">
        <v>-7.1880933894018367E-3</v>
      </c>
      <c r="J86" s="145">
        <v>-8.5463059597548505E-2</v>
      </c>
      <c r="K86" s="146">
        <v>1.6084227196896292</v>
      </c>
      <c r="L86" s="147">
        <f t="shared" si="1"/>
        <v>0.62172710429815736</v>
      </c>
      <c r="M86" s="148">
        <f>VLOOKUP(B86,'[3]Industry Averages'!$A$9:$E$104,5,0)</f>
        <v>0.11401249404090913</v>
      </c>
    </row>
    <row r="87" spans="2:13">
      <c r="B87" s="142" t="s">
        <v>405</v>
      </c>
      <c r="C87" s="143">
        <v>7</v>
      </c>
      <c r="D87" s="144">
        <v>10.950000000000001</v>
      </c>
      <c r="E87" s="144">
        <v>48.873999999999988</v>
      </c>
      <c r="F87" s="145">
        <v>0.22404550476736104</v>
      </c>
      <c r="G87" s="144">
        <v>12.31</v>
      </c>
      <c r="H87" s="144">
        <v>1.2372000000000298</v>
      </c>
      <c r="I87" s="145">
        <v>-1.9746166083978358E-2</v>
      </c>
      <c r="J87" s="145">
        <v>-0.12663169957560894</v>
      </c>
      <c r="K87" s="146">
        <v>0.34598690857922021</v>
      </c>
      <c r="L87" s="147">
        <f t="shared" si="1"/>
        <v>2.8902827685199286</v>
      </c>
      <c r="M87" s="148">
        <f>VLOOKUP(B87,'[3]Industry Averages'!$A$9:$E$104,5,0)</f>
        <v>2.4117780387075665E-2</v>
      </c>
    </row>
    <row r="88" spans="2:13">
      <c r="B88" s="142" t="s">
        <v>406</v>
      </c>
      <c r="C88" s="143">
        <v>7</v>
      </c>
      <c r="D88" s="144">
        <v>2.84</v>
      </c>
      <c r="E88" s="144">
        <v>2.6119999999999997</v>
      </c>
      <c r="F88" s="145">
        <v>1.0872894333843799</v>
      </c>
      <c r="G88" s="144">
        <v>0</v>
      </c>
      <c r="H88" s="144">
        <v>0</v>
      </c>
      <c r="I88" s="145">
        <v>7.0634158431178238E-3</v>
      </c>
      <c r="J88" s="145">
        <v>4.4442976080348924E-2</v>
      </c>
      <c r="K88" s="146">
        <v>2.8522576654590441</v>
      </c>
      <c r="L88" s="147">
        <f t="shared" si="1"/>
        <v>0.35059946094984351</v>
      </c>
      <c r="M88" s="148">
        <f>VLOOKUP(B88,'[3]Industry Averages'!$A$9:$E$104,5,0)</f>
        <v>-3.6861833522354379E-2</v>
      </c>
    </row>
    <row r="89" spans="2:13">
      <c r="B89" s="142" t="s">
        <v>407</v>
      </c>
      <c r="C89" s="143">
        <v>74</v>
      </c>
      <c r="D89" s="144">
        <v>144.428</v>
      </c>
      <c r="E89" s="144">
        <v>159.71399999999994</v>
      </c>
      <c r="F89" s="145">
        <v>0.90429142091488568</v>
      </c>
      <c r="G89" s="144">
        <v>196.19200000000001</v>
      </c>
      <c r="H89" s="144">
        <v>32.915199999999686</v>
      </c>
      <c r="I89" s="145">
        <v>4.4408638596875938E-2</v>
      </c>
      <c r="J89" s="145">
        <v>0.35783811019503092</v>
      </c>
      <c r="K89" s="146">
        <v>1.7224831308002928</v>
      </c>
      <c r="L89" s="147">
        <f t="shared" si="1"/>
        <v>0.58055720959971568</v>
      </c>
      <c r="M89" s="148">
        <f>VLOOKUP(B89,'[3]Industry Averages'!$A$9:$E$104,5,0)</f>
        <v>0.16585903789882139</v>
      </c>
    </row>
    <row r="90" spans="2:13">
      <c r="B90" s="142" t="s">
        <v>408</v>
      </c>
      <c r="C90" s="143">
        <v>157</v>
      </c>
      <c r="D90" s="144">
        <v>6002.2589999999982</v>
      </c>
      <c r="E90" s="144">
        <v>3615.0210000000015</v>
      </c>
      <c r="F90" s="145">
        <v>1.6603662883286143</v>
      </c>
      <c r="G90" s="144">
        <v>1294.383</v>
      </c>
      <c r="H90" s="144">
        <v>53.603199999999561</v>
      </c>
      <c r="I90" s="145">
        <v>3.5892631528412898E-2</v>
      </c>
      <c r="J90" s="145">
        <v>0.38824087955432512</v>
      </c>
      <c r="K90" s="146">
        <v>1.4225481431856728</v>
      </c>
      <c r="L90" s="147">
        <f t="shared" si="1"/>
        <v>0.70296390655755736</v>
      </c>
      <c r="M90" s="148">
        <f>VLOOKUP(B90,'[3]Industry Averages'!$A$9:$E$104,5,0)</f>
        <v>0.10464826489767565</v>
      </c>
    </row>
    <row r="91" spans="2:13">
      <c r="B91" s="142" t="s">
        <v>409</v>
      </c>
      <c r="C91" s="143">
        <v>3</v>
      </c>
      <c r="D91" s="144">
        <v>3793.3300000000004</v>
      </c>
      <c r="E91" s="144">
        <v>7141.7999999999993</v>
      </c>
      <c r="F91" s="145">
        <v>0.53114480943179598</v>
      </c>
      <c r="G91" s="144">
        <v>0</v>
      </c>
      <c r="H91" s="144">
        <v>0</v>
      </c>
      <c r="I91" s="145">
        <v>-0.15952387758213274</v>
      </c>
      <c r="J91" s="145">
        <v>-1.8400342115345576</v>
      </c>
      <c r="K91" s="146">
        <v>0.40842598465950875</v>
      </c>
      <c r="L91" s="147">
        <f t="shared" si="1"/>
        <v>2.4484240414665757</v>
      </c>
      <c r="M91" s="148">
        <f>VLOOKUP(B91,'[3]Industry Averages'!$A$9:$E$104,5,0)</f>
        <v>-0.12187764883110659</v>
      </c>
    </row>
    <row r="92" spans="2:13">
      <c r="B92" s="142" t="s">
        <v>410</v>
      </c>
      <c r="C92" s="143">
        <v>20</v>
      </c>
      <c r="D92" s="144">
        <v>99.47499999999998</v>
      </c>
      <c r="E92" s="144">
        <v>74.324999999999989</v>
      </c>
      <c r="F92" s="145">
        <v>1.3383787420114361</v>
      </c>
      <c r="G92" s="144">
        <v>29.494</v>
      </c>
      <c r="H92" s="144">
        <v>12.539400000000001</v>
      </c>
      <c r="I92" s="145">
        <v>4.2849452832908363E-2</v>
      </c>
      <c r="J92" s="145">
        <v>8.5530831082903198</v>
      </c>
      <c r="K92" s="146">
        <v>0.72113930050829955</v>
      </c>
      <c r="L92" s="147">
        <f t="shared" si="1"/>
        <v>1.386694636244542</v>
      </c>
      <c r="M92" s="148">
        <f>VLOOKUP(B92,'[3]Industry Averages'!$A$9:$E$104,5,0)</f>
        <v>0.41266932855821736</v>
      </c>
    </row>
    <row r="93" spans="2:13">
      <c r="B93" s="142" t="s">
        <v>411</v>
      </c>
      <c r="C93" s="143">
        <v>13</v>
      </c>
      <c r="D93" s="144">
        <v>631.6880000000001</v>
      </c>
      <c r="E93" s="144">
        <v>1110.921</v>
      </c>
      <c r="F93" s="145">
        <v>0.5686164902814872</v>
      </c>
      <c r="G93" s="144">
        <v>2.1800000000000002</v>
      </c>
      <c r="H93" s="144">
        <v>1.5380000000000109</v>
      </c>
      <c r="I93" s="145">
        <v>-6.8482063377970318E-2</v>
      </c>
      <c r="J93" s="145">
        <v>-0.51772315476876751</v>
      </c>
      <c r="K93" s="146">
        <v>1.9842149074666495</v>
      </c>
      <c r="L93" s="147">
        <f t="shared" si="1"/>
        <v>0.50397766705459945</v>
      </c>
      <c r="M93" s="148">
        <f>VLOOKUP(B93,'[3]Industry Averages'!$A$9:$E$104,5,0)</f>
        <v>2.2028553515396176E-2</v>
      </c>
    </row>
    <row r="94" spans="2:13">
      <c r="B94" s="142" t="s">
        <v>412</v>
      </c>
      <c r="C94" s="143">
        <v>5</v>
      </c>
      <c r="D94" s="144">
        <v>394.26600000000002</v>
      </c>
      <c r="E94" s="144">
        <v>243.61600000000001</v>
      </c>
      <c r="F94" s="145">
        <v>1.6183912386706949</v>
      </c>
      <c r="G94" s="144">
        <v>8.76</v>
      </c>
      <c r="H94" s="144">
        <v>-2.0200000000386353E-2</v>
      </c>
      <c r="I94" s="145">
        <v>1.7551893721658003E-2</v>
      </c>
      <c r="J94" s="145">
        <v>7.6115496138828051E-2</v>
      </c>
      <c r="K94" s="146">
        <v>1.0789829296784386</v>
      </c>
      <c r="L94" s="147">
        <f t="shared" si="1"/>
        <v>0.92679872173512767</v>
      </c>
      <c r="M94" s="148">
        <f>VLOOKUP(B94,'[3]Industry Averages'!$A$9:$E$104,5,0)</f>
        <v>3.4434114836931928E-2</v>
      </c>
    </row>
    <row r="95" spans="2:13">
      <c r="B95" s="142" t="s">
        <v>413</v>
      </c>
      <c r="C95" s="143">
        <v>38</v>
      </c>
      <c r="D95" s="144">
        <v>412.60900000000004</v>
      </c>
      <c r="E95" s="144">
        <v>335.01199999999989</v>
      </c>
      <c r="F95" s="145">
        <v>1.2316245388224905</v>
      </c>
      <c r="G95" s="144">
        <v>4.7799999999999994</v>
      </c>
      <c r="H95" s="144">
        <v>-5.0200000000074851E-2</v>
      </c>
      <c r="I95" s="145">
        <v>1.1583083397924708E-2</v>
      </c>
      <c r="J95" s="145">
        <v>0.30380125344752773</v>
      </c>
      <c r="K95" s="146">
        <v>1.5809663907316838</v>
      </c>
      <c r="L95" s="147">
        <f t="shared" si="1"/>
        <v>0.63252451529800835</v>
      </c>
      <c r="M95" s="148">
        <f>VLOOKUP(B95,'[3]Industry Averages'!$A$9:$E$104,5,0)</f>
        <v>2.4630860304572632E-2</v>
      </c>
    </row>
    <row r="96" spans="2:13">
      <c r="B96" s="142" t="s">
        <v>414</v>
      </c>
      <c r="C96" s="143">
        <v>1</v>
      </c>
      <c r="D96" s="144">
        <v>69.8</v>
      </c>
      <c r="E96" s="144">
        <v>68.2</v>
      </c>
      <c r="F96" s="145">
        <v>1.0234604105571847</v>
      </c>
      <c r="G96" s="144">
        <v>0</v>
      </c>
      <c r="H96" s="144">
        <v>0</v>
      </c>
      <c r="I96" s="145">
        <v>1.6323199347071968E-3</v>
      </c>
      <c r="J96" s="145">
        <v>1.3160349118764644E-2</v>
      </c>
      <c r="K96" s="146">
        <v>0.85427924002091704</v>
      </c>
      <c r="L96" s="147">
        <f t="shared" si="1"/>
        <v>1.1705774331769023</v>
      </c>
      <c r="M96" s="148">
        <f>VLOOKUP(B96,'[3]Industry Averages'!$A$9:$E$104,5,0)</f>
        <v>5.1507756667247204E-4</v>
      </c>
    </row>
    <row r="97" spans="2:13">
      <c r="B97" s="142" t="s">
        <v>415</v>
      </c>
      <c r="C97" s="143">
        <v>12</v>
      </c>
      <c r="D97" s="144">
        <v>39.138999999999996</v>
      </c>
      <c r="E97" s="144">
        <v>24.734999999999996</v>
      </c>
      <c r="F97" s="145">
        <v>1.5823327269051952</v>
      </c>
      <c r="G97" s="144">
        <v>0</v>
      </c>
      <c r="H97" s="144">
        <v>0</v>
      </c>
      <c r="I97" s="145">
        <v>2.3913404389547425E-2</v>
      </c>
      <c r="J97" s="145">
        <v>0.39030082429653307</v>
      </c>
      <c r="K97" s="146">
        <v>2.4414306327923612</v>
      </c>
      <c r="L97" s="147">
        <f t="shared" si="1"/>
        <v>0.40959590928711348</v>
      </c>
      <c r="M97" s="148">
        <f>VLOOKUP(B97,'[3]Industry Averages'!$A$9:$E$104,5,0)</f>
        <v>9.9366887233555121E-2</v>
      </c>
    </row>
    <row r="98" spans="2:13">
      <c r="B98" s="142" t="s">
        <v>416</v>
      </c>
      <c r="C98" s="143">
        <v>0</v>
      </c>
      <c r="D98" s="144">
        <v>0</v>
      </c>
      <c r="E98" s="144">
        <v>0</v>
      </c>
      <c r="F98" s="145" t="s">
        <v>330</v>
      </c>
      <c r="G98" s="144">
        <v>0</v>
      </c>
      <c r="H98" s="144">
        <v>0</v>
      </c>
      <c r="I98" s="145" t="s">
        <v>330</v>
      </c>
      <c r="J98" s="145" t="s">
        <v>330</v>
      </c>
      <c r="K98" s="146" t="s">
        <v>330</v>
      </c>
      <c r="L98" s="147" t="e">
        <f t="shared" si="1"/>
        <v>#VALUE!</v>
      </c>
      <c r="M98" s="148" t="str">
        <f>VLOOKUP(B98,'[3]Industry Averages'!$A$9:$E$104,5,0)</f>
        <v>NA</v>
      </c>
    </row>
    <row r="99" spans="2:13" ht="15.75" thickBot="1">
      <c r="B99" s="149" t="s">
        <v>417</v>
      </c>
      <c r="C99" s="150">
        <v>1</v>
      </c>
      <c r="D99" s="151">
        <v>0.33100000000000002</v>
      </c>
      <c r="E99" s="151">
        <v>1.1499999999999999</v>
      </c>
      <c r="F99" s="152">
        <v>0.28782608695652179</v>
      </c>
      <c r="G99" s="151">
        <v>0</v>
      </c>
      <c r="H99" s="151">
        <v>1.2620000000000005</v>
      </c>
      <c r="I99" s="152">
        <v>1.1937483158178401E-3</v>
      </c>
      <c r="J99" s="152">
        <v>2.1168747151279928E-2</v>
      </c>
      <c r="K99" s="153">
        <v>1.5152257527131978</v>
      </c>
      <c r="L99" s="154">
        <f t="shared" si="1"/>
        <v>0.65996766370250581</v>
      </c>
      <c r="M99" s="155">
        <f>VLOOKUP(B99,'[3]Industry Averages'!$A$9:$E$104,5,0)</f>
        <v>0.15376352282718506</v>
      </c>
    </row>
    <row r="100" spans="2:13">
      <c r="B100" s="156" t="s">
        <v>418</v>
      </c>
      <c r="C100" s="157">
        <v>4149</v>
      </c>
      <c r="D100" s="158">
        <v>91128.195999999996</v>
      </c>
      <c r="E100" s="158">
        <v>56787.84999999978</v>
      </c>
      <c r="F100" s="159">
        <v>1.6047129095396349</v>
      </c>
      <c r="G100" s="158">
        <v>7200.6379999999963</v>
      </c>
      <c r="H100" s="158">
        <v>290.68879999994533</v>
      </c>
      <c r="I100" s="159">
        <v>2.4042222648084761E-2</v>
      </c>
      <c r="J100" s="159">
        <v>0.35915811387293384</v>
      </c>
      <c r="K100" s="160">
        <v>0.92986384073918371</v>
      </c>
      <c r="L100" s="161">
        <f t="shared" si="1"/>
        <v>1.0754262680061442</v>
      </c>
      <c r="M100" s="162">
        <f>VLOOKUP(B100,'[3]Industry Averages'!$A$9:$E$104,5,0)</f>
        <v>4.5696556435610526E-2</v>
      </c>
    </row>
    <row r="101" spans="2:13" ht="15.75" thickBot="1">
      <c r="B101" s="163" t="s">
        <v>419</v>
      </c>
      <c r="C101" s="164">
        <v>3577</v>
      </c>
      <c r="D101" s="165">
        <v>87192.377000000008</v>
      </c>
      <c r="E101" s="165">
        <v>57704.895999999782</v>
      </c>
      <c r="F101" s="166">
        <v>1.5110048374404892</v>
      </c>
      <c r="G101" s="165">
        <v>6627.3379999999952</v>
      </c>
      <c r="H101" s="165">
        <v>288.54959999994026</v>
      </c>
      <c r="I101" s="166">
        <v>2.5165026512248102E-2</v>
      </c>
      <c r="J101" s="166">
        <v>0.32789454018099928</v>
      </c>
      <c r="K101" s="167">
        <v>1.2945771705117866</v>
      </c>
      <c r="L101" s="168">
        <f t="shared" si="1"/>
        <v>0.77245298525129169</v>
      </c>
      <c r="M101" s="169">
        <f>VLOOKUP(B101,'[3]Industry Averages'!$A$9:$E$104,5,0)</f>
        <v>7.0760858358327683E-2</v>
      </c>
    </row>
  </sheetData>
  <sheetProtection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N71"/>
  <sheetViews>
    <sheetView showGridLines="0" workbookViewId="0">
      <pane xSplit="1" ySplit="4" topLeftCell="B5" activePane="bottomRight" state="frozen"/>
      <selection activeCell="F4" sqref="F4"/>
      <selection pane="topRight" activeCell="F4" sqref="F4"/>
      <selection pane="bottomLeft" activeCell="F4" sqref="F4"/>
      <selection pane="bottomRight" activeCell="N8" sqref="N8:N10"/>
    </sheetView>
  </sheetViews>
  <sheetFormatPr defaultRowHeight="15"/>
  <cols>
    <col min="1" max="1" width="1.85546875" customWidth="1"/>
    <col min="2" max="2" width="28" bestFit="1" customWidth="1"/>
    <col min="3" max="14" width="9.85546875" customWidth="1"/>
  </cols>
  <sheetData>
    <row r="2" spans="2:14">
      <c r="B2" s="95" t="s">
        <v>80</v>
      </c>
      <c r="C2" s="96"/>
      <c r="D2" s="96"/>
      <c r="E2" s="96"/>
      <c r="F2" s="96"/>
      <c r="G2" s="96"/>
      <c r="H2" s="96"/>
      <c r="I2" s="96"/>
      <c r="J2" s="96"/>
      <c r="K2" s="96"/>
      <c r="L2" s="96"/>
      <c r="M2" s="96"/>
      <c r="N2" s="77"/>
    </row>
    <row r="4" spans="2:14">
      <c r="C4" s="119">
        <v>41699</v>
      </c>
      <c r="D4" s="119">
        <v>42064</v>
      </c>
      <c r="E4" s="119">
        <v>42430</v>
      </c>
      <c r="F4" s="119">
        <v>42795</v>
      </c>
      <c r="G4" s="119">
        <v>43160</v>
      </c>
      <c r="H4" s="119">
        <v>43525</v>
      </c>
      <c r="I4" s="119">
        <v>43891</v>
      </c>
      <c r="J4" s="119">
        <v>44256</v>
      </c>
      <c r="K4" s="119">
        <v>44621</v>
      </c>
      <c r="L4" s="119">
        <v>44986</v>
      </c>
      <c r="M4" s="119">
        <v>45352</v>
      </c>
      <c r="N4" s="119">
        <v>45717</v>
      </c>
    </row>
    <row r="5" spans="2:14">
      <c r="B5" s="89" t="s">
        <v>164</v>
      </c>
      <c r="C5" s="89">
        <v>795</v>
      </c>
      <c r="D5" s="89">
        <v>802</v>
      </c>
      <c r="E5" s="89">
        <v>805</v>
      </c>
      <c r="F5" s="90">
        <v>1215</v>
      </c>
      <c r="G5" s="90">
        <v>1220</v>
      </c>
      <c r="H5" s="90">
        <v>1226</v>
      </c>
      <c r="I5" s="90">
        <v>1229</v>
      </c>
      <c r="J5" s="90">
        <v>1231</v>
      </c>
      <c r="K5" s="90">
        <v>1232</v>
      </c>
      <c r="L5" s="90">
        <v>1243</v>
      </c>
      <c r="M5" s="90">
        <v>1248</v>
      </c>
      <c r="N5" s="90">
        <v>1251</v>
      </c>
    </row>
    <row r="6" spans="2:14">
      <c r="B6" s="89" t="s">
        <v>32</v>
      </c>
      <c r="C6" s="90">
        <v>26442</v>
      </c>
      <c r="D6" s="90">
        <v>30934</v>
      </c>
      <c r="E6" s="90">
        <v>41875</v>
      </c>
      <c r="F6" s="90">
        <v>45198</v>
      </c>
      <c r="G6" s="90">
        <v>51290</v>
      </c>
      <c r="H6" s="90">
        <v>57915</v>
      </c>
      <c r="I6" s="90">
        <v>64044</v>
      </c>
      <c r="J6" s="90">
        <v>59116</v>
      </c>
      <c r="K6" s="90">
        <v>61223</v>
      </c>
      <c r="L6" s="90">
        <v>67912</v>
      </c>
      <c r="M6" s="90">
        <v>73259</v>
      </c>
      <c r="N6" s="90">
        <v>68779</v>
      </c>
    </row>
    <row r="7" spans="2:14">
      <c r="B7" s="89" t="s">
        <v>33</v>
      </c>
    </row>
    <row r="8" spans="2:14">
      <c r="B8" t="s">
        <v>207</v>
      </c>
      <c r="C8">
        <v>76</v>
      </c>
      <c r="D8">
        <v>61</v>
      </c>
      <c r="E8">
        <v>27</v>
      </c>
      <c r="F8">
        <v>18</v>
      </c>
      <c r="G8">
        <v>12</v>
      </c>
      <c r="H8">
        <v>8</v>
      </c>
      <c r="I8">
        <v>6</v>
      </c>
      <c r="J8">
        <v>6</v>
      </c>
      <c r="K8">
        <v>5</v>
      </c>
      <c r="L8">
        <v>3</v>
      </c>
      <c r="M8">
        <v>2</v>
      </c>
      <c r="N8">
        <v>0</v>
      </c>
    </row>
    <row r="9" spans="2:14">
      <c r="B9" t="s">
        <v>208</v>
      </c>
      <c r="C9">
        <v>150</v>
      </c>
      <c r="D9">
        <v>195</v>
      </c>
      <c r="E9">
        <v>44</v>
      </c>
      <c r="F9">
        <v>19</v>
      </c>
      <c r="G9">
        <v>17</v>
      </c>
      <c r="H9">
        <v>2</v>
      </c>
      <c r="I9">
        <v>1</v>
      </c>
      <c r="J9">
        <v>4</v>
      </c>
      <c r="K9">
        <v>1</v>
      </c>
      <c r="L9">
        <v>35</v>
      </c>
      <c r="M9">
        <v>10</v>
      </c>
      <c r="N9">
        <v>91</v>
      </c>
    </row>
    <row r="10" spans="2:14">
      <c r="B10" t="s">
        <v>209</v>
      </c>
      <c r="C10">
        <v>0</v>
      </c>
      <c r="D10">
        <v>0</v>
      </c>
      <c r="E10">
        <v>0</v>
      </c>
      <c r="F10">
        <v>0</v>
      </c>
      <c r="G10">
        <v>0</v>
      </c>
      <c r="H10">
        <v>0</v>
      </c>
      <c r="I10">
        <v>268</v>
      </c>
      <c r="J10">
        <v>261</v>
      </c>
      <c r="K10">
        <v>244</v>
      </c>
      <c r="L10">
        <v>267</v>
      </c>
      <c r="M10">
        <v>292</v>
      </c>
      <c r="N10">
        <v>193</v>
      </c>
    </row>
    <row r="11" spans="2:14">
      <c r="B11" t="s">
        <v>210</v>
      </c>
      <c r="C11">
        <v>16</v>
      </c>
      <c r="D11">
        <v>13</v>
      </c>
      <c r="E11">
        <v>13</v>
      </c>
      <c r="F11">
        <v>8</v>
      </c>
      <c r="G11">
        <v>7</v>
      </c>
      <c r="H11">
        <v>3</v>
      </c>
      <c r="I11">
        <v>2</v>
      </c>
      <c r="J11">
        <v>0</v>
      </c>
      <c r="K11">
        <v>0</v>
      </c>
      <c r="L11">
        <v>0</v>
      </c>
      <c r="M11">
        <v>0</v>
      </c>
      <c r="N11">
        <v>0</v>
      </c>
    </row>
    <row r="12" spans="2:14">
      <c r="B12" s="89" t="s">
        <v>34</v>
      </c>
      <c r="C12" s="88"/>
      <c r="D12" s="88"/>
      <c r="E12" s="88"/>
      <c r="F12" s="88"/>
      <c r="G12" s="88"/>
      <c r="H12" s="88"/>
      <c r="I12" s="88"/>
      <c r="J12" s="88"/>
      <c r="K12" s="88"/>
      <c r="L12" s="88"/>
      <c r="M12" s="88"/>
      <c r="N12" s="88"/>
    </row>
    <row r="13" spans="2:14">
      <c r="B13" t="s">
        <v>211</v>
      </c>
      <c r="C13">
        <v>203</v>
      </c>
      <c r="D13">
        <v>225</v>
      </c>
      <c r="E13">
        <v>261</v>
      </c>
      <c r="F13">
        <v>295</v>
      </c>
      <c r="G13">
        <v>334</v>
      </c>
      <c r="H13">
        <v>343</v>
      </c>
      <c r="I13">
        <v>377</v>
      </c>
      <c r="J13">
        <v>347</v>
      </c>
      <c r="K13">
        <v>366</v>
      </c>
      <c r="L13">
        <v>384</v>
      </c>
      <c r="M13">
        <v>383</v>
      </c>
      <c r="N13">
        <v>368</v>
      </c>
    </row>
    <row r="14" spans="2:14">
      <c r="B14" t="s">
        <v>212</v>
      </c>
      <c r="C14" s="88">
        <v>2106</v>
      </c>
      <c r="D14" s="88">
        <v>2020</v>
      </c>
      <c r="E14" s="88">
        <v>2339</v>
      </c>
      <c r="F14" s="88">
        <v>2659</v>
      </c>
      <c r="G14" s="88">
        <v>3496</v>
      </c>
      <c r="H14" s="88">
        <v>3510</v>
      </c>
      <c r="I14" s="88">
        <v>3630</v>
      </c>
      <c r="J14" s="88">
        <v>4319</v>
      </c>
      <c r="K14" s="88">
        <v>4417</v>
      </c>
      <c r="L14" s="88">
        <v>4659</v>
      </c>
      <c r="M14" s="88">
        <v>4798</v>
      </c>
      <c r="N14" s="88">
        <v>4807</v>
      </c>
    </row>
    <row r="15" spans="2:14">
      <c r="B15" t="s">
        <v>213</v>
      </c>
      <c r="C15">
        <v>0</v>
      </c>
      <c r="D15">
        <v>0</v>
      </c>
      <c r="E15">
        <v>805</v>
      </c>
      <c r="F15">
        <v>495</v>
      </c>
      <c r="G15">
        <v>461</v>
      </c>
      <c r="H15">
        <v>430</v>
      </c>
      <c r="I15">
        <v>703</v>
      </c>
      <c r="J15">
        <v>811</v>
      </c>
      <c r="K15" s="88">
        <v>1278</v>
      </c>
      <c r="L15" s="88">
        <v>1295</v>
      </c>
      <c r="M15">
        <v>886</v>
      </c>
      <c r="N15" s="88">
        <v>1264</v>
      </c>
    </row>
    <row r="16" spans="2:14">
      <c r="B16" t="s">
        <v>214</v>
      </c>
      <c r="C16" s="88">
        <v>11060</v>
      </c>
      <c r="D16" s="88">
        <v>11702</v>
      </c>
      <c r="E16" s="88">
        <v>5483</v>
      </c>
      <c r="F16" s="88">
        <v>5991</v>
      </c>
      <c r="G16" s="88">
        <v>7404</v>
      </c>
      <c r="H16" s="88">
        <v>8301</v>
      </c>
      <c r="I16" s="88">
        <v>7050</v>
      </c>
      <c r="J16" s="88">
        <v>7666</v>
      </c>
      <c r="K16" s="88">
        <v>8429</v>
      </c>
      <c r="L16" s="88">
        <v>10032</v>
      </c>
      <c r="M16" s="88">
        <v>10877</v>
      </c>
      <c r="N16" s="88">
        <v>11249</v>
      </c>
    </row>
    <row r="17" spans="2:14">
      <c r="B17" s="93" t="s">
        <v>81</v>
      </c>
      <c r="C17" s="94">
        <v>40848</v>
      </c>
      <c r="D17" s="94">
        <v>45952</v>
      </c>
      <c r="E17" s="94">
        <v>51651</v>
      </c>
      <c r="F17" s="94">
        <v>55898</v>
      </c>
      <c r="G17" s="94">
        <v>64241</v>
      </c>
      <c r="H17" s="94">
        <v>71739</v>
      </c>
      <c r="I17" s="94">
        <v>77311</v>
      </c>
      <c r="J17" s="94">
        <v>73761</v>
      </c>
      <c r="K17" s="94">
        <v>77196</v>
      </c>
      <c r="L17" s="94">
        <v>85831</v>
      </c>
      <c r="M17" s="94">
        <v>91754</v>
      </c>
      <c r="N17" s="94">
        <v>88003</v>
      </c>
    </row>
    <row r="18" spans="2:14">
      <c r="B18" s="89"/>
      <c r="C18" s="90"/>
      <c r="D18" s="90"/>
      <c r="E18" s="90"/>
      <c r="F18" s="90"/>
      <c r="G18" s="90"/>
      <c r="H18" s="90"/>
      <c r="I18" s="90"/>
      <c r="J18" s="90"/>
      <c r="K18" s="90"/>
      <c r="L18" s="90"/>
      <c r="M18" s="90"/>
      <c r="N18" s="90"/>
    </row>
    <row r="19" spans="2:14">
      <c r="B19" s="89" t="s">
        <v>287</v>
      </c>
      <c r="C19" s="88"/>
      <c r="D19" s="88"/>
      <c r="E19" s="88"/>
      <c r="F19" s="88"/>
      <c r="G19" s="88"/>
      <c r="H19" s="88"/>
      <c r="I19" s="88"/>
      <c r="J19" s="88"/>
      <c r="K19" s="88"/>
      <c r="L19" s="88"/>
      <c r="M19" s="88"/>
      <c r="N19" s="88"/>
    </row>
    <row r="20" spans="2:14">
      <c r="B20" t="s">
        <v>215</v>
      </c>
      <c r="C20" s="88">
        <v>1564</v>
      </c>
      <c r="D20" s="88">
        <v>1717</v>
      </c>
      <c r="E20" s="88">
        <v>1615</v>
      </c>
      <c r="F20" s="88">
        <v>1673</v>
      </c>
      <c r="G20" s="88">
        <v>1685</v>
      </c>
      <c r="H20" s="88">
        <v>2021</v>
      </c>
      <c r="I20" s="88">
        <v>2797</v>
      </c>
      <c r="J20" s="88">
        <v>2889</v>
      </c>
      <c r="K20" s="88">
        <v>2829</v>
      </c>
      <c r="L20" s="88">
        <v>2830</v>
      </c>
      <c r="M20" s="88">
        <v>2865</v>
      </c>
      <c r="N20" s="88">
        <v>1588</v>
      </c>
    </row>
    <row r="21" spans="2:14">
      <c r="B21" t="s">
        <v>216</v>
      </c>
      <c r="C21" s="88">
        <v>4110</v>
      </c>
      <c r="D21" s="88">
        <v>4860</v>
      </c>
      <c r="E21" s="88">
        <v>4219</v>
      </c>
      <c r="F21" s="88">
        <v>4716</v>
      </c>
      <c r="G21" s="88">
        <v>5331</v>
      </c>
      <c r="H21" s="88">
        <v>6996</v>
      </c>
      <c r="I21" s="88">
        <v>8161</v>
      </c>
      <c r="J21" s="88">
        <v>8387</v>
      </c>
      <c r="K21" s="88">
        <v>9100</v>
      </c>
      <c r="L21" s="88">
        <v>9789</v>
      </c>
      <c r="M21" s="88">
        <v>10944</v>
      </c>
      <c r="N21" s="88">
        <v>7550</v>
      </c>
    </row>
    <row r="22" spans="2:14">
      <c r="B22" t="s">
        <v>217</v>
      </c>
      <c r="C22" s="88">
        <v>12633</v>
      </c>
      <c r="D22" s="88">
        <v>14667</v>
      </c>
      <c r="E22" s="88">
        <v>9112</v>
      </c>
      <c r="F22" s="88">
        <v>10384</v>
      </c>
      <c r="G22" s="88">
        <v>11453</v>
      </c>
      <c r="H22" s="88">
        <v>13316</v>
      </c>
      <c r="I22" s="88">
        <v>14625</v>
      </c>
      <c r="J22" s="88">
        <v>15307</v>
      </c>
      <c r="K22" s="88">
        <v>16912</v>
      </c>
      <c r="L22" s="88">
        <v>18480</v>
      </c>
      <c r="M22" s="88">
        <v>20718</v>
      </c>
      <c r="N22" s="88">
        <v>19423</v>
      </c>
    </row>
    <row r="23" spans="2:14">
      <c r="B23" t="s">
        <v>218</v>
      </c>
      <c r="C23">
        <v>34</v>
      </c>
      <c r="D23">
        <v>46</v>
      </c>
      <c r="E23">
        <v>27</v>
      </c>
      <c r="F23">
        <v>32</v>
      </c>
      <c r="G23">
        <v>32</v>
      </c>
      <c r="H23">
        <v>34</v>
      </c>
      <c r="I23">
        <v>40</v>
      </c>
      <c r="J23">
        <v>41</v>
      </c>
      <c r="K23">
        <v>44</v>
      </c>
      <c r="L23">
        <v>44</v>
      </c>
      <c r="M23">
        <v>53</v>
      </c>
      <c r="N23">
        <v>63</v>
      </c>
    </row>
    <row r="24" spans="2:14">
      <c r="B24" t="s">
        <v>219</v>
      </c>
      <c r="C24">
        <v>729</v>
      </c>
      <c r="D24">
        <v>805</v>
      </c>
      <c r="E24">
        <v>413</v>
      </c>
      <c r="F24">
        <v>459</v>
      </c>
      <c r="G24">
        <v>497</v>
      </c>
      <c r="H24">
        <v>644</v>
      </c>
      <c r="I24">
        <v>810</v>
      </c>
      <c r="J24">
        <v>833</v>
      </c>
      <c r="K24">
        <v>907</v>
      </c>
      <c r="L24" s="88">
        <v>1000</v>
      </c>
      <c r="M24" s="88">
        <v>1068</v>
      </c>
      <c r="N24">
        <v>282</v>
      </c>
    </row>
    <row r="25" spans="2:14">
      <c r="B25" t="s">
        <v>286</v>
      </c>
      <c r="C25">
        <v>2</v>
      </c>
      <c r="D25">
        <v>2</v>
      </c>
      <c r="E25">
        <v>2</v>
      </c>
      <c r="F25">
        <v>2</v>
      </c>
      <c r="G25">
        <v>2</v>
      </c>
      <c r="H25">
        <v>2</v>
      </c>
      <c r="I25">
        <v>2</v>
      </c>
      <c r="J25">
        <v>2</v>
      </c>
      <c r="K25">
        <v>2</v>
      </c>
      <c r="L25">
        <v>2</v>
      </c>
      <c r="M25">
        <v>2</v>
      </c>
      <c r="N25">
        <v>2</v>
      </c>
    </row>
    <row r="26" spans="2:14">
      <c r="B26" t="s">
        <v>220</v>
      </c>
      <c r="C26">
        <v>120</v>
      </c>
      <c r="D26">
        <v>128</v>
      </c>
      <c r="E26">
        <v>107</v>
      </c>
      <c r="F26">
        <v>128</v>
      </c>
      <c r="G26">
        <v>140</v>
      </c>
      <c r="H26">
        <v>161</v>
      </c>
      <c r="I26">
        <v>184</v>
      </c>
      <c r="J26">
        <v>180</v>
      </c>
      <c r="K26">
        <v>179</v>
      </c>
      <c r="L26">
        <v>189</v>
      </c>
      <c r="M26">
        <v>192</v>
      </c>
      <c r="N26">
        <v>141</v>
      </c>
    </row>
    <row r="27" spans="2:14">
      <c r="B27" t="s">
        <v>221</v>
      </c>
      <c r="C27">
        <v>398</v>
      </c>
      <c r="D27">
        <v>678</v>
      </c>
      <c r="E27">
        <v>563</v>
      </c>
      <c r="F27">
        <v>563</v>
      </c>
      <c r="G27">
        <v>570</v>
      </c>
      <c r="H27">
        <v>684</v>
      </c>
      <c r="I27">
        <v>684</v>
      </c>
      <c r="J27" s="88">
        <v>2734</v>
      </c>
      <c r="K27" s="88">
        <v>2744</v>
      </c>
      <c r="L27" s="88">
        <v>3490</v>
      </c>
      <c r="M27" s="88">
        <v>3505</v>
      </c>
      <c r="N27" s="88">
        <v>3622</v>
      </c>
    </row>
    <row r="28" spans="2:14">
      <c r="B28" t="s">
        <v>222</v>
      </c>
      <c r="C28">
        <v>411</v>
      </c>
      <c r="D28">
        <v>458</v>
      </c>
      <c r="E28">
        <v>117</v>
      </c>
      <c r="F28">
        <v>138</v>
      </c>
      <c r="G28">
        <v>212</v>
      </c>
      <c r="H28">
        <v>234</v>
      </c>
      <c r="I28">
        <v>663</v>
      </c>
      <c r="J28">
        <v>716</v>
      </c>
      <c r="K28">
        <v>719</v>
      </c>
      <c r="L28">
        <v>786</v>
      </c>
      <c r="M28">
        <v>841</v>
      </c>
      <c r="N28">
        <v>967</v>
      </c>
    </row>
    <row r="29" spans="2:14">
      <c r="B29" s="89" t="s">
        <v>223</v>
      </c>
      <c r="C29" s="90">
        <v>20000</v>
      </c>
      <c r="D29" s="90">
        <v>23361</v>
      </c>
      <c r="E29" s="90">
        <v>16176</v>
      </c>
      <c r="F29" s="90">
        <v>18094</v>
      </c>
      <c r="G29" s="90">
        <v>19920</v>
      </c>
      <c r="H29" s="90">
        <v>24090</v>
      </c>
      <c r="I29" s="90">
        <v>27965</v>
      </c>
      <c r="J29" s="90">
        <v>31088</v>
      </c>
      <c r="K29" s="90">
        <v>33435</v>
      </c>
      <c r="L29" s="90">
        <v>36608</v>
      </c>
      <c r="M29" s="90">
        <v>40189</v>
      </c>
      <c r="N29" s="90">
        <v>33638</v>
      </c>
    </row>
    <row r="30" spans="2:14">
      <c r="B30" s="89" t="s">
        <v>224</v>
      </c>
      <c r="C30" s="90">
        <v>7073</v>
      </c>
      <c r="D30" s="90">
        <v>8057</v>
      </c>
      <c r="E30" s="90">
        <v>1069</v>
      </c>
      <c r="F30" s="90">
        <v>2201</v>
      </c>
      <c r="G30" s="90">
        <v>3396</v>
      </c>
      <c r="H30" s="90">
        <v>4716</v>
      </c>
      <c r="I30" s="90">
        <v>6252</v>
      </c>
      <c r="J30" s="90">
        <v>7790</v>
      </c>
      <c r="K30" s="90">
        <v>9204</v>
      </c>
      <c r="L30" s="90">
        <v>10757</v>
      </c>
      <c r="M30" s="90">
        <v>12368</v>
      </c>
      <c r="N30" s="90">
        <v>11683</v>
      </c>
    </row>
    <row r="31" spans="2:14">
      <c r="B31" s="118" t="s">
        <v>36</v>
      </c>
      <c r="C31" s="92">
        <f>C29-C30</f>
        <v>12927</v>
      </c>
      <c r="D31" s="92">
        <f t="shared" ref="D31:N31" si="0">D29-D30</f>
        <v>15304</v>
      </c>
      <c r="E31" s="92">
        <f t="shared" si="0"/>
        <v>15107</v>
      </c>
      <c r="F31" s="92">
        <f t="shared" si="0"/>
        <v>15893</v>
      </c>
      <c r="G31" s="92">
        <f t="shared" si="0"/>
        <v>16524</v>
      </c>
      <c r="H31" s="92">
        <f t="shared" si="0"/>
        <v>19374</v>
      </c>
      <c r="I31" s="92">
        <f t="shared" si="0"/>
        <v>21713</v>
      </c>
      <c r="J31" s="92">
        <f t="shared" si="0"/>
        <v>23298</v>
      </c>
      <c r="K31" s="92">
        <f t="shared" si="0"/>
        <v>24231</v>
      </c>
      <c r="L31" s="92">
        <f t="shared" si="0"/>
        <v>25851</v>
      </c>
      <c r="M31" s="92">
        <f t="shared" si="0"/>
        <v>27821</v>
      </c>
      <c r="N31" s="92">
        <f t="shared" si="0"/>
        <v>21955</v>
      </c>
    </row>
    <row r="32" spans="2:14">
      <c r="B32" s="89"/>
      <c r="C32" s="90"/>
      <c r="D32" s="90"/>
      <c r="E32" s="90"/>
      <c r="F32" s="90"/>
      <c r="G32" s="90"/>
      <c r="H32" s="90"/>
      <c r="I32" s="90"/>
      <c r="J32" s="90"/>
      <c r="K32" s="90"/>
      <c r="L32" s="90"/>
      <c r="M32" s="90"/>
      <c r="N32" s="90"/>
    </row>
    <row r="33" spans="2:14">
      <c r="B33" s="89" t="s">
        <v>225</v>
      </c>
      <c r="C33" s="90">
        <v>3117</v>
      </c>
      <c r="D33" s="90">
        <v>2700</v>
      </c>
      <c r="E33" s="90">
        <v>2560</v>
      </c>
      <c r="F33" s="90">
        <v>3730</v>
      </c>
      <c r="G33" s="90">
        <v>5508</v>
      </c>
      <c r="H33" s="90">
        <v>4136</v>
      </c>
      <c r="I33" s="90">
        <v>3256</v>
      </c>
      <c r="J33" s="90">
        <v>4011</v>
      </c>
      <c r="K33" s="90">
        <v>3226</v>
      </c>
      <c r="L33" s="90">
        <v>3003</v>
      </c>
      <c r="M33" s="90">
        <v>2861</v>
      </c>
      <c r="N33" s="90">
        <v>1091</v>
      </c>
    </row>
    <row r="34" spans="2:14">
      <c r="B34" s="89" t="s">
        <v>38</v>
      </c>
      <c r="C34" s="90">
        <v>7284</v>
      </c>
      <c r="D34" s="90">
        <v>6943</v>
      </c>
      <c r="E34" s="90">
        <v>11748</v>
      </c>
      <c r="F34" s="90">
        <v>17581</v>
      </c>
      <c r="G34" s="90">
        <v>22053</v>
      </c>
      <c r="H34" s="90">
        <v>25043</v>
      </c>
      <c r="I34" s="90">
        <v>28663</v>
      </c>
      <c r="J34" s="90">
        <v>24871</v>
      </c>
      <c r="K34" s="90">
        <v>24841</v>
      </c>
      <c r="L34" s="90">
        <v>29415</v>
      </c>
      <c r="M34" s="90">
        <v>31114</v>
      </c>
      <c r="N34" s="90">
        <v>34720</v>
      </c>
    </row>
    <row r="35" spans="2:14">
      <c r="B35" s="89"/>
      <c r="C35" s="90"/>
      <c r="D35" s="90"/>
      <c r="E35" s="90"/>
      <c r="F35" s="90"/>
      <c r="G35" s="90"/>
      <c r="H35" s="90"/>
      <c r="I35" s="90"/>
      <c r="J35" s="90"/>
      <c r="K35" s="90"/>
      <c r="L35" s="90"/>
      <c r="M35" s="90"/>
      <c r="N35" s="90"/>
    </row>
    <row r="36" spans="2:14">
      <c r="B36" s="89" t="s">
        <v>39</v>
      </c>
      <c r="C36" s="88"/>
      <c r="D36" s="88"/>
      <c r="E36" s="88"/>
      <c r="F36" s="88"/>
      <c r="G36" s="88"/>
      <c r="H36" s="88"/>
      <c r="I36" s="88"/>
      <c r="J36" s="88"/>
      <c r="K36" s="88"/>
      <c r="L36" s="88"/>
      <c r="M36" s="88"/>
      <c r="N36" s="88"/>
    </row>
    <row r="37" spans="2:14">
      <c r="B37" t="s">
        <v>226</v>
      </c>
      <c r="C37" s="88">
        <v>8255</v>
      </c>
      <c r="D37" s="88">
        <v>8587</v>
      </c>
      <c r="E37" s="88">
        <v>9062</v>
      </c>
      <c r="F37" s="88">
        <v>8116</v>
      </c>
      <c r="G37" s="88">
        <v>7495</v>
      </c>
      <c r="H37" s="88">
        <v>7860</v>
      </c>
      <c r="I37" s="88">
        <v>8879</v>
      </c>
      <c r="J37" s="88">
        <v>10397</v>
      </c>
      <c r="K37" s="88">
        <v>10864</v>
      </c>
      <c r="L37" s="88">
        <v>11771</v>
      </c>
      <c r="M37" s="88">
        <v>14153</v>
      </c>
      <c r="N37" s="88">
        <v>15638</v>
      </c>
    </row>
    <row r="38" spans="2:14">
      <c r="B38" t="s">
        <v>231</v>
      </c>
      <c r="C38" s="88">
        <v>2439</v>
      </c>
      <c r="D38" s="88">
        <v>1982</v>
      </c>
      <c r="E38" s="88">
        <v>1917</v>
      </c>
      <c r="F38" s="88">
        <v>2474</v>
      </c>
      <c r="G38" s="88">
        <v>2682</v>
      </c>
      <c r="H38" s="88">
        <v>4035</v>
      </c>
      <c r="I38" s="88">
        <v>2562</v>
      </c>
      <c r="J38" s="88">
        <v>2502</v>
      </c>
      <c r="K38" s="88">
        <v>2462</v>
      </c>
      <c r="L38" s="88">
        <v>2956</v>
      </c>
      <c r="M38" s="88">
        <v>4026</v>
      </c>
      <c r="N38" s="88">
        <v>4720</v>
      </c>
    </row>
    <row r="39" spans="2:14">
      <c r="B39" t="s">
        <v>227</v>
      </c>
      <c r="C39" s="88">
        <v>3490</v>
      </c>
      <c r="D39" s="88">
        <v>7896</v>
      </c>
      <c r="E39" s="88">
        <v>6063</v>
      </c>
      <c r="F39" s="88">
        <v>2967</v>
      </c>
      <c r="G39" s="88">
        <v>2900</v>
      </c>
      <c r="H39" s="88">
        <v>4152</v>
      </c>
      <c r="I39" s="88">
        <v>7277</v>
      </c>
      <c r="J39" s="88">
        <v>4659</v>
      </c>
      <c r="K39" s="88">
        <v>4654</v>
      </c>
      <c r="L39" s="88">
        <v>4880</v>
      </c>
      <c r="M39" s="88">
        <v>7218</v>
      </c>
      <c r="N39" s="88">
        <v>4012</v>
      </c>
    </row>
    <row r="40" spans="2:14">
      <c r="B40" t="s">
        <v>228</v>
      </c>
      <c r="C40">
        <v>107</v>
      </c>
      <c r="D40">
        <v>150</v>
      </c>
      <c r="E40">
        <v>14</v>
      </c>
      <c r="F40">
        <v>7</v>
      </c>
      <c r="G40">
        <v>74</v>
      </c>
      <c r="H40">
        <v>67</v>
      </c>
      <c r="I40">
        <v>6</v>
      </c>
      <c r="J40">
        <v>7</v>
      </c>
      <c r="K40">
        <v>11</v>
      </c>
      <c r="L40">
        <v>13</v>
      </c>
      <c r="M40">
        <v>31</v>
      </c>
      <c r="N40">
        <v>10</v>
      </c>
    </row>
    <row r="41" spans="2:14">
      <c r="B41" t="s">
        <v>229</v>
      </c>
      <c r="C41" s="88">
        <v>3234</v>
      </c>
      <c r="D41" s="88">
        <v>2391</v>
      </c>
      <c r="E41" s="88">
        <v>5180</v>
      </c>
      <c r="F41" s="88">
        <v>5129</v>
      </c>
      <c r="G41" s="88">
        <v>7004</v>
      </c>
      <c r="H41" s="88">
        <v>7071</v>
      </c>
      <c r="I41" s="88">
        <v>4952</v>
      </c>
      <c r="J41" s="88">
        <v>4015</v>
      </c>
      <c r="K41" s="88">
        <v>6906</v>
      </c>
      <c r="L41" s="88">
        <v>7941</v>
      </c>
      <c r="M41" s="88">
        <v>4531</v>
      </c>
      <c r="N41" s="88">
        <v>5858</v>
      </c>
    </row>
    <row r="42" spans="2:14">
      <c r="B42" s="93" t="s">
        <v>85</v>
      </c>
      <c r="C42" s="94">
        <v>40848</v>
      </c>
      <c r="D42" s="94">
        <v>45952</v>
      </c>
      <c r="E42" s="94">
        <v>51651</v>
      </c>
      <c r="F42" s="94">
        <v>55898</v>
      </c>
      <c r="G42" s="94">
        <v>64241</v>
      </c>
      <c r="H42" s="94">
        <v>71739</v>
      </c>
      <c r="I42" s="94">
        <v>77311</v>
      </c>
      <c r="J42" s="94">
        <v>73761</v>
      </c>
      <c r="K42" s="94">
        <v>77196</v>
      </c>
      <c r="L42" s="94">
        <v>85831</v>
      </c>
      <c r="M42" s="94">
        <v>91754</v>
      </c>
      <c r="N42" s="94">
        <v>88003</v>
      </c>
    </row>
    <row r="44" spans="2:14">
      <c r="B44" s="95" t="s">
        <v>258</v>
      </c>
      <c r="C44" s="96"/>
      <c r="D44" s="96"/>
      <c r="E44" s="96"/>
      <c r="F44" s="96"/>
      <c r="G44" s="96"/>
      <c r="H44" s="96"/>
      <c r="I44" s="96"/>
      <c r="J44" s="96"/>
      <c r="K44" s="96"/>
      <c r="L44" s="96"/>
      <c r="M44" s="96"/>
      <c r="N44" s="77"/>
    </row>
    <row r="45" spans="2:14">
      <c r="B45" s="89" t="s">
        <v>47</v>
      </c>
      <c r="C45" s="88"/>
      <c r="D45" s="88"/>
      <c r="E45" s="88"/>
      <c r="F45" s="88"/>
      <c r="G45" s="88"/>
      <c r="H45" s="88"/>
      <c r="I45" s="88"/>
      <c r="J45" s="88"/>
      <c r="K45" s="88"/>
      <c r="L45" s="88"/>
      <c r="M45" s="88"/>
      <c r="N45" s="88"/>
    </row>
    <row r="46" spans="2:14">
      <c r="B46" t="s">
        <v>232</v>
      </c>
      <c r="C46" s="88">
        <v>13172</v>
      </c>
      <c r="D46" s="88">
        <v>14261</v>
      </c>
      <c r="E46" s="88">
        <v>15154</v>
      </c>
      <c r="F46" s="88">
        <v>16075</v>
      </c>
      <c r="G46" s="88">
        <v>17433</v>
      </c>
      <c r="H46" s="88">
        <v>18862</v>
      </c>
      <c r="I46" s="88">
        <v>19416</v>
      </c>
      <c r="J46" s="88">
        <v>17326</v>
      </c>
      <c r="K46" s="88">
        <v>20857</v>
      </c>
      <c r="L46" s="88">
        <v>26052</v>
      </c>
      <c r="M46" s="88">
        <v>26635</v>
      </c>
      <c r="N46" s="88">
        <v>26719</v>
      </c>
    </row>
    <row r="47" spans="2:14">
      <c r="B47" t="s">
        <v>40</v>
      </c>
      <c r="C47" s="88">
        <v>-1546</v>
      </c>
      <c r="D47">
        <v>558</v>
      </c>
      <c r="E47">
        <v>-207</v>
      </c>
      <c r="F47">
        <v>-870</v>
      </c>
      <c r="G47">
        <v>-964</v>
      </c>
      <c r="H47">
        <v>-755</v>
      </c>
      <c r="I47" s="88">
        <v>1411</v>
      </c>
      <c r="J47">
        <v>-66</v>
      </c>
      <c r="K47">
        <v>-732</v>
      </c>
      <c r="L47">
        <v>-884</v>
      </c>
      <c r="M47">
        <v>-934</v>
      </c>
      <c r="N47" s="88">
        <v>-1023</v>
      </c>
    </row>
    <row r="48" spans="2:14">
      <c r="B48" t="s">
        <v>41</v>
      </c>
      <c r="C48">
        <v>-755</v>
      </c>
      <c r="D48">
        <v>-505</v>
      </c>
      <c r="E48">
        <v>-693</v>
      </c>
      <c r="F48">
        <v>593</v>
      </c>
      <c r="G48">
        <v>602</v>
      </c>
      <c r="H48">
        <v>-359</v>
      </c>
      <c r="I48">
        <v>-508</v>
      </c>
      <c r="J48" s="88">
        <v>-1460</v>
      </c>
      <c r="K48">
        <v>-466</v>
      </c>
      <c r="L48" s="88">
        <v>-1098</v>
      </c>
      <c r="M48" s="88">
        <v>-2545</v>
      </c>
      <c r="N48" s="88">
        <v>-2975</v>
      </c>
    </row>
    <row r="49" spans="2:14">
      <c r="B49" t="s">
        <v>233</v>
      </c>
      <c r="C49">
        <v>456</v>
      </c>
      <c r="D49">
        <v>-23</v>
      </c>
      <c r="E49">
        <v>622</v>
      </c>
      <c r="F49">
        <v>321</v>
      </c>
      <c r="G49" s="88">
        <v>2098</v>
      </c>
      <c r="H49">
        <v>639</v>
      </c>
      <c r="I49">
        <v>-607</v>
      </c>
      <c r="J49" s="88">
        <v>1112</v>
      </c>
      <c r="K49" s="88">
        <v>1099</v>
      </c>
      <c r="L49" s="88">
        <v>1058</v>
      </c>
      <c r="M49">
        <v>141</v>
      </c>
      <c r="N49" s="88">
        <v>1256</v>
      </c>
    </row>
    <row r="50" spans="2:14">
      <c r="B50" t="s">
        <v>236</v>
      </c>
      <c r="C50" s="88">
        <v>-1844</v>
      </c>
      <c r="D50">
        <v>31</v>
      </c>
      <c r="E50">
        <v>-277</v>
      </c>
      <c r="F50">
        <v>44</v>
      </c>
      <c r="G50" s="88">
        <v>1736</v>
      </c>
      <c r="H50">
        <v>-476</v>
      </c>
      <c r="I50">
        <v>296</v>
      </c>
      <c r="J50">
        <v>-413</v>
      </c>
      <c r="K50">
        <v>-100</v>
      </c>
      <c r="L50">
        <v>-924</v>
      </c>
      <c r="M50" s="88">
        <v>-3337</v>
      </c>
      <c r="N50" s="88">
        <v>-2742</v>
      </c>
    </row>
    <row r="51" spans="2:14">
      <c r="B51" t="s">
        <v>237</v>
      </c>
      <c r="C51" s="88">
        <v>-3984</v>
      </c>
      <c r="D51" s="88">
        <v>-4449</v>
      </c>
      <c r="E51" s="88">
        <v>-5078</v>
      </c>
      <c r="F51" s="88">
        <v>-5492</v>
      </c>
      <c r="G51" s="88">
        <v>-6000</v>
      </c>
      <c r="H51" s="88">
        <v>-5803</v>
      </c>
      <c r="I51" s="88">
        <v>-5023</v>
      </c>
      <c r="J51" s="88">
        <v>-4387</v>
      </c>
      <c r="K51" s="88">
        <v>-4982</v>
      </c>
      <c r="L51" s="88">
        <v>-6250</v>
      </c>
      <c r="M51" s="88">
        <v>-6120</v>
      </c>
      <c r="N51" s="88">
        <v>-6350</v>
      </c>
    </row>
    <row r="52" spans="2:14">
      <c r="B52" s="89" t="s">
        <v>48</v>
      </c>
      <c r="C52" s="88"/>
      <c r="D52" s="88"/>
      <c r="E52" s="88"/>
      <c r="F52" s="88"/>
      <c r="G52" s="88"/>
      <c r="H52" s="88"/>
      <c r="I52" s="88"/>
      <c r="J52" s="88"/>
      <c r="K52" s="88"/>
      <c r="L52" s="88"/>
      <c r="M52" s="88"/>
    </row>
    <row r="53" spans="2:14">
      <c r="B53" t="s">
        <v>239</v>
      </c>
      <c r="C53" s="88">
        <v>-2887</v>
      </c>
      <c r="D53" s="88">
        <v>-3300</v>
      </c>
      <c r="E53" s="88">
        <v>-2348</v>
      </c>
      <c r="F53" s="88">
        <v>-3122</v>
      </c>
      <c r="G53" s="88">
        <v>-2878</v>
      </c>
      <c r="H53" s="88">
        <v>-3169</v>
      </c>
      <c r="I53" s="88">
        <v>-2441</v>
      </c>
      <c r="J53" s="88">
        <v>-1837</v>
      </c>
      <c r="K53" s="88">
        <v>-2142</v>
      </c>
      <c r="L53" s="88">
        <v>-2743</v>
      </c>
      <c r="M53" s="88">
        <v>-3563</v>
      </c>
      <c r="N53" s="88">
        <v>-2279</v>
      </c>
    </row>
    <row r="54" spans="2:14">
      <c r="B54" t="s">
        <v>240</v>
      </c>
      <c r="C54">
        <v>38</v>
      </c>
      <c r="D54">
        <v>9</v>
      </c>
      <c r="E54">
        <v>8</v>
      </c>
      <c r="F54">
        <v>50</v>
      </c>
      <c r="G54">
        <v>80</v>
      </c>
      <c r="H54">
        <v>28</v>
      </c>
      <c r="I54">
        <v>27</v>
      </c>
      <c r="J54">
        <v>3</v>
      </c>
      <c r="K54">
        <v>133</v>
      </c>
      <c r="L54">
        <v>49</v>
      </c>
      <c r="M54">
        <v>107</v>
      </c>
      <c r="N54">
        <v>175</v>
      </c>
    </row>
    <row r="55" spans="2:14">
      <c r="B55" t="s">
        <v>241</v>
      </c>
      <c r="C55" s="88">
        <v>-94242</v>
      </c>
      <c r="D55" s="88">
        <v>-98742</v>
      </c>
      <c r="E55" s="88">
        <v>-154081</v>
      </c>
      <c r="F55" s="88">
        <v>-85683</v>
      </c>
      <c r="G55" s="88">
        <v>-98330</v>
      </c>
      <c r="H55" s="88">
        <v>-94187</v>
      </c>
      <c r="I55" s="88">
        <v>-79835</v>
      </c>
      <c r="J55" s="88">
        <v>-57553</v>
      </c>
      <c r="K55" s="88">
        <v>-69776</v>
      </c>
      <c r="L55" s="88">
        <v>-80932</v>
      </c>
      <c r="M55" s="88">
        <v>-75107</v>
      </c>
      <c r="N55" s="88">
        <v>-66373</v>
      </c>
    </row>
    <row r="56" spans="2:14">
      <c r="B56" t="s">
        <v>242</v>
      </c>
      <c r="C56" s="88">
        <v>93293</v>
      </c>
      <c r="D56" s="88">
        <v>99658</v>
      </c>
      <c r="E56" s="88">
        <v>150651</v>
      </c>
      <c r="F56" s="88">
        <v>81034</v>
      </c>
      <c r="G56" s="88">
        <v>95017</v>
      </c>
      <c r="H56" s="88">
        <v>92454</v>
      </c>
      <c r="I56" s="88">
        <v>75835</v>
      </c>
      <c r="J56" s="88">
        <v>62797</v>
      </c>
      <c r="K56" s="88">
        <v>70992</v>
      </c>
      <c r="L56" s="88">
        <v>77230</v>
      </c>
      <c r="M56" s="88">
        <v>77830</v>
      </c>
      <c r="N56" s="88">
        <v>67311</v>
      </c>
    </row>
    <row r="57" spans="2:14">
      <c r="B57" t="s">
        <v>243</v>
      </c>
      <c r="C57">
        <v>374</v>
      </c>
      <c r="D57">
        <v>559</v>
      </c>
      <c r="E57">
        <v>741</v>
      </c>
      <c r="F57">
        <v>756</v>
      </c>
      <c r="G57">
        <v>736</v>
      </c>
      <c r="H57" s="88">
        <v>1184</v>
      </c>
      <c r="I57" s="88">
        <v>1513</v>
      </c>
      <c r="J57" s="88">
        <v>1275</v>
      </c>
      <c r="K57" s="88">
        <v>1035</v>
      </c>
      <c r="L57" s="88">
        <v>1324</v>
      </c>
      <c r="M57" s="88">
        <v>1138</v>
      </c>
      <c r="N57" s="88">
        <v>1072</v>
      </c>
    </row>
    <row r="58" spans="2:14">
      <c r="B58" t="s">
        <v>244</v>
      </c>
      <c r="C58">
        <v>192</v>
      </c>
      <c r="D58">
        <v>268</v>
      </c>
      <c r="E58">
        <v>64</v>
      </c>
      <c r="F58">
        <v>4</v>
      </c>
      <c r="G58">
        <v>13</v>
      </c>
      <c r="H58">
        <v>13</v>
      </c>
      <c r="I58">
        <v>17</v>
      </c>
      <c r="J58">
        <v>7</v>
      </c>
      <c r="K58">
        <v>16</v>
      </c>
      <c r="L58">
        <v>19</v>
      </c>
      <c r="M58">
        <v>36</v>
      </c>
      <c r="N58">
        <v>38</v>
      </c>
    </row>
    <row r="59" spans="2:14">
      <c r="B59" t="s">
        <v>288</v>
      </c>
      <c r="C59">
        <v>0</v>
      </c>
      <c r="D59">
        <v>0</v>
      </c>
      <c r="E59">
        <v>-8</v>
      </c>
      <c r="F59">
        <v>0</v>
      </c>
      <c r="G59">
        <v>0</v>
      </c>
      <c r="H59">
        <v>0</v>
      </c>
      <c r="I59">
        <v>0</v>
      </c>
      <c r="J59">
        <v>0</v>
      </c>
      <c r="K59">
        <v>0</v>
      </c>
      <c r="L59">
        <v>0</v>
      </c>
      <c r="M59">
        <v>0</v>
      </c>
      <c r="N59">
        <v>0</v>
      </c>
    </row>
    <row r="60" spans="2:14">
      <c r="B60" t="s">
        <v>245</v>
      </c>
      <c r="C60">
        <v>0</v>
      </c>
      <c r="D60">
        <v>0</v>
      </c>
      <c r="E60">
        <v>0</v>
      </c>
      <c r="F60">
        <v>0</v>
      </c>
      <c r="G60">
        <v>0</v>
      </c>
      <c r="H60">
        <v>0</v>
      </c>
      <c r="I60">
        <v>0</v>
      </c>
      <c r="J60">
        <v>-2</v>
      </c>
      <c r="K60">
        <v>-2</v>
      </c>
      <c r="L60">
        <v>-2</v>
      </c>
      <c r="M60">
        <v>-65</v>
      </c>
      <c r="N60">
        <v>-30</v>
      </c>
    </row>
    <row r="61" spans="2:14">
      <c r="B61" t="s">
        <v>246</v>
      </c>
      <c r="C61">
        <v>0</v>
      </c>
      <c r="D61">
        <v>0</v>
      </c>
      <c r="E61">
        <v>0</v>
      </c>
      <c r="F61">
        <v>129</v>
      </c>
      <c r="G61">
        <v>18</v>
      </c>
      <c r="H61">
        <v>18</v>
      </c>
      <c r="I61">
        <v>0</v>
      </c>
      <c r="J61">
        <v>0</v>
      </c>
      <c r="K61">
        <v>0</v>
      </c>
      <c r="L61">
        <v>56</v>
      </c>
      <c r="M61">
        <v>0</v>
      </c>
      <c r="N61">
        <v>0</v>
      </c>
    </row>
    <row r="62" spans="2:14">
      <c r="B62" t="s">
        <v>249</v>
      </c>
      <c r="C62">
        <v>-21</v>
      </c>
      <c r="D62" s="88">
        <v>-3728</v>
      </c>
      <c r="E62" s="88">
        <v>1052</v>
      </c>
      <c r="F62" s="88">
        <v>3579</v>
      </c>
      <c r="G62" s="88">
        <v>-1769</v>
      </c>
      <c r="H62" s="88">
        <v>-1887</v>
      </c>
      <c r="I62" s="88">
        <v>-1290</v>
      </c>
      <c r="J62" s="88">
        <v>1051</v>
      </c>
      <c r="K62" s="88">
        <v>-2494</v>
      </c>
      <c r="L62">
        <v>-733</v>
      </c>
      <c r="M62" s="88">
        <v>1187</v>
      </c>
      <c r="N62">
        <v>-478</v>
      </c>
    </row>
    <row r="63" spans="2:14">
      <c r="B63" s="89" t="s">
        <v>49</v>
      </c>
      <c r="C63" s="88"/>
      <c r="D63" s="88"/>
      <c r="E63" s="88"/>
      <c r="F63" s="88"/>
      <c r="G63" s="88"/>
      <c r="H63" s="88"/>
      <c r="I63" s="88"/>
      <c r="J63" s="88"/>
      <c r="K63" s="88"/>
      <c r="L63" s="88"/>
      <c r="M63" s="88"/>
      <c r="N63" s="88"/>
    </row>
    <row r="64" spans="2:14">
      <c r="B64" t="s">
        <v>250</v>
      </c>
      <c r="C64">
        <v>691</v>
      </c>
      <c r="D64">
        <v>979</v>
      </c>
      <c r="E64">
        <v>532</v>
      </c>
      <c r="F64" s="88">
        <v>1067</v>
      </c>
      <c r="G64">
        <v>913</v>
      </c>
      <c r="H64">
        <v>969</v>
      </c>
      <c r="I64">
        <v>625</v>
      </c>
      <c r="J64">
        <v>291</v>
      </c>
      <c r="K64">
        <v>292</v>
      </c>
      <c r="L64" s="88">
        <v>2477</v>
      </c>
      <c r="M64" s="88">
        <v>1443</v>
      </c>
      <c r="N64">
        <v>797</v>
      </c>
    </row>
    <row r="65" spans="2:14">
      <c r="B65" t="s">
        <v>252</v>
      </c>
      <c r="C65">
        <v>156</v>
      </c>
      <c r="D65">
        <v>7</v>
      </c>
      <c r="E65">
        <v>0</v>
      </c>
      <c r="F65">
        <v>0</v>
      </c>
      <c r="G65">
        <v>11</v>
      </c>
      <c r="H65">
        <v>0</v>
      </c>
      <c r="I65">
        <v>0</v>
      </c>
      <c r="J65">
        <v>0</v>
      </c>
      <c r="K65">
        <v>0</v>
      </c>
      <c r="L65">
        <v>0</v>
      </c>
      <c r="M65">
        <v>8</v>
      </c>
      <c r="N65">
        <v>90</v>
      </c>
    </row>
    <row r="66" spans="2:14">
      <c r="B66" t="s">
        <v>253</v>
      </c>
      <c r="C66">
        <v>-15</v>
      </c>
      <c r="D66">
        <v>-20</v>
      </c>
      <c r="E66">
        <v>-13</v>
      </c>
      <c r="F66">
        <v>-13</v>
      </c>
      <c r="G66">
        <v>-8</v>
      </c>
      <c r="H66">
        <v>-18</v>
      </c>
      <c r="I66">
        <v>-3</v>
      </c>
      <c r="J66">
        <v>-2</v>
      </c>
      <c r="K66">
        <v>-1</v>
      </c>
      <c r="L66">
        <v>-1</v>
      </c>
      <c r="M66">
        <v>-2</v>
      </c>
      <c r="N66">
        <v>-54</v>
      </c>
    </row>
    <row r="67" spans="2:14">
      <c r="B67" t="s">
        <v>254</v>
      </c>
      <c r="C67">
        <v>-48</v>
      </c>
      <c r="D67">
        <v>-16</v>
      </c>
      <c r="E67">
        <v>-28</v>
      </c>
      <c r="F67">
        <v>-25</v>
      </c>
      <c r="G67">
        <v>-49</v>
      </c>
      <c r="H67">
        <v>-98</v>
      </c>
      <c r="I67">
        <v>-44</v>
      </c>
      <c r="J67">
        <v>-41</v>
      </c>
      <c r="K67">
        <v>-40</v>
      </c>
      <c r="L67">
        <v>-41</v>
      </c>
      <c r="M67">
        <v>-46</v>
      </c>
      <c r="N67">
        <v>-50</v>
      </c>
    </row>
    <row r="68" spans="2:14">
      <c r="B68" t="s">
        <v>255</v>
      </c>
      <c r="C68" s="88">
        <v>-4239</v>
      </c>
      <c r="D68" s="88">
        <v>-4876</v>
      </c>
      <c r="E68" s="88">
        <v>-5133</v>
      </c>
      <c r="F68" s="88">
        <v>-6994</v>
      </c>
      <c r="G68" s="88">
        <v>-5952</v>
      </c>
      <c r="H68" s="88">
        <v>-6519</v>
      </c>
      <c r="I68" s="88">
        <v>-7302</v>
      </c>
      <c r="J68" s="88">
        <v>-18881</v>
      </c>
      <c r="K68" s="88">
        <v>-13788</v>
      </c>
      <c r="L68" s="88">
        <v>-15418</v>
      </c>
      <c r="M68" s="88">
        <v>-19899</v>
      </c>
      <c r="N68" s="88">
        <v>-17782</v>
      </c>
    </row>
    <row r="69" spans="2:14">
      <c r="B69" t="s">
        <v>256</v>
      </c>
      <c r="C69">
        <v>0</v>
      </c>
      <c r="D69">
        <v>0</v>
      </c>
      <c r="E69">
        <v>0</v>
      </c>
      <c r="F69">
        <v>0</v>
      </c>
      <c r="G69">
        <v>0</v>
      </c>
      <c r="H69">
        <v>0</v>
      </c>
      <c r="I69">
        <v>-49</v>
      </c>
      <c r="J69">
        <v>-55</v>
      </c>
      <c r="K69">
        <v>-59</v>
      </c>
      <c r="L69">
        <v>-59</v>
      </c>
      <c r="M69">
        <v>-67</v>
      </c>
      <c r="N69">
        <v>-66</v>
      </c>
    </row>
    <row r="70" spans="2:14">
      <c r="B70" t="s">
        <v>257</v>
      </c>
      <c r="C70">
        <v>-667</v>
      </c>
      <c r="D70">
        <v>-734</v>
      </c>
      <c r="E70">
        <v>-971</v>
      </c>
      <c r="F70" s="88">
        <v>-1335</v>
      </c>
      <c r="G70" s="88">
        <v>-1136</v>
      </c>
      <c r="H70" s="88">
        <v>-1203</v>
      </c>
      <c r="I70" s="88">
        <v>-1409</v>
      </c>
      <c r="J70">
        <v>55</v>
      </c>
      <c r="K70">
        <v>15</v>
      </c>
      <c r="L70">
        <v>35</v>
      </c>
      <c r="M70">
        <v>12</v>
      </c>
      <c r="N70">
        <v>28</v>
      </c>
    </row>
    <row r="71" spans="2:14">
      <c r="B71" s="93" t="s">
        <v>50</v>
      </c>
      <c r="C71" s="93">
        <v>-32</v>
      </c>
      <c r="D71" s="93">
        <v>-93</v>
      </c>
      <c r="E71" s="93">
        <v>266</v>
      </c>
      <c r="F71" s="93">
        <v>75</v>
      </c>
      <c r="G71" s="93">
        <v>-166</v>
      </c>
      <c r="H71" s="93">
        <v>169</v>
      </c>
      <c r="I71" s="93">
        <v>334</v>
      </c>
      <c r="J71" s="93">
        <v>-367</v>
      </c>
      <c r="K71" s="93">
        <v>-43</v>
      </c>
      <c r="L71" s="93">
        <v>139</v>
      </c>
      <c r="M71" s="93">
        <v>191</v>
      </c>
      <c r="N71" s="93">
        <v>26</v>
      </c>
    </row>
  </sheetData>
  <sheetProtection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AC79"/>
  <sheetViews>
    <sheetView showGridLines="0" workbookViewId="0">
      <pane xSplit="1" ySplit="4" topLeftCell="C5" activePane="bottomRight" state="frozen"/>
      <selection pane="topRight" activeCell="B1" sqref="B1"/>
      <selection pane="bottomLeft" activeCell="A5" sqref="A5"/>
      <selection pane="bottomRight" activeCell="Q16" sqref="Q16"/>
    </sheetView>
  </sheetViews>
  <sheetFormatPr defaultRowHeight="15"/>
  <cols>
    <col min="1" max="1" width="1.85546875" customWidth="1"/>
    <col min="2" max="2" width="28" bestFit="1" customWidth="1"/>
    <col min="3" max="14" width="8.7109375" customWidth="1"/>
    <col min="17" max="17" width="29.28515625" bestFit="1" customWidth="1"/>
    <col min="18" max="19" width="7.28515625" customWidth="1"/>
    <col min="20" max="20" width="8.85546875" customWidth="1"/>
    <col min="21" max="29" width="7.28515625" customWidth="1"/>
  </cols>
  <sheetData>
    <row r="2" spans="2:29">
      <c r="B2" s="95" t="s">
        <v>80</v>
      </c>
      <c r="C2" s="96"/>
      <c r="D2" s="96"/>
      <c r="E2" s="96"/>
      <c r="F2" s="96"/>
      <c r="G2" s="96"/>
      <c r="H2" s="96"/>
      <c r="I2" s="96"/>
      <c r="J2" s="96"/>
      <c r="K2" s="96"/>
      <c r="L2" s="96"/>
      <c r="M2" s="96"/>
      <c r="N2" s="77"/>
    </row>
    <row r="4" spans="2:29">
      <c r="C4" s="91">
        <v>41699</v>
      </c>
      <c r="D4" s="91">
        <v>42064</v>
      </c>
      <c r="E4" s="91">
        <v>42430</v>
      </c>
      <c r="F4" s="91">
        <v>42795</v>
      </c>
      <c r="G4" s="91">
        <v>43160</v>
      </c>
      <c r="H4" s="91">
        <v>43525</v>
      </c>
      <c r="I4" s="91">
        <v>43891</v>
      </c>
      <c r="J4" s="91">
        <v>44256</v>
      </c>
      <c r="K4" s="91">
        <v>44621</v>
      </c>
      <c r="L4" s="91">
        <v>44986</v>
      </c>
      <c r="M4" s="91">
        <v>45352</v>
      </c>
      <c r="N4" s="91">
        <v>45717</v>
      </c>
      <c r="R4" s="91">
        <v>41699</v>
      </c>
      <c r="S4" s="91">
        <v>42064</v>
      </c>
      <c r="T4" s="91">
        <v>42430</v>
      </c>
      <c r="U4" s="91">
        <v>42795</v>
      </c>
      <c r="V4" s="91">
        <v>43160</v>
      </c>
      <c r="W4" s="91">
        <v>43525</v>
      </c>
      <c r="X4" s="91">
        <v>43891</v>
      </c>
      <c r="Y4" s="91">
        <v>44256</v>
      </c>
      <c r="Z4" s="91">
        <v>44621</v>
      </c>
      <c r="AA4" s="91">
        <v>44986</v>
      </c>
      <c r="AB4" s="91">
        <v>45352</v>
      </c>
      <c r="AC4" s="91">
        <v>45717</v>
      </c>
    </row>
    <row r="5" spans="2:29">
      <c r="B5" s="89" t="s">
        <v>164</v>
      </c>
      <c r="C5" s="89">
        <v>64</v>
      </c>
      <c r="D5" s="89">
        <v>64</v>
      </c>
      <c r="E5" s="89">
        <v>129</v>
      </c>
      <c r="F5" s="89">
        <v>129</v>
      </c>
      <c r="G5" s="89">
        <v>129</v>
      </c>
      <c r="H5" s="89">
        <v>129</v>
      </c>
      <c r="I5" s="89">
        <v>129</v>
      </c>
      <c r="J5" s="89">
        <v>129</v>
      </c>
      <c r="K5" s="89">
        <v>129</v>
      </c>
      <c r="L5" s="89">
        <v>129</v>
      </c>
      <c r="M5" s="89">
        <v>129</v>
      </c>
      <c r="N5" s="89">
        <v>129</v>
      </c>
      <c r="Q5" s="89" t="s">
        <v>164</v>
      </c>
      <c r="R5" s="89">
        <v>795</v>
      </c>
      <c r="S5" s="89">
        <v>802</v>
      </c>
      <c r="T5" s="89">
        <v>805</v>
      </c>
      <c r="U5" s="90">
        <v>1215</v>
      </c>
      <c r="V5" s="90">
        <v>1220</v>
      </c>
      <c r="W5" s="90">
        <v>1226</v>
      </c>
      <c r="X5" s="90">
        <v>1229</v>
      </c>
      <c r="Y5" s="90">
        <v>1231</v>
      </c>
      <c r="Z5" s="90">
        <v>1232</v>
      </c>
      <c r="AA5" s="90">
        <v>1243</v>
      </c>
      <c r="AB5" s="90">
        <v>1248</v>
      </c>
      <c r="AC5" s="90">
        <v>1251</v>
      </c>
    </row>
    <row r="6" spans="2:29">
      <c r="B6" s="89" t="s">
        <v>32</v>
      </c>
      <c r="C6" s="90">
        <v>1296</v>
      </c>
      <c r="D6" s="90">
        <v>1760</v>
      </c>
      <c r="E6" s="90">
        <v>1888</v>
      </c>
      <c r="F6" s="90">
        <v>2197</v>
      </c>
      <c r="G6" s="90">
        <v>2414</v>
      </c>
      <c r="H6" s="90">
        <v>2846</v>
      </c>
      <c r="I6" s="90">
        <v>2894</v>
      </c>
      <c r="J6" s="90">
        <v>3111</v>
      </c>
      <c r="K6" s="90">
        <v>3219</v>
      </c>
      <c r="L6" s="90">
        <v>3670</v>
      </c>
      <c r="M6" s="90">
        <v>3703</v>
      </c>
      <c r="N6" s="90">
        <v>3846</v>
      </c>
      <c r="Q6" s="89" t="s">
        <v>32</v>
      </c>
      <c r="R6" s="90">
        <v>26442</v>
      </c>
      <c r="S6" s="90">
        <v>30934</v>
      </c>
      <c r="T6" s="90">
        <v>41875</v>
      </c>
      <c r="U6" s="90">
        <v>45198</v>
      </c>
      <c r="V6" s="90">
        <v>51290</v>
      </c>
      <c r="W6" s="90">
        <v>57915</v>
      </c>
      <c r="X6" s="90">
        <v>64044</v>
      </c>
      <c r="Y6" s="90">
        <v>59116</v>
      </c>
      <c r="Z6" s="90">
        <v>61223</v>
      </c>
      <c r="AA6" s="90">
        <v>67912</v>
      </c>
      <c r="AB6" s="90">
        <v>73259</v>
      </c>
      <c r="AC6" s="90">
        <v>68779</v>
      </c>
    </row>
    <row r="7" spans="2:29">
      <c r="B7" s="89" t="s">
        <v>33</v>
      </c>
      <c r="C7" s="89"/>
      <c r="D7" s="89"/>
      <c r="E7" s="89"/>
      <c r="F7" s="89"/>
      <c r="G7" s="89"/>
      <c r="H7" s="89"/>
      <c r="I7" s="89"/>
      <c r="J7" s="89"/>
      <c r="K7" s="89"/>
      <c r="L7" s="89"/>
      <c r="M7" s="89"/>
      <c r="N7" s="89"/>
      <c r="Q7" t="s">
        <v>33</v>
      </c>
    </row>
    <row r="8" spans="2:29">
      <c r="B8" t="s">
        <v>207</v>
      </c>
      <c r="C8">
        <v>252</v>
      </c>
      <c r="D8">
        <v>169</v>
      </c>
      <c r="E8">
        <v>0</v>
      </c>
      <c r="F8">
        <v>0</v>
      </c>
      <c r="G8">
        <v>20</v>
      </c>
      <c r="H8">
        <v>14</v>
      </c>
      <c r="I8">
        <v>10</v>
      </c>
      <c r="J8">
        <v>8</v>
      </c>
      <c r="K8">
        <v>0</v>
      </c>
      <c r="L8">
        <v>2</v>
      </c>
      <c r="M8">
        <v>0</v>
      </c>
      <c r="N8">
        <v>0</v>
      </c>
      <c r="Q8" t="s">
        <v>207</v>
      </c>
      <c r="R8">
        <v>76</v>
      </c>
      <c r="S8">
        <v>61</v>
      </c>
      <c r="T8">
        <v>27</v>
      </c>
      <c r="U8">
        <v>18</v>
      </c>
      <c r="V8">
        <v>12</v>
      </c>
      <c r="W8">
        <v>8</v>
      </c>
      <c r="X8">
        <v>6</v>
      </c>
      <c r="Y8">
        <v>6</v>
      </c>
      <c r="Z8">
        <v>5</v>
      </c>
      <c r="AA8">
        <v>3</v>
      </c>
      <c r="AB8">
        <v>2</v>
      </c>
      <c r="AC8">
        <v>0</v>
      </c>
    </row>
    <row r="9" spans="2:29">
      <c r="B9" t="s">
        <v>208</v>
      </c>
      <c r="C9">
        <v>274</v>
      </c>
      <c r="D9">
        <v>165</v>
      </c>
      <c r="E9">
        <v>153</v>
      </c>
      <c r="F9">
        <v>239</v>
      </c>
      <c r="G9">
        <v>289</v>
      </c>
      <c r="H9">
        <v>335</v>
      </c>
      <c r="I9">
        <v>325</v>
      </c>
      <c r="J9">
        <v>340</v>
      </c>
      <c r="K9">
        <v>345</v>
      </c>
      <c r="L9">
        <v>473</v>
      </c>
      <c r="M9">
        <v>383</v>
      </c>
      <c r="N9">
        <v>379</v>
      </c>
      <c r="Q9" t="s">
        <v>208</v>
      </c>
      <c r="R9">
        <v>150</v>
      </c>
      <c r="S9">
        <v>195</v>
      </c>
      <c r="T9">
        <v>44</v>
      </c>
      <c r="U9">
        <v>19</v>
      </c>
      <c r="V9">
        <v>17</v>
      </c>
      <c r="W9">
        <v>2</v>
      </c>
      <c r="X9">
        <v>1</v>
      </c>
      <c r="Y9">
        <v>4</v>
      </c>
      <c r="Z9">
        <v>1</v>
      </c>
      <c r="AA9">
        <v>35</v>
      </c>
      <c r="AB9">
        <v>10</v>
      </c>
      <c r="AC9">
        <v>91</v>
      </c>
    </row>
    <row r="10" spans="2:29">
      <c r="B10" t="s">
        <v>209</v>
      </c>
      <c r="C10">
        <v>0</v>
      </c>
      <c r="D10">
        <v>0</v>
      </c>
      <c r="E10">
        <v>0</v>
      </c>
      <c r="F10">
        <v>0</v>
      </c>
      <c r="G10">
        <v>0</v>
      </c>
      <c r="H10">
        <v>0</v>
      </c>
      <c r="I10">
        <v>0</v>
      </c>
      <c r="J10">
        <v>160</v>
      </c>
      <c r="K10">
        <v>134</v>
      </c>
      <c r="L10">
        <v>133</v>
      </c>
      <c r="M10">
        <v>145</v>
      </c>
      <c r="N10">
        <v>175</v>
      </c>
      <c r="Q10" t="s">
        <v>209</v>
      </c>
      <c r="R10">
        <v>0</v>
      </c>
      <c r="S10">
        <v>0</v>
      </c>
      <c r="T10">
        <v>0</v>
      </c>
      <c r="U10">
        <v>0</v>
      </c>
      <c r="V10">
        <v>0</v>
      </c>
      <c r="W10">
        <v>0</v>
      </c>
      <c r="X10">
        <v>268</v>
      </c>
      <c r="Y10">
        <v>261</v>
      </c>
      <c r="Z10">
        <v>244</v>
      </c>
      <c r="AA10">
        <v>267</v>
      </c>
      <c r="AB10">
        <v>292</v>
      </c>
      <c r="AC10">
        <v>193</v>
      </c>
    </row>
    <row r="11" spans="2:29">
      <c r="B11" t="s">
        <v>210</v>
      </c>
      <c r="C11">
        <v>154</v>
      </c>
      <c r="D11">
        <v>94</v>
      </c>
      <c r="E11">
        <v>179</v>
      </c>
      <c r="F11">
        <v>0</v>
      </c>
      <c r="G11">
        <v>3</v>
      </c>
      <c r="H11">
        <v>3</v>
      </c>
      <c r="I11">
        <v>3</v>
      </c>
      <c r="J11">
        <v>3</v>
      </c>
      <c r="K11">
        <v>0</v>
      </c>
      <c r="L11">
        <v>0</v>
      </c>
      <c r="M11">
        <v>0</v>
      </c>
      <c r="N11">
        <v>0</v>
      </c>
      <c r="Q11" t="s">
        <v>210</v>
      </c>
      <c r="R11">
        <v>16</v>
      </c>
      <c r="S11">
        <v>13</v>
      </c>
      <c r="T11">
        <v>13</v>
      </c>
      <c r="U11">
        <v>8</v>
      </c>
      <c r="V11">
        <v>7</v>
      </c>
      <c r="W11">
        <v>3</v>
      </c>
      <c r="X11">
        <v>2</v>
      </c>
      <c r="Y11">
        <v>0</v>
      </c>
      <c r="Z11">
        <v>0</v>
      </c>
      <c r="AA11">
        <v>0</v>
      </c>
      <c r="AB11">
        <v>0</v>
      </c>
      <c r="AC11">
        <v>0</v>
      </c>
    </row>
    <row r="12" spans="2:29">
      <c r="B12" s="89" t="s">
        <v>34</v>
      </c>
      <c r="E12" s="88"/>
      <c r="F12" s="88"/>
      <c r="G12" s="88"/>
      <c r="H12" s="88"/>
      <c r="I12" s="88"/>
      <c r="J12" s="88"/>
      <c r="K12" s="88"/>
      <c r="L12" s="88"/>
      <c r="M12" s="88"/>
      <c r="N12" s="88"/>
      <c r="Q12" s="89" t="s">
        <v>34</v>
      </c>
      <c r="R12" s="90"/>
      <c r="S12" s="90"/>
      <c r="T12" s="90"/>
      <c r="U12" s="90"/>
      <c r="V12" s="90"/>
      <c r="W12" s="90"/>
      <c r="X12" s="90"/>
      <c r="Y12" s="90"/>
      <c r="Z12" s="90"/>
      <c r="AA12" s="90"/>
      <c r="AB12" s="90"/>
      <c r="AC12" s="90"/>
    </row>
    <row r="13" spans="2:29">
      <c r="B13" t="s">
        <v>211</v>
      </c>
      <c r="C13">
        <v>36</v>
      </c>
      <c r="D13">
        <v>14</v>
      </c>
      <c r="E13">
        <v>14</v>
      </c>
      <c r="F13">
        <v>13</v>
      </c>
      <c r="G13">
        <v>12</v>
      </c>
      <c r="H13">
        <v>12</v>
      </c>
      <c r="I13">
        <v>13</v>
      </c>
      <c r="J13">
        <v>18</v>
      </c>
      <c r="K13">
        <v>57</v>
      </c>
      <c r="L13">
        <v>157</v>
      </c>
      <c r="M13">
        <v>337</v>
      </c>
      <c r="N13">
        <v>291</v>
      </c>
      <c r="Q13" t="s">
        <v>211</v>
      </c>
      <c r="R13">
        <v>203</v>
      </c>
      <c r="S13">
        <v>225</v>
      </c>
      <c r="T13">
        <v>261</v>
      </c>
      <c r="U13">
        <v>295</v>
      </c>
      <c r="V13">
        <v>334</v>
      </c>
      <c r="W13">
        <v>343</v>
      </c>
      <c r="X13">
        <v>377</v>
      </c>
      <c r="Y13">
        <v>347</v>
      </c>
      <c r="Z13">
        <v>366</v>
      </c>
      <c r="AA13">
        <v>384</v>
      </c>
      <c r="AB13">
        <v>383</v>
      </c>
      <c r="AC13">
        <v>368</v>
      </c>
    </row>
    <row r="14" spans="2:29">
      <c r="B14" t="s">
        <v>212</v>
      </c>
      <c r="C14">
        <v>503</v>
      </c>
      <c r="D14">
        <v>564</v>
      </c>
      <c r="E14">
        <v>669</v>
      </c>
      <c r="F14">
        <v>697</v>
      </c>
      <c r="G14">
        <v>822</v>
      </c>
      <c r="H14">
        <v>944</v>
      </c>
      <c r="I14">
        <v>950</v>
      </c>
      <c r="J14" s="88">
        <v>1134</v>
      </c>
      <c r="K14" s="88">
        <v>1344</v>
      </c>
      <c r="L14" s="88">
        <v>1452</v>
      </c>
      <c r="M14" s="88">
        <v>1581</v>
      </c>
      <c r="N14" s="88">
        <v>1363</v>
      </c>
      <c r="Q14" t="s">
        <v>212</v>
      </c>
      <c r="R14" s="88">
        <v>2106</v>
      </c>
      <c r="S14" s="88">
        <v>2020</v>
      </c>
      <c r="T14" s="88">
        <v>2339</v>
      </c>
      <c r="U14" s="88">
        <v>2659</v>
      </c>
      <c r="V14" s="88">
        <v>3496</v>
      </c>
      <c r="W14" s="88">
        <v>3510</v>
      </c>
      <c r="X14" s="88">
        <v>3630</v>
      </c>
      <c r="Y14" s="88">
        <v>4319</v>
      </c>
      <c r="Z14" s="88">
        <v>4417</v>
      </c>
      <c r="AA14" s="88">
        <v>4659</v>
      </c>
      <c r="AB14" s="88">
        <v>4798</v>
      </c>
      <c r="AC14" s="88">
        <v>4807</v>
      </c>
    </row>
    <row r="15" spans="2:29">
      <c r="B15" t="s">
        <v>213</v>
      </c>
      <c r="C15">
        <v>17</v>
      </c>
      <c r="D15">
        <v>30</v>
      </c>
      <c r="E15">
        <v>27</v>
      </c>
      <c r="F15">
        <v>23</v>
      </c>
      <c r="G15">
        <v>23</v>
      </c>
      <c r="H15">
        <v>30</v>
      </c>
      <c r="I15">
        <v>20</v>
      </c>
      <c r="J15">
        <v>41</v>
      </c>
      <c r="K15">
        <v>27</v>
      </c>
      <c r="L15">
        <v>46</v>
      </c>
      <c r="M15">
        <v>30</v>
      </c>
      <c r="N15">
        <v>59</v>
      </c>
      <c r="Q15" t="s">
        <v>213</v>
      </c>
      <c r="R15">
        <v>0</v>
      </c>
      <c r="S15">
        <v>0</v>
      </c>
      <c r="T15">
        <v>805</v>
      </c>
      <c r="U15">
        <v>495</v>
      </c>
      <c r="V15">
        <v>461</v>
      </c>
      <c r="W15">
        <v>430</v>
      </c>
      <c r="X15">
        <v>703</v>
      </c>
      <c r="Y15">
        <v>811</v>
      </c>
      <c r="Z15" s="88">
        <v>1278</v>
      </c>
      <c r="AA15" s="88">
        <v>1295</v>
      </c>
      <c r="AB15">
        <v>886</v>
      </c>
      <c r="AC15" s="88">
        <v>1264</v>
      </c>
    </row>
    <row r="16" spans="2:29">
      <c r="B16" t="s">
        <v>214</v>
      </c>
      <c r="C16">
        <v>369</v>
      </c>
      <c r="D16">
        <v>264</v>
      </c>
      <c r="E16">
        <v>299</v>
      </c>
      <c r="F16">
        <v>326</v>
      </c>
      <c r="G16">
        <v>360</v>
      </c>
      <c r="H16">
        <v>583</v>
      </c>
      <c r="I16">
        <v>620</v>
      </c>
      <c r="J16">
        <v>482</v>
      </c>
      <c r="K16">
        <v>422</v>
      </c>
      <c r="L16">
        <v>738</v>
      </c>
      <c r="M16" s="88">
        <v>1045</v>
      </c>
      <c r="N16" s="88">
        <v>2039</v>
      </c>
      <c r="Q16" t="s">
        <v>214</v>
      </c>
      <c r="R16" s="88">
        <v>11060</v>
      </c>
      <c r="S16" s="88">
        <v>11702</v>
      </c>
      <c r="T16" s="88">
        <v>5483</v>
      </c>
      <c r="U16" s="88">
        <v>5991</v>
      </c>
      <c r="V16" s="88">
        <v>7404</v>
      </c>
      <c r="W16" s="88">
        <v>8301</v>
      </c>
      <c r="X16" s="88">
        <v>7050</v>
      </c>
      <c r="Y16" s="88">
        <v>7666</v>
      </c>
      <c r="Z16" s="88">
        <v>8429</v>
      </c>
      <c r="AA16" s="88">
        <v>10032</v>
      </c>
      <c r="AB16" s="88">
        <v>10877</v>
      </c>
      <c r="AC16" s="88">
        <v>11249</v>
      </c>
    </row>
    <row r="17" spans="2:29">
      <c r="B17" s="93" t="s">
        <v>81</v>
      </c>
      <c r="C17" s="94">
        <v>2965</v>
      </c>
      <c r="D17" s="94">
        <v>3125</v>
      </c>
      <c r="E17" s="94">
        <v>3358</v>
      </c>
      <c r="F17" s="94">
        <v>3623</v>
      </c>
      <c r="G17" s="94">
        <v>4072</v>
      </c>
      <c r="H17" s="94">
        <v>4896</v>
      </c>
      <c r="I17" s="94">
        <v>4964</v>
      </c>
      <c r="J17" s="94">
        <v>5426</v>
      </c>
      <c r="K17" s="94">
        <v>5677</v>
      </c>
      <c r="L17" s="94">
        <v>6800</v>
      </c>
      <c r="M17" s="94">
        <v>7353</v>
      </c>
      <c r="N17" s="94">
        <v>8281</v>
      </c>
      <c r="Q17" s="89" t="s">
        <v>81</v>
      </c>
      <c r="R17" s="90">
        <v>40848</v>
      </c>
      <c r="S17" s="90">
        <v>45952</v>
      </c>
      <c r="T17" s="90">
        <v>51651</v>
      </c>
      <c r="U17" s="90">
        <v>55898</v>
      </c>
      <c r="V17" s="90">
        <v>64241</v>
      </c>
      <c r="W17" s="90">
        <v>71739</v>
      </c>
      <c r="X17" s="90">
        <v>77311</v>
      </c>
      <c r="Y17" s="90">
        <v>73761</v>
      </c>
      <c r="Z17" s="90">
        <v>77196</v>
      </c>
      <c r="AA17" s="90">
        <v>85831</v>
      </c>
      <c r="AB17" s="90">
        <v>91754</v>
      </c>
      <c r="AC17" s="90">
        <v>88003</v>
      </c>
    </row>
    <row r="18" spans="2:29">
      <c r="C18" s="88"/>
      <c r="D18" s="88"/>
      <c r="E18" s="88"/>
      <c r="F18" s="88"/>
      <c r="G18" s="88"/>
      <c r="H18" s="88"/>
      <c r="I18" s="88"/>
      <c r="J18" s="88"/>
      <c r="K18" s="88"/>
      <c r="L18" s="88"/>
      <c r="M18" s="88"/>
      <c r="N18" s="88"/>
      <c r="Q18" s="89"/>
      <c r="R18" s="90"/>
      <c r="S18" s="90"/>
      <c r="T18" s="90"/>
      <c r="U18" s="90"/>
      <c r="V18" s="90"/>
      <c r="W18" s="90"/>
      <c r="X18" s="90"/>
      <c r="Y18" s="90"/>
      <c r="Z18" s="90"/>
      <c r="AA18" s="90"/>
      <c r="AB18" s="90"/>
      <c r="AC18" s="90"/>
    </row>
    <row r="19" spans="2:29">
      <c r="B19" s="89" t="s">
        <v>230</v>
      </c>
      <c r="C19" s="89">
        <v>888</v>
      </c>
      <c r="D19" s="90">
        <v>1076</v>
      </c>
      <c r="E19" s="90">
        <v>1050</v>
      </c>
      <c r="F19" s="90">
        <v>1085</v>
      </c>
      <c r="G19" s="90">
        <v>1110</v>
      </c>
      <c r="H19" s="90">
        <v>1300</v>
      </c>
      <c r="I19" s="90">
        <v>1396</v>
      </c>
      <c r="J19" s="90">
        <v>1612</v>
      </c>
      <c r="K19" s="90">
        <v>1760</v>
      </c>
      <c r="L19" s="90">
        <v>2246</v>
      </c>
      <c r="M19" s="90">
        <v>2724</v>
      </c>
      <c r="N19" s="90">
        <v>2758</v>
      </c>
      <c r="Q19" s="89" t="s">
        <v>287</v>
      </c>
      <c r="R19" s="90">
        <v>12921</v>
      </c>
      <c r="S19" s="90">
        <v>15303</v>
      </c>
      <c r="T19" s="90">
        <v>15107</v>
      </c>
      <c r="U19" s="90">
        <v>15893</v>
      </c>
      <c r="V19" s="90">
        <v>16524</v>
      </c>
      <c r="W19" s="90">
        <v>19374</v>
      </c>
      <c r="X19" s="90">
        <v>21713</v>
      </c>
      <c r="Y19" s="90">
        <v>23298</v>
      </c>
      <c r="Z19" s="90">
        <v>24232</v>
      </c>
      <c r="AA19" s="90">
        <v>25851</v>
      </c>
      <c r="AB19" s="90">
        <v>27820</v>
      </c>
      <c r="AC19" s="90">
        <v>21955</v>
      </c>
    </row>
    <row r="20" spans="2:29">
      <c r="B20" t="s">
        <v>215</v>
      </c>
      <c r="C20">
        <v>52</v>
      </c>
      <c r="D20">
        <v>52</v>
      </c>
      <c r="E20">
        <v>50</v>
      </c>
      <c r="F20">
        <v>49</v>
      </c>
      <c r="G20">
        <v>48</v>
      </c>
      <c r="H20">
        <v>71</v>
      </c>
      <c r="I20">
        <v>74</v>
      </c>
      <c r="J20">
        <v>73</v>
      </c>
      <c r="K20">
        <v>81</v>
      </c>
      <c r="L20">
        <v>71</v>
      </c>
      <c r="M20">
        <v>91</v>
      </c>
      <c r="N20">
        <v>83</v>
      </c>
      <c r="Q20" t="s">
        <v>215</v>
      </c>
      <c r="R20" s="88">
        <v>1564</v>
      </c>
      <c r="S20" s="88">
        <v>1717</v>
      </c>
      <c r="T20" s="88">
        <v>1615</v>
      </c>
      <c r="U20" s="88">
        <v>1673</v>
      </c>
      <c r="V20" s="88">
        <v>1685</v>
      </c>
      <c r="W20" s="88">
        <v>2021</v>
      </c>
      <c r="X20" s="88">
        <v>2797</v>
      </c>
      <c r="Y20" s="88">
        <v>2889</v>
      </c>
      <c r="Z20" s="88">
        <v>2829</v>
      </c>
      <c r="AA20" s="88">
        <v>2830</v>
      </c>
      <c r="AB20" s="88">
        <v>2865</v>
      </c>
      <c r="AC20" s="88">
        <v>1588</v>
      </c>
    </row>
    <row r="21" spans="2:29">
      <c r="B21" t="s">
        <v>216</v>
      </c>
      <c r="C21">
        <v>316</v>
      </c>
      <c r="D21">
        <v>306</v>
      </c>
      <c r="E21">
        <v>266</v>
      </c>
      <c r="F21">
        <v>276</v>
      </c>
      <c r="G21">
        <v>291</v>
      </c>
      <c r="H21">
        <v>560</v>
      </c>
      <c r="I21">
        <v>617</v>
      </c>
      <c r="J21">
        <v>597</v>
      </c>
      <c r="K21">
        <v>620</v>
      </c>
      <c r="L21">
        <v>645</v>
      </c>
      <c r="M21">
        <v>706</v>
      </c>
      <c r="N21">
        <v>679</v>
      </c>
      <c r="Q21" t="s">
        <v>216</v>
      </c>
      <c r="R21" s="88">
        <v>4110</v>
      </c>
      <c r="S21" s="88">
        <v>4860</v>
      </c>
      <c r="T21" s="88">
        <v>4219</v>
      </c>
      <c r="U21" s="88">
        <v>4716</v>
      </c>
      <c r="V21" s="88">
        <v>5331</v>
      </c>
      <c r="W21" s="88">
        <v>6996</v>
      </c>
      <c r="X21" s="88">
        <v>8161</v>
      </c>
      <c r="Y21" s="88">
        <v>8387</v>
      </c>
      <c r="Z21" s="88">
        <v>9100</v>
      </c>
      <c r="AA21" s="88">
        <v>9789</v>
      </c>
      <c r="AB21" s="88">
        <v>10944</v>
      </c>
      <c r="AC21" s="88">
        <v>7550</v>
      </c>
    </row>
    <row r="22" spans="2:29">
      <c r="B22" t="s">
        <v>217</v>
      </c>
      <c r="C22">
        <v>449</v>
      </c>
      <c r="D22">
        <v>477</v>
      </c>
      <c r="E22">
        <v>272</v>
      </c>
      <c r="F22">
        <v>359</v>
      </c>
      <c r="G22">
        <v>401</v>
      </c>
      <c r="H22">
        <v>470</v>
      </c>
      <c r="I22">
        <v>583</v>
      </c>
      <c r="J22">
        <v>590</v>
      </c>
      <c r="K22">
        <v>671</v>
      </c>
      <c r="L22">
        <v>748</v>
      </c>
      <c r="M22">
        <v>837</v>
      </c>
      <c r="N22">
        <v>811</v>
      </c>
      <c r="Q22" t="s">
        <v>217</v>
      </c>
      <c r="R22" s="88">
        <v>12633</v>
      </c>
      <c r="S22" s="88">
        <v>14667</v>
      </c>
      <c r="T22" s="88">
        <v>9112</v>
      </c>
      <c r="U22" s="88">
        <v>10384</v>
      </c>
      <c r="V22" s="88">
        <v>11453</v>
      </c>
      <c r="W22" s="88">
        <v>13316</v>
      </c>
      <c r="X22" s="88">
        <v>14625</v>
      </c>
      <c r="Y22" s="88">
        <v>15307</v>
      </c>
      <c r="Z22" s="88">
        <v>16912</v>
      </c>
      <c r="AA22" s="88">
        <v>18480</v>
      </c>
      <c r="AB22" s="88">
        <v>20718</v>
      </c>
      <c r="AC22" s="88">
        <v>19423</v>
      </c>
    </row>
    <row r="23" spans="2:29">
      <c r="B23" t="s">
        <v>218</v>
      </c>
      <c r="C23">
        <v>14</v>
      </c>
      <c r="D23">
        <v>14</v>
      </c>
      <c r="E23">
        <v>10</v>
      </c>
      <c r="F23">
        <v>13</v>
      </c>
      <c r="G23">
        <v>17</v>
      </c>
      <c r="H23">
        <v>18</v>
      </c>
      <c r="I23">
        <v>20</v>
      </c>
      <c r="J23">
        <v>23</v>
      </c>
      <c r="K23">
        <v>26</v>
      </c>
      <c r="L23">
        <v>29</v>
      </c>
      <c r="M23">
        <v>33</v>
      </c>
      <c r="N23">
        <v>32</v>
      </c>
      <c r="Q23" t="s">
        <v>218</v>
      </c>
      <c r="R23">
        <v>34</v>
      </c>
      <c r="S23">
        <v>46</v>
      </c>
      <c r="T23">
        <v>27</v>
      </c>
      <c r="U23">
        <v>32</v>
      </c>
      <c r="V23">
        <v>32</v>
      </c>
      <c r="W23">
        <v>34</v>
      </c>
      <c r="X23">
        <v>40</v>
      </c>
      <c r="Y23">
        <v>41</v>
      </c>
      <c r="Z23">
        <v>44</v>
      </c>
      <c r="AA23">
        <v>44</v>
      </c>
      <c r="AB23">
        <v>53</v>
      </c>
      <c r="AC23">
        <v>63</v>
      </c>
    </row>
    <row r="24" spans="2:29">
      <c r="B24" t="s">
        <v>219</v>
      </c>
      <c r="C24">
        <v>23</v>
      </c>
      <c r="D24">
        <v>24</v>
      </c>
      <c r="E24">
        <v>12</v>
      </c>
      <c r="F24">
        <v>14</v>
      </c>
      <c r="G24">
        <v>20</v>
      </c>
      <c r="H24">
        <v>21</v>
      </c>
      <c r="I24">
        <v>28</v>
      </c>
      <c r="J24">
        <v>32</v>
      </c>
      <c r="K24">
        <v>36</v>
      </c>
      <c r="L24">
        <v>39</v>
      </c>
      <c r="M24">
        <v>46</v>
      </c>
      <c r="N24">
        <v>47</v>
      </c>
      <c r="Q24" t="s">
        <v>219</v>
      </c>
      <c r="R24">
        <v>729</v>
      </c>
      <c r="S24">
        <v>805</v>
      </c>
      <c r="T24">
        <v>413</v>
      </c>
      <c r="U24">
        <v>459</v>
      </c>
      <c r="V24">
        <v>497</v>
      </c>
      <c r="W24">
        <v>644</v>
      </c>
      <c r="X24">
        <v>810</v>
      </c>
      <c r="Y24">
        <v>833</v>
      </c>
      <c r="Z24">
        <v>907</v>
      </c>
      <c r="AA24" s="88">
        <v>1000</v>
      </c>
      <c r="AB24" s="88">
        <v>1068</v>
      </c>
      <c r="AC24">
        <v>282</v>
      </c>
    </row>
    <row r="25" spans="2:29">
      <c r="B25" t="s">
        <v>220</v>
      </c>
      <c r="C25">
        <v>7</v>
      </c>
      <c r="D25">
        <v>7</v>
      </c>
      <c r="E25">
        <v>2</v>
      </c>
      <c r="F25">
        <v>3</v>
      </c>
      <c r="G25">
        <v>4</v>
      </c>
      <c r="H25">
        <v>4</v>
      </c>
      <c r="I25">
        <v>5</v>
      </c>
      <c r="J25">
        <v>6</v>
      </c>
      <c r="K25">
        <v>6</v>
      </c>
      <c r="L25">
        <v>6</v>
      </c>
      <c r="M25">
        <v>6</v>
      </c>
      <c r="N25">
        <v>6</v>
      </c>
      <c r="Q25" t="s">
        <v>220</v>
      </c>
      <c r="R25" s="88">
        <v>122</v>
      </c>
      <c r="S25" s="88">
        <v>130</v>
      </c>
      <c r="T25" s="88">
        <v>109</v>
      </c>
      <c r="U25" s="88">
        <v>130</v>
      </c>
      <c r="V25" s="88">
        <v>142</v>
      </c>
      <c r="W25" s="88">
        <v>163</v>
      </c>
      <c r="X25" s="88">
        <v>186</v>
      </c>
      <c r="Y25" s="88">
        <v>182</v>
      </c>
      <c r="Z25" s="88">
        <v>181</v>
      </c>
      <c r="AA25" s="88">
        <v>191</v>
      </c>
      <c r="AB25" s="88">
        <v>194</v>
      </c>
      <c r="AC25" s="88">
        <v>143</v>
      </c>
    </row>
    <row r="26" spans="2:29">
      <c r="B26" t="s">
        <v>221</v>
      </c>
      <c r="C26">
        <v>328</v>
      </c>
      <c r="D26">
        <v>560</v>
      </c>
      <c r="E26">
        <v>519</v>
      </c>
      <c r="F26">
        <v>502</v>
      </c>
      <c r="G26">
        <v>543</v>
      </c>
      <c r="H26">
        <v>554</v>
      </c>
      <c r="I26">
        <v>573</v>
      </c>
      <c r="J26">
        <v>830</v>
      </c>
      <c r="K26">
        <v>945</v>
      </c>
      <c r="L26" s="88">
        <v>1409</v>
      </c>
      <c r="M26" s="88">
        <v>1773</v>
      </c>
      <c r="N26" s="88">
        <v>1767</v>
      </c>
      <c r="P26" s="88"/>
      <c r="Q26" t="s">
        <v>221</v>
      </c>
      <c r="R26">
        <v>398</v>
      </c>
      <c r="S26">
        <v>678</v>
      </c>
      <c r="T26">
        <v>563</v>
      </c>
      <c r="U26">
        <v>563</v>
      </c>
      <c r="V26">
        <v>570</v>
      </c>
      <c r="W26">
        <v>684</v>
      </c>
      <c r="X26">
        <v>684</v>
      </c>
      <c r="Y26" s="88">
        <v>2734</v>
      </c>
      <c r="Z26" s="88">
        <v>2744</v>
      </c>
      <c r="AA26" s="88">
        <v>3490</v>
      </c>
      <c r="AB26" s="88">
        <v>3505</v>
      </c>
      <c r="AC26" s="88">
        <v>3622</v>
      </c>
    </row>
    <row r="27" spans="2:29">
      <c r="B27" t="s">
        <v>222</v>
      </c>
      <c r="C27">
        <v>28</v>
      </c>
      <c r="D27">
        <v>33</v>
      </c>
      <c r="E27">
        <v>11</v>
      </c>
      <c r="F27">
        <v>45</v>
      </c>
      <c r="G27">
        <v>45</v>
      </c>
      <c r="H27">
        <v>36</v>
      </c>
      <c r="I27">
        <v>40</v>
      </c>
      <c r="J27">
        <v>53</v>
      </c>
      <c r="K27">
        <v>138</v>
      </c>
      <c r="L27">
        <v>68</v>
      </c>
      <c r="M27">
        <v>92</v>
      </c>
      <c r="N27">
        <v>110</v>
      </c>
      <c r="Q27" t="s">
        <v>222</v>
      </c>
      <c r="R27">
        <v>411</v>
      </c>
      <c r="S27">
        <v>458</v>
      </c>
      <c r="T27">
        <v>117</v>
      </c>
      <c r="U27">
        <v>138</v>
      </c>
      <c r="V27">
        <v>212</v>
      </c>
      <c r="W27">
        <v>234</v>
      </c>
      <c r="X27">
        <v>663</v>
      </c>
      <c r="Y27">
        <v>716</v>
      </c>
      <c r="Z27">
        <v>719</v>
      </c>
      <c r="AA27">
        <v>786</v>
      </c>
      <c r="AB27">
        <v>841</v>
      </c>
      <c r="AC27">
        <v>967</v>
      </c>
    </row>
    <row r="28" spans="2:29">
      <c r="B28" s="89" t="s">
        <v>223</v>
      </c>
      <c r="C28" s="90">
        <v>1218</v>
      </c>
      <c r="D28" s="90">
        <v>1473</v>
      </c>
      <c r="E28" s="90">
        <v>1142</v>
      </c>
      <c r="F28" s="90">
        <v>1260</v>
      </c>
      <c r="G28" s="90">
        <v>1369</v>
      </c>
      <c r="H28" s="90">
        <v>1734</v>
      </c>
      <c r="I28" s="90">
        <v>1940</v>
      </c>
      <c r="J28" s="90">
        <v>2204</v>
      </c>
      <c r="K28" s="90">
        <v>2523</v>
      </c>
      <c r="L28" s="90">
        <v>3015</v>
      </c>
      <c r="M28" s="90">
        <v>3584</v>
      </c>
      <c r="N28" s="90">
        <v>3535</v>
      </c>
      <c r="Q28" s="89" t="s">
        <v>223</v>
      </c>
      <c r="R28" s="90">
        <v>20000</v>
      </c>
      <c r="S28" s="90">
        <v>23361</v>
      </c>
      <c r="T28" s="90">
        <v>16176</v>
      </c>
      <c r="U28" s="90">
        <v>18094</v>
      </c>
      <c r="V28" s="90">
        <v>19920</v>
      </c>
      <c r="W28" s="90">
        <v>24090</v>
      </c>
      <c r="X28" s="90">
        <v>27965</v>
      </c>
      <c r="Y28" s="90">
        <v>31088</v>
      </c>
      <c r="Z28" s="90">
        <v>33435</v>
      </c>
      <c r="AA28" s="90">
        <v>36608</v>
      </c>
      <c r="AB28" s="90">
        <v>40189</v>
      </c>
      <c r="AC28" s="90">
        <v>33638</v>
      </c>
    </row>
    <row r="29" spans="2:29">
      <c r="B29" s="89" t="s">
        <v>224</v>
      </c>
      <c r="C29" s="89">
        <v>308</v>
      </c>
      <c r="D29" s="89">
        <v>377</v>
      </c>
      <c r="E29" s="89">
        <v>85</v>
      </c>
      <c r="F29" s="89">
        <v>167</v>
      </c>
      <c r="G29" s="89">
        <v>249</v>
      </c>
      <c r="H29" s="89">
        <v>434</v>
      </c>
      <c r="I29" s="89">
        <v>540</v>
      </c>
      <c r="J29" s="89">
        <v>592</v>
      </c>
      <c r="K29" s="89">
        <v>763</v>
      </c>
      <c r="L29" s="89">
        <v>769</v>
      </c>
      <c r="M29" s="89">
        <v>860</v>
      </c>
      <c r="N29" s="89">
        <v>777</v>
      </c>
      <c r="Q29" s="89" t="s">
        <v>224</v>
      </c>
      <c r="R29" s="90">
        <v>7073</v>
      </c>
      <c r="S29" s="90">
        <v>8057</v>
      </c>
      <c r="T29" s="90">
        <v>1069</v>
      </c>
      <c r="U29" s="90">
        <v>2201</v>
      </c>
      <c r="V29" s="90">
        <v>3396</v>
      </c>
      <c r="W29" s="90">
        <v>4716</v>
      </c>
      <c r="X29" s="90">
        <v>6252</v>
      </c>
      <c r="Y29" s="90">
        <v>7790</v>
      </c>
      <c r="Z29" s="90">
        <v>9204</v>
      </c>
      <c r="AA29" s="90">
        <v>10757</v>
      </c>
      <c r="AB29" s="90">
        <v>12368</v>
      </c>
      <c r="AC29" s="90">
        <v>11683</v>
      </c>
    </row>
    <row r="30" spans="2:29">
      <c r="B30" s="89" t="s">
        <v>36</v>
      </c>
      <c r="C30" s="92">
        <f>C28-C29</f>
        <v>910</v>
      </c>
      <c r="D30" s="92">
        <f t="shared" ref="D30:N30" si="0">D28-D29</f>
        <v>1096</v>
      </c>
      <c r="E30" s="92">
        <f t="shared" si="0"/>
        <v>1057</v>
      </c>
      <c r="F30" s="92">
        <f t="shared" si="0"/>
        <v>1093</v>
      </c>
      <c r="G30" s="92">
        <f t="shared" si="0"/>
        <v>1120</v>
      </c>
      <c r="H30" s="92">
        <f t="shared" si="0"/>
        <v>1300</v>
      </c>
      <c r="I30" s="92">
        <f t="shared" si="0"/>
        <v>1400</v>
      </c>
      <c r="J30" s="92">
        <f t="shared" si="0"/>
        <v>1612</v>
      </c>
      <c r="K30" s="92">
        <f t="shared" si="0"/>
        <v>1760</v>
      </c>
      <c r="L30" s="92">
        <f t="shared" si="0"/>
        <v>2246</v>
      </c>
      <c r="M30" s="92">
        <f t="shared" si="0"/>
        <v>2724</v>
      </c>
      <c r="N30" s="92">
        <f t="shared" si="0"/>
        <v>2758</v>
      </c>
      <c r="Q30" s="89" t="s">
        <v>36</v>
      </c>
      <c r="R30" s="90">
        <f>R28-R29</f>
        <v>12927</v>
      </c>
      <c r="S30" s="90">
        <f t="shared" ref="S30:AC30" si="1">S28-S29</f>
        <v>15304</v>
      </c>
      <c r="T30" s="90">
        <f t="shared" si="1"/>
        <v>15107</v>
      </c>
      <c r="U30" s="90">
        <f t="shared" si="1"/>
        <v>15893</v>
      </c>
      <c r="V30" s="90">
        <f t="shared" si="1"/>
        <v>16524</v>
      </c>
      <c r="W30" s="90">
        <f t="shared" si="1"/>
        <v>19374</v>
      </c>
      <c r="X30" s="90">
        <f t="shared" si="1"/>
        <v>21713</v>
      </c>
      <c r="Y30" s="90">
        <f t="shared" si="1"/>
        <v>23298</v>
      </c>
      <c r="Z30" s="90">
        <f t="shared" si="1"/>
        <v>24231</v>
      </c>
      <c r="AA30" s="90">
        <f t="shared" si="1"/>
        <v>25851</v>
      </c>
      <c r="AB30" s="90">
        <f t="shared" si="1"/>
        <v>27821</v>
      </c>
      <c r="AC30" s="90">
        <f t="shared" si="1"/>
        <v>21955</v>
      </c>
    </row>
    <row r="31" spans="2:29">
      <c r="B31" s="89"/>
      <c r="C31" s="89"/>
      <c r="D31" s="89"/>
      <c r="E31" s="89"/>
      <c r="F31" s="89"/>
      <c r="G31" s="89"/>
      <c r="H31" s="89"/>
      <c r="I31" s="89"/>
      <c r="J31" s="89"/>
      <c r="K31" s="89"/>
      <c r="L31" s="89"/>
      <c r="M31" s="89"/>
      <c r="N31" s="89"/>
      <c r="Q31" s="89"/>
      <c r="R31" s="90"/>
      <c r="S31" s="90"/>
      <c r="T31" s="90"/>
      <c r="U31" s="90"/>
      <c r="V31" s="90"/>
      <c r="W31" s="90"/>
      <c r="X31" s="90"/>
      <c r="Y31" s="90"/>
      <c r="Z31" s="90"/>
      <c r="AA31" s="90"/>
      <c r="AB31" s="90"/>
      <c r="AC31" s="90"/>
    </row>
    <row r="32" spans="2:29">
      <c r="B32" s="89" t="s">
        <v>225</v>
      </c>
      <c r="C32" s="89">
        <v>4</v>
      </c>
      <c r="D32" s="89">
        <v>3</v>
      </c>
      <c r="E32" s="89">
        <v>37</v>
      </c>
      <c r="F32" s="89">
        <v>11</v>
      </c>
      <c r="G32" s="89">
        <v>27</v>
      </c>
      <c r="H32" s="89">
        <v>45</v>
      </c>
      <c r="I32" s="89">
        <v>58</v>
      </c>
      <c r="J32" s="89">
        <v>24</v>
      </c>
      <c r="K32" s="89">
        <v>39</v>
      </c>
      <c r="L32" s="89">
        <v>67</v>
      </c>
      <c r="M32" s="89">
        <v>44</v>
      </c>
      <c r="N32" s="89">
        <v>40</v>
      </c>
      <c r="Q32" s="89" t="s">
        <v>225</v>
      </c>
      <c r="R32" s="90">
        <v>3117</v>
      </c>
      <c r="S32" s="90">
        <v>2700</v>
      </c>
      <c r="T32" s="90">
        <v>2560</v>
      </c>
      <c r="U32" s="90">
        <v>3730</v>
      </c>
      <c r="V32" s="90">
        <v>5508</v>
      </c>
      <c r="W32" s="90">
        <v>4136</v>
      </c>
      <c r="X32" s="90">
        <v>3256</v>
      </c>
      <c r="Y32" s="90">
        <v>4011</v>
      </c>
      <c r="Z32" s="90">
        <v>3226</v>
      </c>
      <c r="AA32" s="90">
        <v>3003</v>
      </c>
      <c r="AB32" s="90">
        <v>2861</v>
      </c>
      <c r="AC32" s="90">
        <v>1091</v>
      </c>
    </row>
    <row r="33" spans="2:29">
      <c r="B33" s="89" t="s">
        <v>38</v>
      </c>
      <c r="C33" s="89">
        <v>311</v>
      </c>
      <c r="D33" s="89">
        <v>284</v>
      </c>
      <c r="E33" s="89">
        <v>544</v>
      </c>
      <c r="F33" s="89">
        <v>608</v>
      </c>
      <c r="G33" s="89">
        <v>543</v>
      </c>
      <c r="H33" s="89">
        <v>450</v>
      </c>
      <c r="I33" s="89">
        <v>733</v>
      </c>
      <c r="J33" s="89">
        <v>854</v>
      </c>
      <c r="K33" s="89">
        <v>828</v>
      </c>
      <c r="L33" s="90">
        <v>1096</v>
      </c>
      <c r="M33" s="89">
        <v>602</v>
      </c>
      <c r="N33" s="90">
        <v>1590</v>
      </c>
      <c r="Q33" s="89" t="s">
        <v>38</v>
      </c>
      <c r="R33" s="90">
        <v>7284</v>
      </c>
      <c r="S33" s="90">
        <v>6943</v>
      </c>
      <c r="T33" s="90">
        <v>11748</v>
      </c>
      <c r="U33" s="90">
        <v>17581</v>
      </c>
      <c r="V33" s="90">
        <v>22053</v>
      </c>
      <c r="W33" s="90">
        <v>25043</v>
      </c>
      <c r="X33" s="90">
        <v>28663</v>
      </c>
      <c r="Y33" s="90">
        <v>24871</v>
      </c>
      <c r="Z33" s="90">
        <v>24841</v>
      </c>
      <c r="AA33" s="90">
        <v>29415</v>
      </c>
      <c r="AB33" s="90">
        <v>31114</v>
      </c>
      <c r="AC33" s="90">
        <v>34720</v>
      </c>
    </row>
    <row r="34" spans="2:29">
      <c r="L34" s="88"/>
      <c r="N34" s="88"/>
      <c r="Q34" s="89"/>
      <c r="R34" s="90"/>
      <c r="S34" s="90"/>
      <c r="T34" s="90"/>
      <c r="U34" s="90"/>
      <c r="V34" s="90"/>
      <c r="W34" s="90"/>
      <c r="X34" s="90"/>
      <c r="Y34" s="90"/>
      <c r="Z34" s="90"/>
      <c r="AA34" s="90"/>
      <c r="AB34" s="90"/>
      <c r="AC34" s="90"/>
    </row>
    <row r="35" spans="2:29">
      <c r="B35" s="89" t="s">
        <v>39</v>
      </c>
      <c r="C35" s="90">
        <v>1762</v>
      </c>
      <c r="D35" s="90">
        <v>1763</v>
      </c>
      <c r="E35" s="90">
        <v>1727</v>
      </c>
      <c r="F35" s="90">
        <v>1919</v>
      </c>
      <c r="G35" s="90">
        <v>2392</v>
      </c>
      <c r="H35" s="90">
        <v>3101</v>
      </c>
      <c r="I35" s="90">
        <v>2777</v>
      </c>
      <c r="J35" s="90">
        <v>2936</v>
      </c>
      <c r="K35" s="90">
        <v>3050</v>
      </c>
      <c r="L35" s="90">
        <v>3391</v>
      </c>
      <c r="M35" s="90">
        <v>3983</v>
      </c>
      <c r="N35" s="90">
        <v>3893</v>
      </c>
      <c r="Q35" s="89" t="s">
        <v>39</v>
      </c>
      <c r="R35" s="90">
        <v>17526</v>
      </c>
      <c r="S35" s="90">
        <v>21006</v>
      </c>
      <c r="T35" s="90">
        <v>22237</v>
      </c>
      <c r="U35" s="90">
        <v>18694</v>
      </c>
      <c r="V35" s="90">
        <v>20156</v>
      </c>
      <c r="W35" s="90">
        <v>23185</v>
      </c>
      <c r="X35" s="90">
        <v>23678</v>
      </c>
      <c r="Y35" s="90">
        <v>21580</v>
      </c>
      <c r="Z35" s="90">
        <v>24898</v>
      </c>
      <c r="AA35" s="90">
        <v>27561</v>
      </c>
      <c r="AB35" s="90">
        <v>29959</v>
      </c>
      <c r="AC35" s="90">
        <v>30237</v>
      </c>
    </row>
    <row r="36" spans="2:29">
      <c r="B36" t="s">
        <v>226</v>
      </c>
      <c r="C36">
        <v>796</v>
      </c>
      <c r="D36">
        <v>995</v>
      </c>
      <c r="E36">
        <v>926</v>
      </c>
      <c r="F36" s="88">
        <v>1253</v>
      </c>
      <c r="G36" s="88">
        <v>1511</v>
      </c>
      <c r="H36" s="88">
        <v>1411</v>
      </c>
      <c r="I36" s="88">
        <v>1380</v>
      </c>
      <c r="J36" s="88">
        <v>1126</v>
      </c>
      <c r="K36" s="88">
        <v>1412</v>
      </c>
      <c r="L36" s="88">
        <v>1225</v>
      </c>
      <c r="M36" s="88">
        <v>1336</v>
      </c>
      <c r="N36" s="88">
        <v>1235</v>
      </c>
      <c r="Q36" t="s">
        <v>226</v>
      </c>
      <c r="R36" s="88">
        <v>8255</v>
      </c>
      <c r="S36" s="88">
        <v>8587</v>
      </c>
      <c r="T36" s="88">
        <v>9062</v>
      </c>
      <c r="U36" s="88">
        <v>8116</v>
      </c>
      <c r="V36" s="88">
        <v>7495</v>
      </c>
      <c r="W36" s="88">
        <v>7860</v>
      </c>
      <c r="X36" s="88">
        <v>8879</v>
      </c>
      <c r="Y36" s="88">
        <v>10397</v>
      </c>
      <c r="Z36" s="88">
        <v>10864</v>
      </c>
      <c r="AA36" s="88">
        <v>11771</v>
      </c>
      <c r="AB36" s="88">
        <v>14153</v>
      </c>
      <c r="AC36" s="88">
        <v>15638</v>
      </c>
    </row>
    <row r="37" spans="2:29">
      <c r="B37" t="s">
        <v>231</v>
      </c>
      <c r="C37">
        <v>223</v>
      </c>
      <c r="D37">
        <v>177</v>
      </c>
      <c r="E37">
        <v>252</v>
      </c>
      <c r="F37">
        <v>247</v>
      </c>
      <c r="G37">
        <v>340</v>
      </c>
      <c r="H37">
        <v>517</v>
      </c>
      <c r="I37">
        <v>539</v>
      </c>
      <c r="J37">
        <v>388</v>
      </c>
      <c r="K37">
        <v>652</v>
      </c>
      <c r="L37" s="88">
        <v>1015</v>
      </c>
      <c r="M37" s="88">
        <v>1069</v>
      </c>
      <c r="N37" s="88">
        <v>1271</v>
      </c>
      <c r="Q37" t="s">
        <v>231</v>
      </c>
      <c r="R37" s="88">
        <v>2439</v>
      </c>
      <c r="S37" s="88">
        <v>1982</v>
      </c>
      <c r="T37" s="88">
        <v>1917</v>
      </c>
      <c r="U37" s="88">
        <v>2474</v>
      </c>
      <c r="V37" s="88">
        <v>2682</v>
      </c>
      <c r="W37" s="88">
        <v>4035</v>
      </c>
      <c r="X37" s="88">
        <v>2562</v>
      </c>
      <c r="Y37" s="88">
        <v>2502</v>
      </c>
      <c r="Z37" s="88">
        <v>2462</v>
      </c>
      <c r="AA37" s="88">
        <v>2956</v>
      </c>
      <c r="AB37" s="88">
        <v>4026</v>
      </c>
      <c r="AC37" s="88">
        <v>4720</v>
      </c>
    </row>
    <row r="38" spans="2:29">
      <c r="B38" t="s">
        <v>227</v>
      </c>
      <c r="C38">
        <v>406</v>
      </c>
      <c r="D38">
        <v>205</v>
      </c>
      <c r="E38">
        <v>317</v>
      </c>
      <c r="F38">
        <v>236</v>
      </c>
      <c r="G38">
        <v>201</v>
      </c>
      <c r="H38">
        <v>552</v>
      </c>
      <c r="I38">
        <v>279</v>
      </c>
      <c r="J38">
        <v>944</v>
      </c>
      <c r="K38">
        <v>579</v>
      </c>
      <c r="L38">
        <v>756</v>
      </c>
      <c r="M38">
        <v>943</v>
      </c>
      <c r="N38">
        <v>777</v>
      </c>
      <c r="Q38" t="s">
        <v>227</v>
      </c>
      <c r="R38" s="88">
        <v>3490</v>
      </c>
      <c r="S38" s="88">
        <v>7896</v>
      </c>
      <c r="T38" s="88">
        <v>6063</v>
      </c>
      <c r="U38" s="88">
        <v>2967</v>
      </c>
      <c r="V38" s="88">
        <v>2900</v>
      </c>
      <c r="W38" s="88">
        <v>4152</v>
      </c>
      <c r="X38" s="88">
        <v>7277</v>
      </c>
      <c r="Y38" s="88">
        <v>4659</v>
      </c>
      <c r="Z38" s="88">
        <v>4654</v>
      </c>
      <c r="AA38" s="88">
        <v>4880</v>
      </c>
      <c r="AB38" s="88">
        <v>7218</v>
      </c>
      <c r="AC38" s="88">
        <v>4012</v>
      </c>
    </row>
    <row r="39" spans="2:29">
      <c r="B39" t="s">
        <v>228</v>
      </c>
      <c r="C39">
        <v>47</v>
      </c>
      <c r="D39">
        <v>89</v>
      </c>
      <c r="E39">
        <v>106</v>
      </c>
      <c r="F39">
        <v>83</v>
      </c>
      <c r="G39">
        <v>217</v>
      </c>
      <c r="H39">
        <v>110</v>
      </c>
      <c r="I39">
        <v>97</v>
      </c>
      <c r="J39">
        <v>102</v>
      </c>
      <c r="K39">
        <v>20</v>
      </c>
      <c r="L39">
        <v>110</v>
      </c>
      <c r="M39">
        <v>214</v>
      </c>
      <c r="N39">
        <v>214</v>
      </c>
      <c r="Q39" t="s">
        <v>228</v>
      </c>
      <c r="R39">
        <v>107</v>
      </c>
      <c r="S39">
        <v>150</v>
      </c>
      <c r="T39">
        <v>14</v>
      </c>
      <c r="U39">
        <v>7</v>
      </c>
      <c r="V39">
        <v>74</v>
      </c>
      <c r="W39">
        <v>67</v>
      </c>
      <c r="X39">
        <v>6</v>
      </c>
      <c r="Y39">
        <v>7</v>
      </c>
      <c r="Z39">
        <v>11</v>
      </c>
      <c r="AA39">
        <v>13</v>
      </c>
      <c r="AB39">
        <v>31</v>
      </c>
      <c r="AC39">
        <v>10</v>
      </c>
    </row>
    <row r="40" spans="2:29">
      <c r="B40" t="s">
        <v>229</v>
      </c>
      <c r="C40">
        <v>290</v>
      </c>
      <c r="D40">
        <v>297</v>
      </c>
      <c r="E40">
        <v>126</v>
      </c>
      <c r="F40">
        <v>100</v>
      </c>
      <c r="G40">
        <v>123</v>
      </c>
      <c r="H40">
        <v>511</v>
      </c>
      <c r="I40">
        <v>482</v>
      </c>
      <c r="J40">
        <v>376</v>
      </c>
      <c r="K40">
        <v>387</v>
      </c>
      <c r="L40">
        <v>285</v>
      </c>
      <c r="M40">
        <v>421</v>
      </c>
      <c r="N40">
        <v>396</v>
      </c>
      <c r="Q40" t="s">
        <v>229</v>
      </c>
      <c r="R40" s="88">
        <v>3234</v>
      </c>
      <c r="S40" s="88">
        <v>2391</v>
      </c>
      <c r="T40" s="88">
        <v>5180</v>
      </c>
      <c r="U40" s="88">
        <v>5129</v>
      </c>
      <c r="V40" s="88">
        <v>7004</v>
      </c>
      <c r="W40" s="88">
        <v>7071</v>
      </c>
      <c r="X40" s="88">
        <v>4952</v>
      </c>
      <c r="Y40" s="88">
        <v>4015</v>
      </c>
      <c r="Z40" s="88">
        <v>6906</v>
      </c>
      <c r="AA40" s="88">
        <v>7941</v>
      </c>
      <c r="AB40" s="88">
        <v>4531</v>
      </c>
      <c r="AC40" s="88">
        <v>5858</v>
      </c>
    </row>
    <row r="41" spans="2:29">
      <c r="B41" s="93" t="s">
        <v>85</v>
      </c>
      <c r="C41" s="94">
        <v>2965</v>
      </c>
      <c r="D41" s="94">
        <v>3125</v>
      </c>
      <c r="E41" s="94">
        <v>3358</v>
      </c>
      <c r="F41" s="94">
        <v>3623</v>
      </c>
      <c r="G41" s="94">
        <v>4072</v>
      </c>
      <c r="H41" s="94">
        <v>4896</v>
      </c>
      <c r="I41" s="94">
        <v>4964</v>
      </c>
      <c r="J41" s="94">
        <v>5426</v>
      </c>
      <c r="K41" s="94">
        <v>5677</v>
      </c>
      <c r="L41" s="94">
        <v>6800</v>
      </c>
      <c r="M41" s="94">
        <v>7353</v>
      </c>
      <c r="N41" s="94">
        <v>8281</v>
      </c>
      <c r="Q41" s="89" t="s">
        <v>85</v>
      </c>
      <c r="R41" s="90">
        <v>40848</v>
      </c>
      <c r="S41" s="90">
        <v>45952</v>
      </c>
      <c r="T41" s="90">
        <v>51651</v>
      </c>
      <c r="U41" s="90">
        <v>55898</v>
      </c>
      <c r="V41" s="90">
        <v>64241</v>
      </c>
      <c r="W41" s="90">
        <v>71739</v>
      </c>
      <c r="X41" s="90">
        <v>77311</v>
      </c>
      <c r="Y41" s="90">
        <v>73761</v>
      </c>
      <c r="Z41" s="90">
        <v>77196</v>
      </c>
      <c r="AA41" s="90">
        <v>85831</v>
      </c>
      <c r="AB41" s="90">
        <v>91754</v>
      </c>
      <c r="AC41" s="90">
        <v>88003</v>
      </c>
    </row>
    <row r="43" spans="2:29">
      <c r="B43" s="95" t="s">
        <v>258</v>
      </c>
      <c r="C43" s="96"/>
      <c r="D43" s="96"/>
      <c r="E43" s="96"/>
      <c r="F43" s="96"/>
      <c r="G43" s="96"/>
      <c r="H43" s="96"/>
      <c r="I43" s="96"/>
      <c r="J43" s="96"/>
      <c r="K43" s="96"/>
      <c r="L43" s="96"/>
      <c r="M43" s="96"/>
      <c r="N43" s="77"/>
    </row>
    <row r="44" spans="2:29">
      <c r="B44" s="87"/>
      <c r="C44" s="87"/>
      <c r="D44" s="87"/>
      <c r="E44" s="87"/>
      <c r="F44" s="87"/>
      <c r="G44" s="87"/>
      <c r="H44" s="87"/>
      <c r="I44" s="87"/>
      <c r="J44" s="87"/>
      <c r="K44" s="87"/>
      <c r="L44" s="87"/>
      <c r="M44" s="87"/>
    </row>
    <row r="45" spans="2:29">
      <c r="B45" s="89" t="s">
        <v>47</v>
      </c>
      <c r="C45" s="89">
        <v>660</v>
      </c>
      <c r="D45" s="89">
        <v>665</v>
      </c>
      <c r="E45" s="89">
        <v>818</v>
      </c>
      <c r="F45" s="89">
        <v>649</v>
      </c>
      <c r="G45" s="89">
        <v>516</v>
      </c>
      <c r="H45" s="90">
        <v>1062</v>
      </c>
      <c r="I45" s="90">
        <v>1214</v>
      </c>
      <c r="J45" s="90">
        <v>2007</v>
      </c>
      <c r="K45" s="90">
        <v>1016</v>
      </c>
      <c r="L45" s="90">
        <v>1419</v>
      </c>
      <c r="M45" s="90">
        <v>1387</v>
      </c>
      <c r="N45" s="90">
        <v>1363</v>
      </c>
      <c r="Q45" s="89" t="s">
        <v>47</v>
      </c>
      <c r="R45" s="90">
        <v>7344</v>
      </c>
      <c r="S45" s="90">
        <v>9843</v>
      </c>
      <c r="T45" s="90">
        <v>9799</v>
      </c>
      <c r="U45" s="90">
        <v>10627</v>
      </c>
      <c r="V45" s="90">
        <v>13169</v>
      </c>
      <c r="W45" s="90">
        <v>12583</v>
      </c>
      <c r="X45" s="90">
        <v>14690</v>
      </c>
      <c r="Y45" s="90">
        <v>12527</v>
      </c>
      <c r="Z45" s="90">
        <v>15776</v>
      </c>
      <c r="AA45" s="90">
        <v>18878</v>
      </c>
      <c r="AB45" s="90">
        <v>17179</v>
      </c>
      <c r="AC45" s="90">
        <v>17627</v>
      </c>
    </row>
    <row r="46" spans="2:29">
      <c r="B46" t="s">
        <v>232</v>
      </c>
      <c r="C46">
        <v>754</v>
      </c>
      <c r="D46">
        <v>891</v>
      </c>
      <c r="E46" s="88">
        <v>1085</v>
      </c>
      <c r="F46" s="88">
        <v>1215</v>
      </c>
      <c r="G46" s="88">
        <v>1160</v>
      </c>
      <c r="H46" s="88">
        <v>1361</v>
      </c>
      <c r="I46" s="88">
        <v>1475</v>
      </c>
      <c r="J46" s="88">
        <v>1617</v>
      </c>
      <c r="K46" s="88">
        <v>1709</v>
      </c>
      <c r="L46" s="88">
        <v>1847</v>
      </c>
      <c r="M46" s="88">
        <v>2040</v>
      </c>
      <c r="N46" s="88">
        <v>2219</v>
      </c>
      <c r="Q46" t="s">
        <v>232</v>
      </c>
      <c r="R46" s="88">
        <v>13172</v>
      </c>
      <c r="S46" s="88">
        <v>14261</v>
      </c>
      <c r="T46" s="88">
        <v>15154</v>
      </c>
      <c r="U46" s="88">
        <v>16075</v>
      </c>
      <c r="V46" s="88">
        <v>17433</v>
      </c>
      <c r="W46" s="88">
        <v>18862</v>
      </c>
      <c r="X46" s="88">
        <v>19416</v>
      </c>
      <c r="Y46" s="88">
        <v>17326</v>
      </c>
      <c r="Z46" s="88">
        <v>20857</v>
      </c>
      <c r="AA46" s="88">
        <v>26052</v>
      </c>
      <c r="AB46" s="88">
        <v>26635</v>
      </c>
      <c r="AC46" s="88">
        <v>26719</v>
      </c>
    </row>
    <row r="47" spans="2:29">
      <c r="B47" t="s">
        <v>40</v>
      </c>
      <c r="C47">
        <v>-28</v>
      </c>
      <c r="D47">
        <v>46</v>
      </c>
      <c r="E47">
        <v>-76</v>
      </c>
      <c r="F47">
        <v>5</v>
      </c>
      <c r="G47">
        <v>-93</v>
      </c>
      <c r="H47">
        <v>-177</v>
      </c>
      <c r="I47">
        <v>-22</v>
      </c>
      <c r="J47">
        <v>147</v>
      </c>
      <c r="K47">
        <v>-272</v>
      </c>
      <c r="L47">
        <v>-360</v>
      </c>
      <c r="M47">
        <v>-52</v>
      </c>
      <c r="N47">
        <v>-205</v>
      </c>
      <c r="Q47" t="s">
        <v>40</v>
      </c>
      <c r="R47" s="88">
        <v>-1546</v>
      </c>
      <c r="S47">
        <v>558</v>
      </c>
      <c r="T47">
        <v>-207</v>
      </c>
      <c r="U47">
        <v>-870</v>
      </c>
      <c r="V47">
        <v>-964</v>
      </c>
      <c r="W47">
        <v>-755</v>
      </c>
      <c r="X47" s="88">
        <v>1411</v>
      </c>
      <c r="Y47">
        <v>-66</v>
      </c>
      <c r="Z47">
        <v>-732</v>
      </c>
      <c r="AA47">
        <v>-884</v>
      </c>
      <c r="AB47">
        <v>-934</v>
      </c>
      <c r="AC47" s="88">
        <v>-1023</v>
      </c>
    </row>
    <row r="48" spans="2:29">
      <c r="B48" t="s">
        <v>41</v>
      </c>
      <c r="C48">
        <v>41</v>
      </c>
      <c r="D48">
        <v>-198</v>
      </c>
      <c r="E48">
        <v>66</v>
      </c>
      <c r="F48">
        <v>-328</v>
      </c>
      <c r="G48">
        <v>-257</v>
      </c>
      <c r="H48">
        <v>100</v>
      </c>
      <c r="I48">
        <v>31</v>
      </c>
      <c r="J48">
        <v>251</v>
      </c>
      <c r="K48">
        <v>-286</v>
      </c>
      <c r="L48">
        <v>191</v>
      </c>
      <c r="M48">
        <v>-101</v>
      </c>
      <c r="N48">
        <v>101</v>
      </c>
      <c r="Q48" t="s">
        <v>41</v>
      </c>
      <c r="R48">
        <v>-755</v>
      </c>
      <c r="S48">
        <v>-505</v>
      </c>
      <c r="T48">
        <v>-693</v>
      </c>
      <c r="U48">
        <v>593</v>
      </c>
      <c r="V48">
        <v>602</v>
      </c>
      <c r="W48">
        <v>-359</v>
      </c>
      <c r="X48">
        <v>-508</v>
      </c>
      <c r="Y48" s="88">
        <v>-1460</v>
      </c>
      <c r="Z48">
        <v>-466</v>
      </c>
      <c r="AA48" s="88">
        <v>-1098</v>
      </c>
      <c r="AB48" s="88">
        <v>-2545</v>
      </c>
      <c r="AC48" s="88">
        <v>-2975</v>
      </c>
    </row>
    <row r="49" spans="2:29">
      <c r="B49" t="s">
        <v>233</v>
      </c>
      <c r="C49">
        <v>0</v>
      </c>
      <c r="D49">
        <v>0</v>
      </c>
      <c r="E49">
        <v>106</v>
      </c>
      <c r="F49">
        <v>28</v>
      </c>
      <c r="G49">
        <v>125</v>
      </c>
      <c r="H49">
        <v>121</v>
      </c>
      <c r="I49">
        <v>10</v>
      </c>
      <c r="J49">
        <v>184</v>
      </c>
      <c r="K49">
        <v>210</v>
      </c>
      <c r="L49">
        <v>99</v>
      </c>
      <c r="M49">
        <v>106</v>
      </c>
      <c r="N49">
        <v>-218</v>
      </c>
      <c r="Q49" t="s">
        <v>233</v>
      </c>
      <c r="R49">
        <v>456</v>
      </c>
      <c r="S49">
        <v>-23</v>
      </c>
      <c r="T49">
        <v>622</v>
      </c>
      <c r="U49">
        <v>321</v>
      </c>
      <c r="V49" s="88">
        <v>2098</v>
      </c>
      <c r="W49">
        <v>639</v>
      </c>
      <c r="X49">
        <v>-607</v>
      </c>
      <c r="Y49" s="88">
        <v>1112</v>
      </c>
      <c r="Z49" s="88">
        <v>1099</v>
      </c>
      <c r="AA49" s="88">
        <v>1058</v>
      </c>
      <c r="AB49">
        <v>141</v>
      </c>
      <c r="AC49" s="88">
        <v>1256</v>
      </c>
    </row>
    <row r="50" spans="2:29">
      <c r="B50" t="s">
        <v>234</v>
      </c>
      <c r="C50">
        <v>0</v>
      </c>
      <c r="D50">
        <v>0</v>
      </c>
      <c r="E50">
        <v>-99</v>
      </c>
      <c r="F50">
        <v>0</v>
      </c>
      <c r="G50">
        <v>2</v>
      </c>
      <c r="H50">
        <v>-1</v>
      </c>
      <c r="I50">
        <v>-1</v>
      </c>
      <c r="J50">
        <v>-60</v>
      </c>
      <c r="K50">
        <v>1</v>
      </c>
      <c r="L50">
        <v>1</v>
      </c>
      <c r="M50">
        <v>9</v>
      </c>
      <c r="N50">
        <v>-3</v>
      </c>
      <c r="Q50" t="s">
        <v>234</v>
      </c>
      <c r="R50">
        <v>0</v>
      </c>
      <c r="S50">
        <v>0</v>
      </c>
      <c r="T50">
        <v>0</v>
      </c>
      <c r="U50">
        <v>0</v>
      </c>
      <c r="V50">
        <v>0</v>
      </c>
      <c r="W50">
        <v>0</v>
      </c>
      <c r="X50">
        <v>0</v>
      </c>
      <c r="Y50">
        <v>0</v>
      </c>
      <c r="Z50">
        <v>0</v>
      </c>
      <c r="AA50">
        <v>0</v>
      </c>
      <c r="AB50">
        <v>0</v>
      </c>
      <c r="AC50">
        <v>0</v>
      </c>
    </row>
    <row r="51" spans="2:29">
      <c r="B51" t="s">
        <v>235</v>
      </c>
      <c r="C51">
        <v>74</v>
      </c>
      <c r="D51">
        <v>135</v>
      </c>
      <c r="E51">
        <v>-17</v>
      </c>
      <c r="F51">
        <v>25</v>
      </c>
      <c r="G51">
        <v>-126</v>
      </c>
      <c r="H51">
        <v>-22</v>
      </c>
      <c r="I51">
        <v>11</v>
      </c>
      <c r="J51">
        <v>153</v>
      </c>
      <c r="K51">
        <v>5</v>
      </c>
      <c r="L51">
        <v>10</v>
      </c>
      <c r="M51">
        <v>-188</v>
      </c>
      <c r="N51">
        <v>32</v>
      </c>
      <c r="Q51" t="s">
        <v>235</v>
      </c>
      <c r="R51">
        <v>0</v>
      </c>
      <c r="S51">
        <v>0</v>
      </c>
      <c r="T51">
        <v>0</v>
      </c>
      <c r="U51">
        <v>0</v>
      </c>
      <c r="V51">
        <v>0</v>
      </c>
      <c r="W51">
        <v>0</v>
      </c>
      <c r="X51">
        <v>0</v>
      </c>
      <c r="Y51">
        <v>0</v>
      </c>
      <c r="Z51">
        <v>0</v>
      </c>
      <c r="AA51">
        <v>0</v>
      </c>
      <c r="AB51">
        <v>0</v>
      </c>
      <c r="AC51">
        <v>0</v>
      </c>
    </row>
    <row r="52" spans="2:29">
      <c r="B52" t="s">
        <v>236</v>
      </c>
      <c r="C52">
        <v>88</v>
      </c>
      <c r="D52">
        <v>-17</v>
      </c>
      <c r="E52">
        <v>-20</v>
      </c>
      <c r="F52">
        <v>-270</v>
      </c>
      <c r="G52">
        <v>-349</v>
      </c>
      <c r="H52">
        <v>21</v>
      </c>
      <c r="I52">
        <v>29</v>
      </c>
      <c r="J52">
        <v>675</v>
      </c>
      <c r="K52">
        <v>-342</v>
      </c>
      <c r="L52">
        <v>-59</v>
      </c>
      <c r="M52">
        <v>-226</v>
      </c>
      <c r="N52">
        <v>-293</v>
      </c>
      <c r="Q52" t="s">
        <v>236</v>
      </c>
      <c r="R52" s="88">
        <v>-1844</v>
      </c>
      <c r="S52">
        <v>31</v>
      </c>
      <c r="T52">
        <v>-277</v>
      </c>
      <c r="U52">
        <v>44</v>
      </c>
      <c r="V52" s="88">
        <v>1736</v>
      </c>
      <c r="W52">
        <v>-476</v>
      </c>
      <c r="X52">
        <v>296</v>
      </c>
      <c r="Y52">
        <v>-413</v>
      </c>
      <c r="Z52">
        <v>-100</v>
      </c>
      <c r="AA52">
        <v>-924</v>
      </c>
      <c r="AB52" s="88">
        <v>-3337</v>
      </c>
      <c r="AC52" s="88">
        <v>-2742</v>
      </c>
    </row>
    <row r="53" spans="2:29">
      <c r="B53" t="s">
        <v>237</v>
      </c>
      <c r="C53">
        <v>-181</v>
      </c>
      <c r="D53">
        <v>-210</v>
      </c>
      <c r="E53">
        <v>-247</v>
      </c>
      <c r="F53">
        <v>-296</v>
      </c>
      <c r="G53">
        <v>-295</v>
      </c>
      <c r="H53">
        <v>-320</v>
      </c>
      <c r="I53">
        <v>-290</v>
      </c>
      <c r="J53">
        <v>-285</v>
      </c>
      <c r="K53">
        <v>-351</v>
      </c>
      <c r="L53">
        <v>-369</v>
      </c>
      <c r="M53">
        <v>-378</v>
      </c>
      <c r="N53">
        <v>-484</v>
      </c>
      <c r="Q53" t="s">
        <v>237</v>
      </c>
      <c r="R53" s="88">
        <v>-3984</v>
      </c>
      <c r="S53" s="88">
        <v>-4449</v>
      </c>
      <c r="T53" s="88">
        <v>-5078</v>
      </c>
      <c r="U53" s="88">
        <v>-5492</v>
      </c>
      <c r="V53" s="88">
        <v>-6000</v>
      </c>
      <c r="W53" s="88">
        <v>-5803</v>
      </c>
      <c r="X53" s="88">
        <v>-5023</v>
      </c>
      <c r="Y53" s="88">
        <v>-4387</v>
      </c>
      <c r="Z53" s="88">
        <v>-4982</v>
      </c>
      <c r="AA53" s="88">
        <v>-6250</v>
      </c>
      <c r="AB53" s="88">
        <v>-6120</v>
      </c>
      <c r="AC53" s="88">
        <v>-6350</v>
      </c>
    </row>
    <row r="54" spans="2:29">
      <c r="B54" t="s">
        <v>238</v>
      </c>
      <c r="C54">
        <v>0</v>
      </c>
      <c r="D54">
        <v>0</v>
      </c>
      <c r="E54">
        <v>0</v>
      </c>
      <c r="F54">
        <v>0</v>
      </c>
      <c r="G54">
        <v>0</v>
      </c>
      <c r="H54">
        <v>0</v>
      </c>
      <c r="I54">
        <v>0</v>
      </c>
      <c r="J54">
        <v>0</v>
      </c>
      <c r="K54">
        <v>0</v>
      </c>
      <c r="L54">
        <v>0</v>
      </c>
      <c r="M54">
        <v>-49</v>
      </c>
      <c r="N54">
        <v>-79</v>
      </c>
      <c r="Q54" t="s">
        <v>238</v>
      </c>
      <c r="R54" s="88">
        <v>0</v>
      </c>
      <c r="S54" s="88">
        <v>0</v>
      </c>
      <c r="T54" s="88">
        <v>0</v>
      </c>
      <c r="U54" s="88">
        <v>0</v>
      </c>
      <c r="V54" s="88">
        <v>0</v>
      </c>
      <c r="W54" s="88">
        <v>0</v>
      </c>
      <c r="X54" s="88">
        <v>0</v>
      </c>
      <c r="Y54" s="88">
        <v>0</v>
      </c>
      <c r="Z54" s="88">
        <v>0</v>
      </c>
      <c r="AA54" s="88">
        <v>0</v>
      </c>
      <c r="AB54" s="88">
        <v>0</v>
      </c>
      <c r="AC54" s="88">
        <v>0</v>
      </c>
    </row>
    <row r="55" spans="2:29">
      <c r="R55" s="88"/>
      <c r="S55" s="88"/>
      <c r="T55" s="88"/>
      <c r="U55" s="88"/>
      <c r="V55" s="88"/>
      <c r="W55" s="88"/>
      <c r="X55" s="88"/>
      <c r="Y55" s="88"/>
      <c r="Z55" s="88"/>
      <c r="AA55" s="88"/>
      <c r="AB55" s="88"/>
      <c r="AC55" s="88"/>
    </row>
    <row r="56" spans="2:29">
      <c r="B56" s="89" t="s">
        <v>48</v>
      </c>
      <c r="C56" s="89">
        <v>-202</v>
      </c>
      <c r="D56" s="89">
        <v>-186</v>
      </c>
      <c r="E56" s="89">
        <v>-203</v>
      </c>
      <c r="F56" s="89">
        <v>-125</v>
      </c>
      <c r="G56" s="89">
        <v>59</v>
      </c>
      <c r="H56" s="89">
        <v>-367</v>
      </c>
      <c r="I56" s="89">
        <v>-22</v>
      </c>
      <c r="J56" s="89">
        <v>-933</v>
      </c>
      <c r="K56" s="89">
        <v>441</v>
      </c>
      <c r="L56" s="89">
        <v>-928</v>
      </c>
      <c r="M56" s="89">
        <v>176</v>
      </c>
      <c r="N56" s="89">
        <v>-621</v>
      </c>
      <c r="Q56" s="89" t="s">
        <v>48</v>
      </c>
      <c r="R56" s="90">
        <v>-3254</v>
      </c>
      <c r="S56" s="90">
        <v>-5275</v>
      </c>
      <c r="T56" s="90">
        <v>-3921</v>
      </c>
      <c r="U56" s="90">
        <v>-3251</v>
      </c>
      <c r="V56" s="90">
        <v>-7114</v>
      </c>
      <c r="W56" s="90">
        <v>-5546</v>
      </c>
      <c r="X56" s="90">
        <v>-6174</v>
      </c>
      <c r="Y56" s="90">
        <v>5740</v>
      </c>
      <c r="Z56" s="90">
        <v>-2238</v>
      </c>
      <c r="AA56" s="90">
        <v>-5732</v>
      </c>
      <c r="AB56" s="90">
        <v>1563</v>
      </c>
      <c r="AC56" s="89">
        <v>-564</v>
      </c>
    </row>
    <row r="57" spans="2:29">
      <c r="B57" t="s">
        <v>239</v>
      </c>
      <c r="C57">
        <v>-77</v>
      </c>
      <c r="D57">
        <v>-59</v>
      </c>
      <c r="E57">
        <v>-101</v>
      </c>
      <c r="F57">
        <v>-87</v>
      </c>
      <c r="G57">
        <v>-133</v>
      </c>
      <c r="H57">
        <v>-162</v>
      </c>
      <c r="I57">
        <v>-188</v>
      </c>
      <c r="J57">
        <v>-142</v>
      </c>
      <c r="K57">
        <v>-132</v>
      </c>
      <c r="L57">
        <v>-182</v>
      </c>
      <c r="M57">
        <v>-153</v>
      </c>
      <c r="N57">
        <v>-161</v>
      </c>
      <c r="Q57" t="s">
        <v>239</v>
      </c>
      <c r="R57" s="88">
        <v>-2887</v>
      </c>
      <c r="S57" s="88">
        <v>-3300</v>
      </c>
      <c r="T57" s="88">
        <v>-2348</v>
      </c>
      <c r="U57" s="88">
        <v>-3122</v>
      </c>
      <c r="V57" s="88">
        <v>-2878</v>
      </c>
      <c r="W57" s="88">
        <v>-3169</v>
      </c>
      <c r="X57" s="88">
        <v>-2441</v>
      </c>
      <c r="Y57" s="88">
        <v>-1837</v>
      </c>
      <c r="Z57" s="88">
        <v>-2142</v>
      </c>
      <c r="AA57" s="88">
        <v>-2743</v>
      </c>
      <c r="AB57" s="88">
        <v>-3563</v>
      </c>
      <c r="AC57" s="88">
        <v>-2279</v>
      </c>
    </row>
    <row r="58" spans="2:29">
      <c r="B58" t="s">
        <v>240</v>
      </c>
      <c r="C58">
        <v>5</v>
      </c>
      <c r="D58">
        <v>1</v>
      </c>
      <c r="E58">
        <v>14</v>
      </c>
      <c r="F58">
        <v>6</v>
      </c>
      <c r="G58">
        <v>5</v>
      </c>
      <c r="H58">
        <v>19</v>
      </c>
      <c r="I58">
        <v>8</v>
      </c>
      <c r="J58">
        <v>5</v>
      </c>
      <c r="K58">
        <v>0</v>
      </c>
      <c r="L58">
        <v>0</v>
      </c>
      <c r="M58">
        <v>0</v>
      </c>
      <c r="N58">
        <v>0</v>
      </c>
      <c r="Q58" t="s">
        <v>240</v>
      </c>
      <c r="R58">
        <v>38</v>
      </c>
      <c r="S58">
        <v>9</v>
      </c>
      <c r="T58">
        <v>8</v>
      </c>
      <c r="U58">
        <v>50</v>
      </c>
      <c r="V58">
        <v>80</v>
      </c>
      <c r="W58">
        <v>28</v>
      </c>
      <c r="X58">
        <v>27</v>
      </c>
      <c r="Y58">
        <v>3</v>
      </c>
      <c r="Z58">
        <v>133</v>
      </c>
      <c r="AA58">
        <v>49</v>
      </c>
      <c r="AB58">
        <v>107</v>
      </c>
      <c r="AC58">
        <v>175</v>
      </c>
    </row>
    <row r="59" spans="2:29">
      <c r="B59" t="s">
        <v>241</v>
      </c>
      <c r="C59">
        <v>-197</v>
      </c>
      <c r="D59">
        <v>0</v>
      </c>
      <c r="E59">
        <v>-118</v>
      </c>
      <c r="F59">
        <v>0</v>
      </c>
      <c r="G59">
        <v>0</v>
      </c>
      <c r="H59">
        <v>0</v>
      </c>
      <c r="I59">
        <v>-189</v>
      </c>
      <c r="J59">
        <v>0</v>
      </c>
      <c r="K59">
        <v>-146</v>
      </c>
      <c r="L59">
        <v>-130</v>
      </c>
      <c r="M59">
        <v>0</v>
      </c>
      <c r="N59">
        <v>-972</v>
      </c>
      <c r="Q59" t="s">
        <v>241</v>
      </c>
      <c r="R59" s="88">
        <v>-94242</v>
      </c>
      <c r="S59" s="88">
        <v>-98742</v>
      </c>
      <c r="T59" s="88">
        <v>-154081</v>
      </c>
      <c r="U59" s="88">
        <v>-85683</v>
      </c>
      <c r="V59" s="88">
        <v>-98330</v>
      </c>
      <c r="W59" s="88">
        <v>-94187</v>
      </c>
      <c r="X59" s="88">
        <v>-79835</v>
      </c>
      <c r="Y59" s="88">
        <v>-57553</v>
      </c>
      <c r="Z59" s="88">
        <v>-69776</v>
      </c>
      <c r="AA59" s="88">
        <v>-80932</v>
      </c>
      <c r="AB59" s="88">
        <v>-75107</v>
      </c>
      <c r="AC59" s="88">
        <v>-66373</v>
      </c>
    </row>
    <row r="60" spans="2:29">
      <c r="B60" t="s">
        <v>242</v>
      </c>
      <c r="C60">
        <v>0</v>
      </c>
      <c r="D60">
        <v>41</v>
      </c>
      <c r="E60">
        <v>0</v>
      </c>
      <c r="F60">
        <v>1</v>
      </c>
      <c r="G60">
        <v>70</v>
      </c>
      <c r="H60">
        <v>103</v>
      </c>
      <c r="I60">
        <v>0</v>
      </c>
      <c r="J60">
        <v>164</v>
      </c>
      <c r="K60">
        <v>3</v>
      </c>
      <c r="L60">
        <v>25</v>
      </c>
      <c r="M60">
        <v>398</v>
      </c>
      <c r="N60">
        <v>99</v>
      </c>
      <c r="Q60" t="s">
        <v>242</v>
      </c>
      <c r="R60" s="88">
        <v>93293</v>
      </c>
      <c r="S60" s="88">
        <v>99658</v>
      </c>
      <c r="T60" s="88">
        <v>150651</v>
      </c>
      <c r="U60" s="88">
        <v>81034</v>
      </c>
      <c r="V60" s="88">
        <v>95017</v>
      </c>
      <c r="W60" s="88">
        <v>92454</v>
      </c>
      <c r="X60" s="88">
        <v>75835</v>
      </c>
      <c r="Y60" s="88">
        <v>62797</v>
      </c>
      <c r="Z60" s="88">
        <v>70992</v>
      </c>
      <c r="AA60" s="88">
        <v>77230</v>
      </c>
      <c r="AB60" s="88">
        <v>77830</v>
      </c>
      <c r="AC60" s="88">
        <v>67311</v>
      </c>
    </row>
    <row r="61" spans="2:29">
      <c r="B61" t="s">
        <v>243</v>
      </c>
      <c r="C61">
        <v>35</v>
      </c>
      <c r="D61">
        <v>22</v>
      </c>
      <c r="E61">
        <v>32</v>
      </c>
      <c r="F61">
        <v>34</v>
      </c>
      <c r="G61">
        <v>35</v>
      </c>
      <c r="H61">
        <v>49</v>
      </c>
      <c r="I61">
        <v>72</v>
      </c>
      <c r="J61">
        <v>52</v>
      </c>
      <c r="K61">
        <v>57</v>
      </c>
      <c r="L61">
        <v>48</v>
      </c>
      <c r="M61">
        <v>66</v>
      </c>
      <c r="N61">
        <v>70</v>
      </c>
      <c r="Q61" t="s">
        <v>243</v>
      </c>
      <c r="R61">
        <v>374</v>
      </c>
      <c r="S61">
        <v>559</v>
      </c>
      <c r="T61">
        <v>741</v>
      </c>
      <c r="U61">
        <v>756</v>
      </c>
      <c r="V61">
        <v>736</v>
      </c>
      <c r="W61" s="88">
        <v>1184</v>
      </c>
      <c r="X61" s="88">
        <v>1513</v>
      </c>
      <c r="Y61" s="88">
        <v>1275</v>
      </c>
      <c r="Z61" s="88">
        <v>1035</v>
      </c>
      <c r="AA61" s="88">
        <v>1324</v>
      </c>
      <c r="AB61" s="88">
        <v>1138</v>
      </c>
      <c r="AC61" s="88">
        <v>1072</v>
      </c>
    </row>
    <row r="62" spans="2:29">
      <c r="B62" t="s">
        <v>244</v>
      </c>
      <c r="C62">
        <v>6</v>
      </c>
      <c r="D62">
        <v>12</v>
      </c>
      <c r="E62">
        <v>26</v>
      </c>
      <c r="F62">
        <v>0</v>
      </c>
      <c r="G62">
        <v>0</v>
      </c>
      <c r="H62">
        <v>0</v>
      </c>
      <c r="I62">
        <v>0</v>
      </c>
      <c r="J62">
        <v>0</v>
      </c>
      <c r="K62">
        <v>0</v>
      </c>
      <c r="L62">
        <v>0</v>
      </c>
      <c r="M62">
        <v>0</v>
      </c>
      <c r="N62">
        <v>0</v>
      </c>
      <c r="Q62" t="s">
        <v>244</v>
      </c>
      <c r="R62">
        <v>192</v>
      </c>
      <c r="S62">
        <v>268</v>
      </c>
      <c r="T62">
        <v>64</v>
      </c>
      <c r="U62">
        <v>4</v>
      </c>
      <c r="V62">
        <v>13</v>
      </c>
      <c r="W62">
        <v>13</v>
      </c>
      <c r="X62">
        <v>17</v>
      </c>
      <c r="Y62">
        <v>7</v>
      </c>
      <c r="Z62">
        <v>16</v>
      </c>
      <c r="AA62">
        <v>19</v>
      </c>
      <c r="AB62">
        <v>36</v>
      </c>
      <c r="AC62">
        <v>38</v>
      </c>
    </row>
    <row r="63" spans="2:29">
      <c r="B63" t="s">
        <v>245</v>
      </c>
      <c r="C63">
        <v>0</v>
      </c>
      <c r="D63">
        <v>0</v>
      </c>
      <c r="E63">
        <v>-1</v>
      </c>
      <c r="F63">
        <v>-17</v>
      </c>
      <c r="G63">
        <v>-4</v>
      </c>
      <c r="H63">
        <v>-6</v>
      </c>
      <c r="I63">
        <v>-3</v>
      </c>
      <c r="J63">
        <v>0</v>
      </c>
      <c r="K63">
        <v>0</v>
      </c>
      <c r="L63">
        <v>0</v>
      </c>
      <c r="M63">
        <v>0</v>
      </c>
      <c r="N63">
        <v>0</v>
      </c>
      <c r="Q63" t="s">
        <v>8751</v>
      </c>
      <c r="R63">
        <v>0</v>
      </c>
      <c r="S63">
        <v>0</v>
      </c>
      <c r="T63">
        <v>-8</v>
      </c>
      <c r="U63">
        <v>0</v>
      </c>
      <c r="V63">
        <v>0</v>
      </c>
      <c r="W63">
        <v>0</v>
      </c>
      <c r="X63">
        <v>0</v>
      </c>
      <c r="Y63">
        <v>-2</v>
      </c>
      <c r="Z63">
        <v>-2</v>
      </c>
      <c r="AA63">
        <v>-2</v>
      </c>
      <c r="AB63">
        <v>-65</v>
      </c>
      <c r="AC63">
        <v>-30</v>
      </c>
    </row>
    <row r="64" spans="2:29">
      <c r="B64" t="s">
        <v>246</v>
      </c>
      <c r="C64">
        <v>0</v>
      </c>
      <c r="D64">
        <v>0</v>
      </c>
      <c r="E64">
        <v>0</v>
      </c>
      <c r="F64">
        <v>0</v>
      </c>
      <c r="G64">
        <v>0</v>
      </c>
      <c r="H64">
        <v>0</v>
      </c>
      <c r="I64">
        <v>0</v>
      </c>
      <c r="J64">
        <v>1</v>
      </c>
      <c r="K64">
        <v>0</v>
      </c>
      <c r="L64">
        <v>0</v>
      </c>
      <c r="M64">
        <v>0</v>
      </c>
      <c r="N64">
        <v>0</v>
      </c>
      <c r="Q64" t="s">
        <v>246</v>
      </c>
      <c r="R64">
        <v>0</v>
      </c>
      <c r="S64">
        <v>0</v>
      </c>
      <c r="T64">
        <v>0</v>
      </c>
      <c r="U64">
        <v>129</v>
      </c>
      <c r="V64">
        <v>18</v>
      </c>
      <c r="W64">
        <v>18</v>
      </c>
      <c r="X64">
        <v>0</v>
      </c>
      <c r="Y64">
        <v>0</v>
      </c>
      <c r="Z64">
        <v>0</v>
      </c>
      <c r="AA64">
        <v>56</v>
      </c>
      <c r="AB64">
        <v>0</v>
      </c>
      <c r="AC64">
        <v>0</v>
      </c>
    </row>
    <row r="65" spans="2:29">
      <c r="B65" t="s">
        <v>247</v>
      </c>
      <c r="C65">
        <v>0</v>
      </c>
      <c r="D65">
        <v>0</v>
      </c>
      <c r="E65">
        <v>0</v>
      </c>
      <c r="F65">
        <v>0</v>
      </c>
      <c r="G65">
        <v>0</v>
      </c>
      <c r="H65">
        <v>0</v>
      </c>
      <c r="I65">
        <v>0</v>
      </c>
      <c r="J65">
        <v>0</v>
      </c>
      <c r="K65">
        <v>-55</v>
      </c>
      <c r="L65">
        <v>-277</v>
      </c>
      <c r="M65">
        <v>-103</v>
      </c>
      <c r="N65">
        <v>0</v>
      </c>
      <c r="Q65" t="s">
        <v>247</v>
      </c>
      <c r="R65">
        <v>0</v>
      </c>
      <c r="S65">
        <v>0</v>
      </c>
      <c r="T65">
        <v>0</v>
      </c>
      <c r="U65">
        <v>0</v>
      </c>
      <c r="V65">
        <v>0</v>
      </c>
      <c r="W65">
        <v>0</v>
      </c>
      <c r="X65">
        <v>0</v>
      </c>
      <c r="Y65">
        <v>0</v>
      </c>
      <c r="Z65">
        <v>0</v>
      </c>
      <c r="AA65">
        <v>0</v>
      </c>
      <c r="AB65">
        <v>0</v>
      </c>
      <c r="AC65">
        <v>0</v>
      </c>
    </row>
    <row r="66" spans="2:29">
      <c r="B66" t="s">
        <v>248</v>
      </c>
      <c r="C66">
        <v>0</v>
      </c>
      <c r="D66">
        <v>0</v>
      </c>
      <c r="E66">
        <v>-55</v>
      </c>
      <c r="F66">
        <v>-29</v>
      </c>
      <c r="G66">
        <v>0</v>
      </c>
      <c r="H66">
        <v>20</v>
      </c>
      <c r="I66">
        <v>44</v>
      </c>
      <c r="J66">
        <v>-295</v>
      </c>
      <c r="K66">
        <v>0</v>
      </c>
      <c r="L66">
        <v>-90</v>
      </c>
      <c r="M66">
        <v>200</v>
      </c>
      <c r="N66">
        <v>0</v>
      </c>
      <c r="Q66" t="s">
        <v>248</v>
      </c>
      <c r="R66">
        <v>0</v>
      </c>
      <c r="S66">
        <v>0</v>
      </c>
      <c r="T66">
        <v>0</v>
      </c>
      <c r="U66">
        <v>0</v>
      </c>
      <c r="V66">
        <v>0</v>
      </c>
      <c r="W66">
        <v>0</v>
      </c>
      <c r="X66">
        <v>0</v>
      </c>
      <c r="Y66">
        <v>0</v>
      </c>
      <c r="Z66">
        <v>0</v>
      </c>
      <c r="AA66">
        <v>0</v>
      </c>
      <c r="AB66">
        <v>0</v>
      </c>
      <c r="AC66">
        <v>0</v>
      </c>
    </row>
    <row r="67" spans="2:29">
      <c r="B67" t="s">
        <v>249</v>
      </c>
      <c r="C67">
        <v>27</v>
      </c>
      <c r="D67">
        <v>-203</v>
      </c>
      <c r="E67">
        <v>1</v>
      </c>
      <c r="F67">
        <v>-34</v>
      </c>
      <c r="G67">
        <v>86</v>
      </c>
      <c r="H67">
        <v>-390</v>
      </c>
      <c r="I67">
        <v>234</v>
      </c>
      <c r="J67">
        <v>-718</v>
      </c>
      <c r="K67">
        <v>714</v>
      </c>
      <c r="L67">
        <v>-322</v>
      </c>
      <c r="M67">
        <v>-232</v>
      </c>
      <c r="N67">
        <v>343</v>
      </c>
      <c r="Q67" t="s">
        <v>249</v>
      </c>
      <c r="R67">
        <v>-21</v>
      </c>
      <c r="S67" s="88">
        <v>-3728</v>
      </c>
      <c r="T67" s="88">
        <v>1052</v>
      </c>
      <c r="U67" s="88">
        <v>3579</v>
      </c>
      <c r="V67" s="88">
        <v>-1769</v>
      </c>
      <c r="W67" s="88">
        <v>-1887</v>
      </c>
      <c r="X67" s="88">
        <v>-1290</v>
      </c>
      <c r="Y67" s="88">
        <v>1051</v>
      </c>
      <c r="Z67" s="88">
        <v>-2494</v>
      </c>
      <c r="AA67">
        <v>-733</v>
      </c>
      <c r="AB67" s="88">
        <v>1187</v>
      </c>
      <c r="AC67">
        <v>-478</v>
      </c>
    </row>
    <row r="68" spans="2:29">
      <c r="S68" s="88"/>
      <c r="T68" s="88"/>
      <c r="U68" s="88"/>
      <c r="V68" s="88"/>
      <c r="W68" s="88"/>
      <c r="X68" s="88"/>
      <c r="Y68" s="88"/>
      <c r="Z68" s="88"/>
      <c r="AB68" s="88"/>
    </row>
    <row r="69" spans="2:29">
      <c r="B69" s="89" t="s">
        <v>49</v>
      </c>
      <c r="C69" s="89">
        <v>-339</v>
      </c>
      <c r="D69" s="89">
        <v>-625</v>
      </c>
      <c r="E69" s="89">
        <v>-601</v>
      </c>
      <c r="F69" s="89">
        <v>-574</v>
      </c>
      <c r="G69" s="89">
        <v>-567</v>
      </c>
      <c r="H69" s="89">
        <v>-698</v>
      </c>
      <c r="I69" s="90">
        <v>-1147</v>
      </c>
      <c r="J69" s="90">
        <v>-1058</v>
      </c>
      <c r="K69" s="90">
        <v>-1290</v>
      </c>
      <c r="L69" s="89">
        <v>-560</v>
      </c>
      <c r="M69" s="90">
        <v>-1542</v>
      </c>
      <c r="N69" s="89">
        <v>-649</v>
      </c>
      <c r="Q69" s="89" t="s">
        <v>49</v>
      </c>
      <c r="R69" s="90">
        <v>-4122</v>
      </c>
      <c r="S69" s="90">
        <v>-4661</v>
      </c>
      <c r="T69" s="90">
        <v>-5613</v>
      </c>
      <c r="U69" s="90">
        <v>-7301</v>
      </c>
      <c r="V69" s="90">
        <v>-6221</v>
      </c>
      <c r="W69" s="90">
        <v>-6869</v>
      </c>
      <c r="X69" s="90">
        <v>-8181</v>
      </c>
      <c r="Y69" s="90">
        <v>-18634</v>
      </c>
      <c r="Z69" s="90">
        <v>-13580</v>
      </c>
      <c r="AA69" s="90">
        <v>-13006</v>
      </c>
      <c r="AB69" s="90">
        <v>-18551</v>
      </c>
      <c r="AC69" s="90">
        <v>-17037</v>
      </c>
    </row>
    <row r="70" spans="2:29">
      <c r="B70" t="s">
        <v>250</v>
      </c>
      <c r="C70">
        <v>0</v>
      </c>
      <c r="D70">
        <v>1</v>
      </c>
      <c r="E70">
        <v>0</v>
      </c>
      <c r="F70">
        <v>0</v>
      </c>
      <c r="G70">
        <v>0</v>
      </c>
      <c r="H70">
        <v>0</v>
      </c>
      <c r="I70">
        <v>0</v>
      </c>
      <c r="J70">
        <v>6</v>
      </c>
      <c r="K70">
        <v>41</v>
      </c>
      <c r="L70">
        <v>9</v>
      </c>
      <c r="M70">
        <v>34</v>
      </c>
      <c r="N70">
        <v>46</v>
      </c>
      <c r="Q70" t="s">
        <v>250</v>
      </c>
      <c r="R70">
        <v>691</v>
      </c>
      <c r="S70">
        <v>979</v>
      </c>
      <c r="T70">
        <v>532</v>
      </c>
      <c r="U70" s="88">
        <v>1067</v>
      </c>
      <c r="V70">
        <v>913</v>
      </c>
      <c r="W70">
        <v>969</v>
      </c>
      <c r="X70">
        <v>625</v>
      </c>
      <c r="Y70">
        <v>291</v>
      </c>
      <c r="Z70">
        <v>292</v>
      </c>
      <c r="AA70" s="88">
        <v>2477</v>
      </c>
      <c r="AB70" s="88">
        <v>1443</v>
      </c>
      <c r="AC70">
        <v>797</v>
      </c>
    </row>
    <row r="71" spans="2:29">
      <c r="B71" t="s">
        <v>251</v>
      </c>
      <c r="C71">
        <v>-50</v>
      </c>
      <c r="D71">
        <v>-44</v>
      </c>
      <c r="E71">
        <v>0</v>
      </c>
      <c r="F71">
        <v>0</v>
      </c>
      <c r="G71">
        <v>0</v>
      </c>
      <c r="H71">
        <v>0</v>
      </c>
      <c r="I71">
        <v>0</v>
      </c>
      <c r="J71">
        <v>0</v>
      </c>
      <c r="K71">
        <v>0</v>
      </c>
      <c r="L71">
        <v>0</v>
      </c>
      <c r="M71">
        <v>0</v>
      </c>
      <c r="N71">
        <v>0</v>
      </c>
      <c r="Q71" t="s">
        <v>251</v>
      </c>
      <c r="R71">
        <v>0</v>
      </c>
      <c r="S71">
        <v>0</v>
      </c>
      <c r="T71">
        <v>0</v>
      </c>
      <c r="U71">
        <v>0</v>
      </c>
      <c r="V71">
        <v>0</v>
      </c>
      <c r="W71">
        <v>0</v>
      </c>
      <c r="X71">
        <v>0</v>
      </c>
      <c r="Y71">
        <v>0</v>
      </c>
      <c r="Z71">
        <v>0</v>
      </c>
      <c r="AA71">
        <v>0</v>
      </c>
      <c r="AB71">
        <v>0</v>
      </c>
      <c r="AC71">
        <v>0</v>
      </c>
    </row>
    <row r="72" spans="2:29">
      <c r="B72" t="s">
        <v>252</v>
      </c>
      <c r="C72">
        <v>0</v>
      </c>
      <c r="D72">
        <v>0</v>
      </c>
      <c r="E72">
        <v>0</v>
      </c>
      <c r="F72">
        <v>0</v>
      </c>
      <c r="G72">
        <v>0</v>
      </c>
      <c r="H72">
        <v>40</v>
      </c>
      <c r="I72">
        <v>0</v>
      </c>
      <c r="J72">
        <v>13</v>
      </c>
      <c r="K72">
        <v>0</v>
      </c>
      <c r="L72">
        <v>132</v>
      </c>
      <c r="M72">
        <v>2</v>
      </c>
      <c r="N72">
        <v>0</v>
      </c>
      <c r="Q72" t="s">
        <v>252</v>
      </c>
      <c r="R72">
        <v>156</v>
      </c>
      <c r="S72">
        <v>7</v>
      </c>
      <c r="T72">
        <v>0</v>
      </c>
      <c r="U72">
        <v>0</v>
      </c>
      <c r="V72">
        <v>11</v>
      </c>
      <c r="W72">
        <v>0</v>
      </c>
      <c r="X72">
        <v>0</v>
      </c>
      <c r="Y72">
        <v>0</v>
      </c>
      <c r="Z72">
        <v>0</v>
      </c>
      <c r="AA72">
        <v>0</v>
      </c>
      <c r="AB72">
        <v>8</v>
      </c>
      <c r="AC72">
        <v>90</v>
      </c>
    </row>
    <row r="73" spans="2:29">
      <c r="B73" t="s">
        <v>253</v>
      </c>
      <c r="C73">
        <v>0</v>
      </c>
      <c r="D73">
        <v>0</v>
      </c>
      <c r="E73">
        <v>0</v>
      </c>
      <c r="F73">
        <v>0</v>
      </c>
      <c r="G73">
        <v>0</v>
      </c>
      <c r="H73">
        <v>0</v>
      </c>
      <c r="I73">
        <v>-15</v>
      </c>
      <c r="J73">
        <v>0</v>
      </c>
      <c r="K73">
        <v>-11</v>
      </c>
      <c r="L73">
        <v>0</v>
      </c>
      <c r="M73">
        <v>-91</v>
      </c>
      <c r="N73">
        <v>-17</v>
      </c>
      <c r="Q73" t="s">
        <v>253</v>
      </c>
      <c r="R73">
        <v>-15</v>
      </c>
      <c r="S73">
        <v>-20</v>
      </c>
      <c r="T73">
        <v>-13</v>
      </c>
      <c r="U73">
        <v>-13</v>
      </c>
      <c r="V73">
        <v>-8</v>
      </c>
      <c r="W73">
        <v>-18</v>
      </c>
      <c r="X73">
        <v>-3</v>
      </c>
      <c r="Y73">
        <v>-2</v>
      </c>
      <c r="Z73">
        <v>-1</v>
      </c>
      <c r="AA73">
        <v>-1</v>
      </c>
      <c r="AB73">
        <v>-2</v>
      </c>
      <c r="AC73">
        <v>-54</v>
      </c>
    </row>
    <row r="74" spans="2:29">
      <c r="B74" t="s">
        <v>254</v>
      </c>
      <c r="C74">
        <v>-35</v>
      </c>
      <c r="D74">
        <v>-23</v>
      </c>
      <c r="E74">
        <v>-21</v>
      </c>
      <c r="F74">
        <v>-17</v>
      </c>
      <c r="G74">
        <v>-16</v>
      </c>
      <c r="H74">
        <v>-39</v>
      </c>
      <c r="I74">
        <v>-50</v>
      </c>
      <c r="J74">
        <v>-34</v>
      </c>
      <c r="K74">
        <v>-39</v>
      </c>
      <c r="L74">
        <v>-53</v>
      </c>
      <c r="M74">
        <v>-65</v>
      </c>
      <c r="N74">
        <v>-65</v>
      </c>
      <c r="Q74" t="s">
        <v>254</v>
      </c>
      <c r="R74">
        <v>-48</v>
      </c>
      <c r="S74">
        <v>-16</v>
      </c>
      <c r="T74">
        <v>-28</v>
      </c>
      <c r="U74">
        <v>-25</v>
      </c>
      <c r="V74">
        <v>-49</v>
      </c>
      <c r="W74">
        <v>-98</v>
      </c>
      <c r="X74">
        <v>-44</v>
      </c>
      <c r="Y74">
        <v>-41</v>
      </c>
      <c r="Z74">
        <v>-40</v>
      </c>
      <c r="AA74">
        <v>-41</v>
      </c>
      <c r="AB74">
        <v>-46</v>
      </c>
      <c r="AC74">
        <v>-50</v>
      </c>
    </row>
    <row r="75" spans="2:29">
      <c r="B75" t="s">
        <v>255</v>
      </c>
      <c r="C75">
        <v>-142</v>
      </c>
      <c r="D75">
        <v>-300</v>
      </c>
      <c r="E75">
        <v>-502</v>
      </c>
      <c r="F75">
        <v>-509</v>
      </c>
      <c r="G75">
        <v>-636</v>
      </c>
      <c r="H75">
        <v>-682</v>
      </c>
      <c r="I75" s="88">
        <v>-1026</v>
      </c>
      <c r="J75">
        <v>-990</v>
      </c>
      <c r="K75" s="88">
        <v>-1217</v>
      </c>
      <c r="L75">
        <v>-607</v>
      </c>
      <c r="M75" s="88">
        <v>-1229</v>
      </c>
      <c r="N75">
        <v>-500</v>
      </c>
      <c r="Q75" t="s">
        <v>255</v>
      </c>
      <c r="R75" s="88">
        <v>-4239</v>
      </c>
      <c r="S75" s="88">
        <v>-4876</v>
      </c>
      <c r="T75" s="88">
        <v>-5133</v>
      </c>
      <c r="U75" s="88">
        <v>-6994</v>
      </c>
      <c r="V75" s="88">
        <v>-5952</v>
      </c>
      <c r="W75" s="88">
        <v>-6519</v>
      </c>
      <c r="X75" s="88">
        <v>-7302</v>
      </c>
      <c r="Y75" s="88">
        <v>-18881</v>
      </c>
      <c r="Z75" s="88">
        <v>-13788</v>
      </c>
      <c r="AA75" s="88">
        <v>-15418</v>
      </c>
      <c r="AB75" s="88">
        <v>-19899</v>
      </c>
      <c r="AC75" s="88">
        <v>-17782</v>
      </c>
    </row>
    <row r="76" spans="2:29">
      <c r="B76" t="s">
        <v>256</v>
      </c>
      <c r="C76">
        <v>0</v>
      </c>
      <c r="D76">
        <v>0</v>
      </c>
      <c r="E76">
        <v>0</v>
      </c>
      <c r="F76">
        <v>0</v>
      </c>
      <c r="G76">
        <v>0</v>
      </c>
      <c r="H76">
        <v>-29</v>
      </c>
      <c r="I76">
        <v>-38</v>
      </c>
      <c r="J76">
        <v>-44</v>
      </c>
      <c r="K76">
        <v>-64</v>
      </c>
      <c r="L76">
        <v>-41</v>
      </c>
      <c r="M76">
        <v>-52</v>
      </c>
      <c r="N76">
        <v>-43</v>
      </c>
      <c r="Q76" t="s">
        <v>256</v>
      </c>
      <c r="R76">
        <v>0</v>
      </c>
      <c r="S76">
        <v>0</v>
      </c>
      <c r="T76">
        <v>0</v>
      </c>
      <c r="U76">
        <v>0</v>
      </c>
      <c r="V76">
        <v>0</v>
      </c>
      <c r="W76">
        <v>0</v>
      </c>
      <c r="X76">
        <v>-49</v>
      </c>
      <c r="Y76">
        <v>-55</v>
      </c>
      <c r="Z76">
        <v>-59</v>
      </c>
      <c r="AA76">
        <v>-59</v>
      </c>
      <c r="AB76">
        <v>-67</v>
      </c>
      <c r="AC76">
        <v>-66</v>
      </c>
    </row>
    <row r="77" spans="2:29">
      <c r="B77" t="s">
        <v>257</v>
      </c>
      <c r="C77">
        <v>-113</v>
      </c>
      <c r="D77">
        <v>-259</v>
      </c>
      <c r="E77">
        <v>-78</v>
      </c>
      <c r="F77">
        <v>-48</v>
      </c>
      <c r="G77">
        <v>85</v>
      </c>
      <c r="H77">
        <v>12</v>
      </c>
      <c r="I77">
        <v>-18</v>
      </c>
      <c r="J77">
        <v>-9</v>
      </c>
      <c r="K77">
        <v>0</v>
      </c>
      <c r="L77">
        <v>0</v>
      </c>
      <c r="M77">
        <v>-141</v>
      </c>
      <c r="N77">
        <v>-70</v>
      </c>
      <c r="Q77" t="s">
        <v>257</v>
      </c>
      <c r="R77">
        <v>-667</v>
      </c>
      <c r="S77">
        <v>-734</v>
      </c>
      <c r="T77">
        <v>-971</v>
      </c>
      <c r="U77" s="88">
        <v>-1335</v>
      </c>
      <c r="V77" s="88">
        <v>-1136</v>
      </c>
      <c r="W77" s="88">
        <v>-1203</v>
      </c>
      <c r="X77" s="88">
        <v>-1409</v>
      </c>
      <c r="Y77">
        <v>55</v>
      </c>
      <c r="Z77">
        <v>15</v>
      </c>
      <c r="AA77">
        <v>35</v>
      </c>
      <c r="AB77">
        <v>12</v>
      </c>
      <c r="AC77">
        <v>28</v>
      </c>
    </row>
    <row r="78" spans="2:29">
      <c r="U78" s="88"/>
      <c r="V78" s="88"/>
      <c r="W78" s="88"/>
      <c r="X78" s="88"/>
    </row>
    <row r="79" spans="2:29">
      <c r="B79" s="93" t="s">
        <v>50</v>
      </c>
      <c r="C79" s="93">
        <v>119</v>
      </c>
      <c r="D79" s="93">
        <v>-147</v>
      </c>
      <c r="E79" s="93">
        <v>14</v>
      </c>
      <c r="F79" s="93">
        <v>-51</v>
      </c>
      <c r="G79" s="93">
        <v>8</v>
      </c>
      <c r="H79" s="93">
        <v>-3</v>
      </c>
      <c r="I79" s="93">
        <v>45</v>
      </c>
      <c r="J79" s="93">
        <v>16</v>
      </c>
      <c r="K79" s="93">
        <v>167</v>
      </c>
      <c r="L79" s="93">
        <v>-69</v>
      </c>
      <c r="M79" s="93">
        <v>21</v>
      </c>
      <c r="N79" s="93">
        <v>93</v>
      </c>
      <c r="Q79" s="93" t="s">
        <v>50</v>
      </c>
      <c r="R79" s="93">
        <v>-32</v>
      </c>
      <c r="S79" s="93">
        <v>-93</v>
      </c>
      <c r="T79" s="93">
        <v>266</v>
      </c>
      <c r="U79" s="93">
        <v>75</v>
      </c>
      <c r="V79" s="93">
        <v>-166</v>
      </c>
      <c r="W79" s="93">
        <v>169</v>
      </c>
      <c r="X79" s="93">
        <v>334</v>
      </c>
      <c r="Y79" s="93">
        <v>-367</v>
      </c>
      <c r="Z79" s="93">
        <v>-43</v>
      </c>
      <c r="AA79" s="93">
        <v>139</v>
      </c>
      <c r="AB79" s="93">
        <v>191</v>
      </c>
      <c r="AC79" s="93">
        <v>26</v>
      </c>
    </row>
  </sheetData>
  <sheetProtection sheet="1" objects="1" scenarios="1"/>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D5442"/>
  <sheetViews>
    <sheetView workbookViewId="0"/>
  </sheetViews>
  <sheetFormatPr defaultRowHeight="15"/>
  <cols>
    <col min="1" max="1" width="59.7109375" style="226" bestFit="1" customWidth="1"/>
    <col min="2" max="2" width="10" style="226" bestFit="1" customWidth="1"/>
    <col min="3" max="3" width="14.5703125" style="226" bestFit="1" customWidth="1"/>
    <col min="4" max="4" width="28.140625" style="226" bestFit="1" customWidth="1"/>
    <col min="5" max="6" width="9.140625" style="226"/>
    <col min="7" max="7" width="49.85546875" style="226" bestFit="1" customWidth="1"/>
    <col min="8" max="8" width="7" style="226" bestFit="1" customWidth="1"/>
    <col min="9" max="9" width="13.5703125" style="226" bestFit="1" customWidth="1"/>
    <col min="10" max="10" width="7.5703125" style="226" bestFit="1" customWidth="1"/>
    <col min="11" max="11" width="14.28515625" style="226" bestFit="1" customWidth="1"/>
    <col min="12" max="16384" width="9.140625" style="226"/>
  </cols>
  <sheetData>
    <row r="2" spans="1:4">
      <c r="A2" s="226" t="s">
        <v>461</v>
      </c>
      <c r="B2" s="226" t="s">
        <v>462</v>
      </c>
      <c r="C2" s="226" t="s">
        <v>463</v>
      </c>
      <c r="D2" s="226" t="s">
        <v>464</v>
      </c>
    </row>
    <row r="3" spans="1:4">
      <c r="A3" s="226" t="s">
        <v>465</v>
      </c>
      <c r="B3" s="226">
        <v>533022</v>
      </c>
      <c r="C3" s="226" t="s">
        <v>466</v>
      </c>
      <c r="D3" s="226" t="s">
        <v>467</v>
      </c>
    </row>
    <row r="4" spans="1:4">
      <c r="A4" s="226" t="s">
        <v>468</v>
      </c>
      <c r="B4" s="226">
        <v>526921</v>
      </c>
      <c r="C4" s="226" t="s">
        <v>469</v>
      </c>
      <c r="D4" s="226" t="s">
        <v>470</v>
      </c>
    </row>
    <row r="5" spans="1:4">
      <c r="A5" s="226" t="s">
        <v>471</v>
      </c>
      <c r="B5" s="226">
        <v>532628</v>
      </c>
      <c r="C5" s="226" t="s">
        <v>472</v>
      </c>
      <c r="D5" s="226" t="s">
        <v>473</v>
      </c>
    </row>
    <row r="6" spans="1:4">
      <c r="A6" s="226" t="s">
        <v>474</v>
      </c>
      <c r="B6" s="226">
        <v>523395</v>
      </c>
      <c r="C6" s="226" t="s">
        <v>475</v>
      </c>
      <c r="D6" s="226" t="s">
        <v>346</v>
      </c>
    </row>
    <row r="7" spans="1:4">
      <c r="A7" s="226" t="s">
        <v>476</v>
      </c>
      <c r="B7" s="226">
        <v>523395</v>
      </c>
      <c r="C7" s="226" t="s">
        <v>477</v>
      </c>
      <c r="D7" s="226" t="s">
        <v>346</v>
      </c>
    </row>
    <row r="8" spans="1:4">
      <c r="A8" s="226" t="s">
        <v>478</v>
      </c>
      <c r="B8" s="226">
        <v>516092</v>
      </c>
      <c r="C8" s="226" t="s">
        <v>479</v>
      </c>
      <c r="D8" s="226" t="s">
        <v>480</v>
      </c>
    </row>
    <row r="9" spans="1:4">
      <c r="A9" s="226" t="s">
        <v>481</v>
      </c>
      <c r="B9" s="226">
        <v>540776</v>
      </c>
      <c r="C9" s="226" t="s">
        <v>482</v>
      </c>
      <c r="D9" s="226" t="s">
        <v>470</v>
      </c>
    </row>
    <row r="10" spans="1:4">
      <c r="A10" s="226" t="s">
        <v>483</v>
      </c>
      <c r="B10" s="226">
        <v>526881</v>
      </c>
      <c r="C10" s="226" t="s">
        <v>484</v>
      </c>
      <c r="D10" s="226" t="s">
        <v>473</v>
      </c>
    </row>
    <row r="11" spans="1:4">
      <c r="A11" s="226" t="s">
        <v>485</v>
      </c>
      <c r="B11" s="226">
        <v>540615</v>
      </c>
      <c r="C11" s="226" t="s">
        <v>486</v>
      </c>
      <c r="D11" s="226" t="s">
        <v>487</v>
      </c>
    </row>
    <row r="12" spans="1:4">
      <c r="A12" s="226" t="s">
        <v>488</v>
      </c>
      <c r="B12" s="226">
        <v>540874</v>
      </c>
      <c r="C12" s="226" t="s">
        <v>486</v>
      </c>
      <c r="D12" s="226" t="s">
        <v>489</v>
      </c>
    </row>
    <row r="13" spans="1:4">
      <c r="A13" s="226" t="s">
        <v>490</v>
      </c>
      <c r="B13" s="226">
        <v>512161</v>
      </c>
      <c r="C13" s="226" t="s">
        <v>491</v>
      </c>
      <c r="D13" s="226" t="s">
        <v>492</v>
      </c>
    </row>
    <row r="14" spans="1:4">
      <c r="A14" s="226" t="s">
        <v>493</v>
      </c>
      <c r="B14" s="226">
        <v>540697</v>
      </c>
      <c r="C14" s="226" t="s">
        <v>486</v>
      </c>
      <c r="D14" s="226" t="s">
        <v>494</v>
      </c>
    </row>
    <row r="15" spans="1:4">
      <c r="A15" s="226" t="s">
        <v>495</v>
      </c>
      <c r="B15" s="226" t="s">
        <v>486</v>
      </c>
      <c r="C15" s="226" t="s">
        <v>496</v>
      </c>
      <c r="D15" s="226" t="s">
        <v>497</v>
      </c>
    </row>
    <row r="16" spans="1:4">
      <c r="A16" s="226" t="s">
        <v>498</v>
      </c>
      <c r="B16" s="226">
        <v>539620</v>
      </c>
      <c r="C16" s="226" t="s">
        <v>486</v>
      </c>
      <c r="D16" s="226" t="s">
        <v>499</v>
      </c>
    </row>
    <row r="17" spans="1:4">
      <c r="A17" s="226" t="s">
        <v>500</v>
      </c>
      <c r="B17" s="226">
        <v>539300</v>
      </c>
      <c r="C17" s="226" t="s">
        <v>486</v>
      </c>
      <c r="D17" s="226" t="s">
        <v>501</v>
      </c>
    </row>
    <row r="18" spans="1:4">
      <c r="A18" s="226" t="s">
        <v>502</v>
      </c>
      <c r="B18" s="226">
        <v>530499</v>
      </c>
      <c r="C18" s="226" t="s">
        <v>486</v>
      </c>
      <c r="D18" s="226" t="s">
        <v>503</v>
      </c>
    </row>
    <row r="19" spans="1:4">
      <c r="A19" s="226" t="s">
        <v>504</v>
      </c>
      <c r="B19" s="226">
        <v>538351</v>
      </c>
      <c r="C19" s="226" t="s">
        <v>505</v>
      </c>
      <c r="D19" s="226" t="s">
        <v>506</v>
      </c>
    </row>
    <row r="20" spans="1:4">
      <c r="A20" s="226" t="s">
        <v>507</v>
      </c>
      <c r="B20" s="226">
        <v>542012</v>
      </c>
      <c r="C20" s="226" t="s">
        <v>486</v>
      </c>
      <c r="D20" s="226" t="s">
        <v>508</v>
      </c>
    </row>
    <row r="21" spans="1:4">
      <c r="A21" s="226" t="s">
        <v>509</v>
      </c>
      <c r="B21" s="226">
        <v>533292</v>
      </c>
      <c r="C21" s="226" t="s">
        <v>510</v>
      </c>
      <c r="D21" s="226" t="s">
        <v>511</v>
      </c>
    </row>
    <row r="22" spans="1:4">
      <c r="A22" s="226" t="s">
        <v>512</v>
      </c>
      <c r="B22" s="226">
        <v>531611</v>
      </c>
      <c r="C22" s="226" t="s">
        <v>486</v>
      </c>
      <c r="D22" s="226" t="s">
        <v>503</v>
      </c>
    </row>
    <row r="23" spans="1:4">
      <c r="A23" s="226" t="s">
        <v>513</v>
      </c>
      <c r="B23" s="226">
        <v>531611</v>
      </c>
      <c r="C23" s="226" t="s">
        <v>486</v>
      </c>
      <c r="D23" s="226" t="s">
        <v>503</v>
      </c>
    </row>
    <row r="24" spans="1:4">
      <c r="A24" s="226" t="s">
        <v>514</v>
      </c>
      <c r="B24" s="226" t="s">
        <v>486</v>
      </c>
      <c r="C24" s="226" t="s">
        <v>515</v>
      </c>
      <c r="D24" s="226" t="s">
        <v>497</v>
      </c>
    </row>
    <row r="25" spans="1:4">
      <c r="A25" s="226" t="s">
        <v>516</v>
      </c>
      <c r="B25" s="226">
        <v>539096</v>
      </c>
      <c r="C25" s="226" t="s">
        <v>486</v>
      </c>
      <c r="D25" s="226" t="s">
        <v>501</v>
      </c>
    </row>
    <row r="26" spans="1:4">
      <c r="A26" s="226" t="s">
        <v>517</v>
      </c>
      <c r="B26" s="226">
        <v>538812</v>
      </c>
      <c r="C26" s="226" t="s">
        <v>486</v>
      </c>
      <c r="D26" s="226" t="s">
        <v>518</v>
      </c>
    </row>
    <row r="27" spans="1:4">
      <c r="A27" s="226" t="s">
        <v>519</v>
      </c>
      <c r="B27" s="226">
        <v>539632</v>
      </c>
      <c r="C27" s="226" t="s">
        <v>486</v>
      </c>
      <c r="D27" s="226" t="s">
        <v>520</v>
      </c>
    </row>
    <row r="28" spans="1:4">
      <c r="A28" s="226" t="s">
        <v>521</v>
      </c>
      <c r="B28" s="226">
        <v>542377</v>
      </c>
      <c r="C28" s="226" t="s">
        <v>522</v>
      </c>
      <c r="D28" s="226" t="s">
        <v>503</v>
      </c>
    </row>
    <row r="29" spans="1:4">
      <c r="A29" s="226" t="s">
        <v>523</v>
      </c>
      <c r="B29" s="226">
        <v>524412</v>
      </c>
      <c r="C29" s="226" t="s">
        <v>486</v>
      </c>
      <c r="D29" s="226" t="s">
        <v>524</v>
      </c>
    </row>
    <row r="30" spans="1:4">
      <c r="A30" s="226" t="s">
        <v>525</v>
      </c>
      <c r="B30" s="226" t="s">
        <v>486</v>
      </c>
      <c r="C30" s="226" t="s">
        <v>526</v>
      </c>
      <c r="D30" s="226" t="s">
        <v>497</v>
      </c>
    </row>
    <row r="31" spans="1:4">
      <c r="A31" s="226" t="s">
        <v>527</v>
      </c>
      <c r="B31" s="226">
        <v>542580</v>
      </c>
      <c r="C31" s="226" t="s">
        <v>528</v>
      </c>
      <c r="D31" s="226" t="s">
        <v>529</v>
      </c>
    </row>
    <row r="32" spans="1:4">
      <c r="A32" s="226" t="s">
        <v>530</v>
      </c>
      <c r="B32" s="226">
        <v>524348</v>
      </c>
      <c r="C32" s="226" t="s">
        <v>531</v>
      </c>
      <c r="D32" s="226" t="s">
        <v>524</v>
      </c>
    </row>
    <row r="33" spans="1:4">
      <c r="A33" s="226" t="s">
        <v>532</v>
      </c>
      <c r="B33" s="226">
        <v>524208</v>
      </c>
      <c r="C33" s="226" t="s">
        <v>533</v>
      </c>
      <c r="D33" s="226" t="s">
        <v>534</v>
      </c>
    </row>
    <row r="34" spans="1:4">
      <c r="A34" s="226" t="s">
        <v>535</v>
      </c>
      <c r="B34" s="226">
        <v>526488</v>
      </c>
      <c r="C34" s="226" t="s">
        <v>486</v>
      </c>
      <c r="D34" s="226" t="s">
        <v>501</v>
      </c>
    </row>
    <row r="35" spans="1:4">
      <c r="A35" s="226" t="s">
        <v>536</v>
      </c>
      <c r="B35" s="226">
        <v>514274</v>
      </c>
      <c r="C35" s="226" t="s">
        <v>537</v>
      </c>
      <c r="D35" s="226" t="s">
        <v>501</v>
      </c>
    </row>
    <row r="36" spans="1:4">
      <c r="A36" s="226" t="s">
        <v>538</v>
      </c>
      <c r="B36" s="226" t="s">
        <v>486</v>
      </c>
      <c r="C36" s="226" t="s">
        <v>539</v>
      </c>
      <c r="D36" s="226" t="s">
        <v>497</v>
      </c>
    </row>
    <row r="37" spans="1:4">
      <c r="A37" s="226" t="s">
        <v>540</v>
      </c>
      <c r="B37" s="226">
        <v>519319</v>
      </c>
      <c r="C37" s="226" t="s">
        <v>486</v>
      </c>
      <c r="D37" s="226" t="s">
        <v>492</v>
      </c>
    </row>
    <row r="38" spans="1:4">
      <c r="A38" s="226" t="s">
        <v>541</v>
      </c>
      <c r="B38" s="226">
        <v>512038</v>
      </c>
      <c r="C38" s="226" t="s">
        <v>486</v>
      </c>
      <c r="D38" s="226" t="s">
        <v>508</v>
      </c>
    </row>
    <row r="39" spans="1:4">
      <c r="A39" s="226" t="s">
        <v>542</v>
      </c>
      <c r="B39" s="226">
        <v>541988</v>
      </c>
      <c r="C39" s="226" t="s">
        <v>543</v>
      </c>
      <c r="D39" s="226" t="s">
        <v>544</v>
      </c>
    </row>
    <row r="40" spans="1:4">
      <c r="A40" s="226" t="s">
        <v>545</v>
      </c>
      <c r="B40" s="226">
        <v>539528</v>
      </c>
      <c r="C40" s="226" t="s">
        <v>486</v>
      </c>
      <c r="D40" s="226" t="s">
        <v>546</v>
      </c>
    </row>
    <row r="41" spans="1:4">
      <c r="A41" s="226" t="s">
        <v>547</v>
      </c>
      <c r="B41" s="226">
        <v>523204</v>
      </c>
      <c r="C41" s="226" t="s">
        <v>548</v>
      </c>
      <c r="D41" s="226" t="s">
        <v>549</v>
      </c>
    </row>
    <row r="42" spans="1:4">
      <c r="A42" s="226" t="s">
        <v>550</v>
      </c>
      <c r="B42" s="226">
        <v>512165</v>
      </c>
      <c r="C42" s="226" t="s">
        <v>486</v>
      </c>
      <c r="D42" s="226" t="s">
        <v>508</v>
      </c>
    </row>
    <row r="43" spans="1:4">
      <c r="A43" s="226" t="s">
        <v>551</v>
      </c>
      <c r="B43" s="226">
        <v>500002</v>
      </c>
      <c r="C43" s="226" t="s">
        <v>552</v>
      </c>
      <c r="D43" s="226" t="s">
        <v>529</v>
      </c>
    </row>
    <row r="44" spans="1:4">
      <c r="A44" s="226" t="s">
        <v>553</v>
      </c>
      <c r="B44" s="226">
        <v>500488</v>
      </c>
      <c r="C44" s="226" t="s">
        <v>554</v>
      </c>
      <c r="D44" s="226" t="s">
        <v>524</v>
      </c>
    </row>
    <row r="45" spans="1:4">
      <c r="A45" s="226" t="s">
        <v>555</v>
      </c>
      <c r="B45" s="226">
        <v>500488</v>
      </c>
      <c r="C45" s="226" t="s">
        <v>556</v>
      </c>
      <c r="D45" s="226" t="s">
        <v>524</v>
      </c>
    </row>
    <row r="46" spans="1:4">
      <c r="A46" s="226" t="s">
        <v>557</v>
      </c>
      <c r="B46" s="226">
        <v>520123</v>
      </c>
      <c r="C46" s="226" t="s">
        <v>486</v>
      </c>
      <c r="D46" s="226" t="s">
        <v>558</v>
      </c>
    </row>
    <row r="47" spans="1:4">
      <c r="A47" s="226" t="s">
        <v>559</v>
      </c>
      <c r="B47" s="226">
        <v>513119</v>
      </c>
      <c r="C47" s="226" t="s">
        <v>486</v>
      </c>
      <c r="D47" s="226" t="s">
        <v>560</v>
      </c>
    </row>
    <row r="48" spans="1:4">
      <c r="A48" s="226" t="s">
        <v>561</v>
      </c>
      <c r="B48" s="226">
        <v>520123</v>
      </c>
      <c r="C48" s="226" t="s">
        <v>486</v>
      </c>
      <c r="D48" s="226" t="s">
        <v>558</v>
      </c>
    </row>
    <row r="49" spans="1:4">
      <c r="A49" s="226" t="s">
        <v>562</v>
      </c>
      <c r="B49" s="226">
        <v>532682</v>
      </c>
      <c r="C49" s="226" t="s">
        <v>563</v>
      </c>
      <c r="D49" s="226" t="s">
        <v>564</v>
      </c>
    </row>
    <row r="50" spans="1:4">
      <c r="A50" s="226" t="s">
        <v>565</v>
      </c>
      <c r="B50" s="226">
        <v>539560</v>
      </c>
      <c r="C50" s="226" t="s">
        <v>486</v>
      </c>
      <c r="D50" s="226" t="s">
        <v>566</v>
      </c>
    </row>
    <row r="51" spans="1:4">
      <c r="A51" s="226" t="s">
        <v>567</v>
      </c>
      <c r="B51" s="226">
        <v>532057</v>
      </c>
      <c r="C51" s="226" t="s">
        <v>486</v>
      </c>
      <c r="D51" s="226" t="s">
        <v>503</v>
      </c>
    </row>
    <row r="52" spans="1:4">
      <c r="A52" s="226" t="s">
        <v>568</v>
      </c>
      <c r="B52" s="226">
        <v>538952</v>
      </c>
      <c r="C52" s="226" t="s">
        <v>486</v>
      </c>
      <c r="D52" s="226" t="s">
        <v>503</v>
      </c>
    </row>
    <row r="53" spans="1:4">
      <c r="A53" s="226" t="s">
        <v>569</v>
      </c>
      <c r="B53" s="226">
        <v>538935</v>
      </c>
      <c r="C53" s="226" t="s">
        <v>486</v>
      </c>
      <c r="D53" s="226" t="s">
        <v>570</v>
      </c>
    </row>
    <row r="54" spans="1:4">
      <c r="A54" s="226" t="s">
        <v>571</v>
      </c>
      <c r="B54" s="226">
        <v>539544</v>
      </c>
      <c r="C54" s="226" t="s">
        <v>486</v>
      </c>
      <c r="D54" s="226" t="s">
        <v>572</v>
      </c>
    </row>
    <row r="55" spans="1:4">
      <c r="A55" s="226" t="s">
        <v>573</v>
      </c>
      <c r="B55" s="226">
        <v>511756</v>
      </c>
      <c r="C55" s="226" t="s">
        <v>486</v>
      </c>
      <c r="D55" s="226" t="s">
        <v>503</v>
      </c>
    </row>
    <row r="56" spans="1:4">
      <c r="A56" s="226" t="s">
        <v>574</v>
      </c>
      <c r="B56" s="226">
        <v>511756</v>
      </c>
      <c r="C56" s="226" t="s">
        <v>486</v>
      </c>
      <c r="D56" s="226" t="s">
        <v>503</v>
      </c>
    </row>
    <row r="57" spans="1:4">
      <c r="A57" s="226" t="s">
        <v>575</v>
      </c>
      <c r="B57" s="226" t="s">
        <v>486</v>
      </c>
      <c r="C57" s="226" t="s">
        <v>576</v>
      </c>
      <c r="D57" s="226" t="s">
        <v>577</v>
      </c>
    </row>
    <row r="58" spans="1:4">
      <c r="A58" s="226" t="s">
        <v>578</v>
      </c>
      <c r="B58" s="226">
        <v>531161</v>
      </c>
      <c r="C58" s="226" t="s">
        <v>486</v>
      </c>
      <c r="D58" s="226" t="s">
        <v>579</v>
      </c>
    </row>
    <row r="59" spans="1:4">
      <c r="A59" s="226" t="s">
        <v>580</v>
      </c>
      <c r="B59" s="226">
        <v>500410</v>
      </c>
      <c r="C59" s="226" t="s">
        <v>581</v>
      </c>
      <c r="D59" s="226" t="s">
        <v>499</v>
      </c>
    </row>
    <row r="60" spans="1:4">
      <c r="A60" s="226" t="s">
        <v>582</v>
      </c>
      <c r="B60" s="226">
        <v>517494</v>
      </c>
      <c r="C60" s="226" t="s">
        <v>486</v>
      </c>
      <c r="D60" s="226" t="s">
        <v>583</v>
      </c>
    </row>
    <row r="61" spans="1:4">
      <c r="A61" s="226" t="s">
        <v>584</v>
      </c>
      <c r="B61" s="226">
        <v>532268</v>
      </c>
      <c r="C61" s="226" t="s">
        <v>585</v>
      </c>
      <c r="D61" s="226" t="s">
        <v>473</v>
      </c>
    </row>
    <row r="62" spans="1:4">
      <c r="A62" s="226" t="s">
        <v>586</v>
      </c>
      <c r="B62" s="226" t="s">
        <v>486</v>
      </c>
      <c r="C62" s="226" t="s">
        <v>587</v>
      </c>
      <c r="D62" s="226" t="s">
        <v>497</v>
      </c>
    </row>
    <row r="63" spans="1:4">
      <c r="A63" s="226" t="s">
        <v>588</v>
      </c>
      <c r="B63" s="226" t="s">
        <v>486</v>
      </c>
      <c r="C63" s="226" t="s">
        <v>589</v>
      </c>
      <c r="D63" s="226" t="s">
        <v>497</v>
      </c>
    </row>
    <row r="64" spans="1:4">
      <c r="A64" s="226" t="s">
        <v>590</v>
      </c>
      <c r="B64" s="226">
        <v>530093</v>
      </c>
      <c r="C64" s="226" t="s">
        <v>486</v>
      </c>
      <c r="D64" s="226" t="s">
        <v>349</v>
      </c>
    </row>
    <row r="65" spans="1:4">
      <c r="A65" s="226" t="s">
        <v>591</v>
      </c>
      <c r="B65" s="226" t="s">
        <v>486</v>
      </c>
      <c r="C65" s="226" t="s">
        <v>592</v>
      </c>
      <c r="D65" s="226" t="s">
        <v>497</v>
      </c>
    </row>
    <row r="66" spans="1:4">
      <c r="A66" s="226" t="s">
        <v>593</v>
      </c>
      <c r="B66" s="226">
        <v>539661</v>
      </c>
      <c r="C66" s="226" t="s">
        <v>486</v>
      </c>
      <c r="D66" s="226" t="s">
        <v>520</v>
      </c>
    </row>
    <row r="67" spans="1:4">
      <c r="A67" s="226" t="s">
        <v>594</v>
      </c>
      <c r="B67" s="226">
        <v>531525</v>
      </c>
      <c r="C67" s="226" t="s">
        <v>486</v>
      </c>
      <c r="D67" s="226" t="s">
        <v>579</v>
      </c>
    </row>
    <row r="68" spans="1:4">
      <c r="A68" s="226" t="s">
        <v>595</v>
      </c>
      <c r="B68" s="226">
        <v>538570</v>
      </c>
      <c r="C68" s="226" t="s">
        <v>596</v>
      </c>
      <c r="D68" s="226" t="s">
        <v>470</v>
      </c>
    </row>
    <row r="69" spans="1:4">
      <c r="A69" s="226" t="s">
        <v>597</v>
      </c>
      <c r="B69" s="226">
        <v>517356</v>
      </c>
      <c r="C69" s="226" t="s">
        <v>486</v>
      </c>
      <c r="D69" s="226" t="s">
        <v>583</v>
      </c>
    </row>
    <row r="70" spans="1:4">
      <c r="A70" s="226" t="s">
        <v>598</v>
      </c>
      <c r="B70" s="226">
        <v>530043</v>
      </c>
      <c r="C70" s="226" t="s">
        <v>486</v>
      </c>
      <c r="D70" s="226" t="s">
        <v>599</v>
      </c>
    </row>
    <row r="71" spans="1:4">
      <c r="A71" s="226" t="s">
        <v>600</v>
      </c>
      <c r="B71" s="226">
        <v>539391</v>
      </c>
      <c r="C71" s="226" t="s">
        <v>486</v>
      </c>
      <c r="D71" s="226" t="s">
        <v>503</v>
      </c>
    </row>
    <row r="72" spans="1:4">
      <c r="A72" s="226" t="s">
        <v>601</v>
      </c>
      <c r="B72" s="226">
        <v>513149</v>
      </c>
      <c r="C72" s="226" t="s">
        <v>602</v>
      </c>
      <c r="D72" s="226" t="s">
        <v>603</v>
      </c>
    </row>
    <row r="73" spans="1:4">
      <c r="A73" s="226" t="s">
        <v>604</v>
      </c>
      <c r="B73" s="226">
        <v>524091</v>
      </c>
      <c r="C73" s="226" t="s">
        <v>486</v>
      </c>
      <c r="D73" s="226" t="s">
        <v>605</v>
      </c>
    </row>
    <row r="74" spans="1:4">
      <c r="A74" s="226" t="s">
        <v>606</v>
      </c>
      <c r="B74" s="226">
        <v>532762</v>
      </c>
      <c r="C74" s="226" t="s">
        <v>607</v>
      </c>
      <c r="D74" s="226" t="s">
        <v>608</v>
      </c>
    </row>
    <row r="75" spans="1:4">
      <c r="A75" s="226" t="s">
        <v>609</v>
      </c>
      <c r="B75" s="226">
        <v>511706</v>
      </c>
      <c r="C75" s="226" t="s">
        <v>486</v>
      </c>
      <c r="D75" s="226" t="s">
        <v>470</v>
      </c>
    </row>
    <row r="76" spans="1:4">
      <c r="A76" s="226" t="s">
        <v>610</v>
      </c>
      <c r="B76" s="226">
        <v>511706</v>
      </c>
      <c r="C76" s="226" t="s">
        <v>486</v>
      </c>
      <c r="D76" s="226" t="s">
        <v>470</v>
      </c>
    </row>
    <row r="77" spans="1:4">
      <c r="A77" s="226" t="s">
        <v>611</v>
      </c>
      <c r="B77" s="226">
        <v>541144</v>
      </c>
      <c r="C77" s="226" t="s">
        <v>486</v>
      </c>
      <c r="D77" s="226" t="s">
        <v>599</v>
      </c>
    </row>
    <row r="78" spans="1:4">
      <c r="A78" s="226" t="s">
        <v>612</v>
      </c>
      <c r="B78" s="226">
        <v>512599</v>
      </c>
      <c r="C78" s="226" t="s">
        <v>613</v>
      </c>
      <c r="D78" s="226" t="s">
        <v>508</v>
      </c>
    </row>
    <row r="79" spans="1:4">
      <c r="A79" s="226" t="s">
        <v>614</v>
      </c>
      <c r="B79" s="226">
        <v>542066</v>
      </c>
      <c r="C79" s="226" t="s">
        <v>615</v>
      </c>
      <c r="D79" s="226" t="s">
        <v>616</v>
      </c>
    </row>
    <row r="80" spans="1:4">
      <c r="A80" s="226" t="s">
        <v>617</v>
      </c>
      <c r="B80" s="226">
        <v>541450</v>
      </c>
      <c r="C80" s="226" t="s">
        <v>618</v>
      </c>
      <c r="D80" s="226" t="s">
        <v>529</v>
      </c>
    </row>
    <row r="81" spans="1:4">
      <c r="A81" s="226" t="s">
        <v>619</v>
      </c>
      <c r="B81" s="226">
        <v>532921</v>
      </c>
      <c r="C81" s="226" t="s">
        <v>620</v>
      </c>
      <c r="D81" s="226" t="s">
        <v>621</v>
      </c>
    </row>
    <row r="82" spans="1:4">
      <c r="A82" s="226" t="s">
        <v>622</v>
      </c>
      <c r="B82" s="226">
        <v>533096</v>
      </c>
      <c r="C82" s="226" t="s">
        <v>623</v>
      </c>
      <c r="D82" s="226" t="s">
        <v>624</v>
      </c>
    </row>
    <row r="83" spans="1:4">
      <c r="A83" s="226" t="s">
        <v>625</v>
      </c>
      <c r="B83" s="226">
        <v>539254</v>
      </c>
      <c r="C83" s="226" t="s">
        <v>626</v>
      </c>
      <c r="D83" s="226" t="s">
        <v>624</v>
      </c>
    </row>
    <row r="84" spans="1:4">
      <c r="A84" s="226" t="s">
        <v>627</v>
      </c>
      <c r="B84" s="226">
        <v>538563</v>
      </c>
      <c r="C84" s="226" t="s">
        <v>486</v>
      </c>
      <c r="D84" s="226" t="s">
        <v>508</v>
      </c>
    </row>
    <row r="85" spans="1:4">
      <c r="A85" s="226" t="s">
        <v>628</v>
      </c>
      <c r="B85" s="226">
        <v>526711</v>
      </c>
      <c r="C85" s="226" t="s">
        <v>486</v>
      </c>
      <c r="D85" s="226" t="s">
        <v>629</v>
      </c>
    </row>
    <row r="86" spans="1:4">
      <c r="A86" s="226" t="s">
        <v>630</v>
      </c>
      <c r="B86" s="226">
        <v>523411</v>
      </c>
      <c r="C86" s="226" t="s">
        <v>486</v>
      </c>
      <c r="D86" s="226" t="s">
        <v>631</v>
      </c>
    </row>
    <row r="87" spans="1:4">
      <c r="A87" s="226" t="s">
        <v>632</v>
      </c>
      <c r="B87" s="226">
        <v>539506</v>
      </c>
      <c r="C87" s="226" t="s">
        <v>486</v>
      </c>
      <c r="D87" s="226" t="s">
        <v>503</v>
      </c>
    </row>
    <row r="88" spans="1:4">
      <c r="A88" s="226" t="s">
        <v>633</v>
      </c>
      <c r="B88" s="226">
        <v>507852</v>
      </c>
      <c r="C88" s="226" t="s">
        <v>486</v>
      </c>
      <c r="D88" s="226" t="s">
        <v>599</v>
      </c>
    </row>
    <row r="89" spans="1:4">
      <c r="A89" s="226" t="s">
        <v>634</v>
      </c>
      <c r="B89" s="226">
        <v>541865</v>
      </c>
      <c r="C89" s="226" t="s">
        <v>486</v>
      </c>
      <c r="D89" s="226" t="s">
        <v>520</v>
      </c>
    </row>
    <row r="90" spans="1:4">
      <c r="A90" s="226" t="s">
        <v>635</v>
      </c>
      <c r="B90" s="226">
        <v>519183</v>
      </c>
      <c r="C90" s="226" t="s">
        <v>636</v>
      </c>
      <c r="D90" s="226" t="s">
        <v>546</v>
      </c>
    </row>
    <row r="91" spans="1:4">
      <c r="A91" s="226" t="s">
        <v>637</v>
      </c>
      <c r="B91" s="226">
        <v>539493</v>
      </c>
      <c r="C91" s="226" t="s">
        <v>486</v>
      </c>
      <c r="D91" s="226" t="s">
        <v>503</v>
      </c>
    </row>
    <row r="92" spans="1:4">
      <c r="A92" s="226" t="s">
        <v>638</v>
      </c>
      <c r="B92" s="226">
        <v>539189</v>
      </c>
      <c r="C92" s="226" t="s">
        <v>486</v>
      </c>
      <c r="D92" s="226" t="s">
        <v>572</v>
      </c>
    </row>
    <row r="93" spans="1:4">
      <c r="A93" s="226" t="s">
        <v>639</v>
      </c>
      <c r="B93" s="226">
        <v>780018</v>
      </c>
      <c r="C93" s="226" t="s">
        <v>486</v>
      </c>
      <c r="D93" s="226" t="s">
        <v>577</v>
      </c>
    </row>
    <row r="94" spans="1:4">
      <c r="A94" s="226" t="s">
        <v>640</v>
      </c>
      <c r="B94" s="226">
        <v>538365</v>
      </c>
      <c r="C94" s="226" t="s">
        <v>641</v>
      </c>
      <c r="D94" s="226" t="s">
        <v>518</v>
      </c>
    </row>
    <row r="95" spans="1:4">
      <c r="A95" s="226" t="s">
        <v>642</v>
      </c>
      <c r="B95" s="226">
        <v>532727</v>
      </c>
      <c r="C95" s="226" t="s">
        <v>643</v>
      </c>
      <c r="D95" s="226" t="s">
        <v>518</v>
      </c>
    </row>
    <row r="96" spans="1:4">
      <c r="A96" s="226" t="s">
        <v>644</v>
      </c>
      <c r="B96" s="226">
        <v>531592</v>
      </c>
      <c r="C96" s="226" t="s">
        <v>486</v>
      </c>
      <c r="D96" s="226" t="s">
        <v>645</v>
      </c>
    </row>
    <row r="97" spans="1:4">
      <c r="A97" s="226" t="s">
        <v>646</v>
      </c>
      <c r="B97" s="226">
        <v>532056</v>
      </c>
      <c r="C97" s="226" t="s">
        <v>486</v>
      </c>
      <c r="D97" s="226" t="s">
        <v>506</v>
      </c>
    </row>
    <row r="98" spans="1:4">
      <c r="A98" s="226" t="s">
        <v>647</v>
      </c>
      <c r="B98" s="226">
        <v>514113</v>
      </c>
      <c r="C98" s="226" t="s">
        <v>486</v>
      </c>
      <c r="D98" s="226" t="s">
        <v>501</v>
      </c>
    </row>
    <row r="99" spans="1:4">
      <c r="A99" s="226" t="s">
        <v>648</v>
      </c>
      <c r="B99" s="226">
        <v>534707</v>
      </c>
      <c r="C99" s="226" t="s">
        <v>486</v>
      </c>
      <c r="D99" s="226" t="s">
        <v>599</v>
      </c>
    </row>
    <row r="100" spans="1:4">
      <c r="A100" s="226" t="s">
        <v>649</v>
      </c>
      <c r="B100" s="226">
        <v>540691</v>
      </c>
      <c r="C100" s="226" t="s">
        <v>650</v>
      </c>
      <c r="D100" s="226" t="s">
        <v>651</v>
      </c>
    </row>
    <row r="101" spans="1:4">
      <c r="A101" s="226" t="s">
        <v>652</v>
      </c>
      <c r="B101" s="226">
        <v>535755</v>
      </c>
      <c r="C101" s="226" t="s">
        <v>653</v>
      </c>
      <c r="D101" s="226" t="s">
        <v>654</v>
      </c>
    </row>
    <row r="102" spans="1:4">
      <c r="A102" s="226" t="s">
        <v>655</v>
      </c>
      <c r="B102" s="226">
        <v>532974</v>
      </c>
      <c r="C102" s="226" t="s">
        <v>656</v>
      </c>
      <c r="D102" s="226" t="s">
        <v>470</v>
      </c>
    </row>
    <row r="103" spans="1:4">
      <c r="A103" s="226" t="s">
        <v>657</v>
      </c>
      <c r="B103" s="226">
        <v>540146</v>
      </c>
      <c r="C103" s="226" t="s">
        <v>486</v>
      </c>
      <c r="D103" s="226" t="s">
        <v>520</v>
      </c>
    </row>
    <row r="104" spans="1:4">
      <c r="A104" s="226" t="s">
        <v>658</v>
      </c>
      <c r="B104" s="226">
        <v>513513</v>
      </c>
      <c r="C104" s="226" t="s">
        <v>486</v>
      </c>
      <c r="D104" s="226" t="s">
        <v>518</v>
      </c>
    </row>
    <row r="105" spans="1:4">
      <c r="A105" s="226" t="s">
        <v>659</v>
      </c>
      <c r="B105" s="226">
        <v>521141</v>
      </c>
      <c r="C105" s="226" t="s">
        <v>486</v>
      </c>
      <c r="D105" s="226" t="s">
        <v>501</v>
      </c>
    </row>
    <row r="106" spans="1:4">
      <c r="A106" s="226" t="s">
        <v>660</v>
      </c>
      <c r="B106" s="226">
        <v>540205</v>
      </c>
      <c r="C106" s="226" t="s">
        <v>486</v>
      </c>
      <c r="D106" s="226" t="s">
        <v>508</v>
      </c>
    </row>
    <row r="107" spans="1:4">
      <c r="A107" s="226" t="s">
        <v>661</v>
      </c>
      <c r="B107" s="226">
        <v>539056</v>
      </c>
      <c r="C107" s="226" t="s">
        <v>662</v>
      </c>
      <c r="D107" s="226" t="s">
        <v>663</v>
      </c>
    </row>
    <row r="108" spans="1:4">
      <c r="A108" s="226" t="s">
        <v>664</v>
      </c>
      <c r="B108" s="226">
        <v>511359</v>
      </c>
      <c r="C108" s="226" t="s">
        <v>486</v>
      </c>
      <c r="D108" s="226" t="s">
        <v>503</v>
      </c>
    </row>
    <row r="109" spans="1:4">
      <c r="A109" s="226" t="s">
        <v>665</v>
      </c>
      <c r="B109" s="226">
        <v>530431</v>
      </c>
      <c r="C109" s="226" t="s">
        <v>486</v>
      </c>
      <c r="D109" s="226" t="s">
        <v>508</v>
      </c>
    </row>
    <row r="110" spans="1:4">
      <c r="A110" s="226" t="s">
        <v>666</v>
      </c>
      <c r="B110" s="226">
        <v>523120</v>
      </c>
      <c r="C110" s="226" t="s">
        <v>486</v>
      </c>
      <c r="D110" s="226" t="s">
        <v>667</v>
      </c>
    </row>
    <row r="111" spans="1:4">
      <c r="A111" s="226" t="s">
        <v>668</v>
      </c>
      <c r="B111" s="226">
        <v>517041</v>
      </c>
      <c r="C111" s="226" t="s">
        <v>669</v>
      </c>
      <c r="D111" s="226" t="s">
        <v>670</v>
      </c>
    </row>
    <row r="112" spans="1:4">
      <c r="A112" s="226" t="s">
        <v>671</v>
      </c>
      <c r="B112" s="226">
        <v>532172</v>
      </c>
      <c r="C112" s="226" t="s">
        <v>672</v>
      </c>
      <c r="D112" s="226" t="s">
        <v>473</v>
      </c>
    </row>
    <row r="113" spans="1:4">
      <c r="A113" s="226" t="s">
        <v>673</v>
      </c>
      <c r="B113" s="226">
        <v>523031</v>
      </c>
      <c r="C113" s="226" t="s">
        <v>486</v>
      </c>
      <c r="D113" s="226" t="s">
        <v>674</v>
      </c>
    </row>
    <row r="114" spans="1:4">
      <c r="A114" s="226" t="s">
        <v>675</v>
      </c>
      <c r="B114" s="226">
        <v>521048</v>
      </c>
      <c r="C114" s="226" t="s">
        <v>486</v>
      </c>
      <c r="D114" s="226" t="s">
        <v>501</v>
      </c>
    </row>
    <row r="115" spans="1:4">
      <c r="A115" s="226" t="s">
        <v>676</v>
      </c>
      <c r="B115" s="226">
        <v>534612</v>
      </c>
      <c r="C115" s="226" t="s">
        <v>486</v>
      </c>
      <c r="D115" s="226" t="s">
        <v>624</v>
      </c>
    </row>
    <row r="116" spans="1:4">
      <c r="A116" s="226" t="s">
        <v>677</v>
      </c>
      <c r="B116" s="226">
        <v>506947</v>
      </c>
      <c r="C116" s="226" t="s">
        <v>486</v>
      </c>
      <c r="D116" s="226" t="s">
        <v>534</v>
      </c>
    </row>
    <row r="117" spans="1:4">
      <c r="A117" s="226" t="s">
        <v>678</v>
      </c>
      <c r="B117" s="226">
        <v>531047</v>
      </c>
      <c r="C117" s="226" t="s">
        <v>486</v>
      </c>
      <c r="D117" s="226" t="s">
        <v>503</v>
      </c>
    </row>
    <row r="118" spans="1:4">
      <c r="A118" s="226" t="s">
        <v>679</v>
      </c>
      <c r="B118" s="226">
        <v>539982</v>
      </c>
      <c r="C118" s="226" t="s">
        <v>486</v>
      </c>
      <c r="D118" s="226" t="s">
        <v>680</v>
      </c>
    </row>
    <row r="119" spans="1:4">
      <c r="A119" s="226" t="s">
        <v>681</v>
      </c>
      <c r="B119" s="226">
        <v>540025</v>
      </c>
      <c r="C119" s="226" t="s">
        <v>682</v>
      </c>
      <c r="D119" s="226" t="s">
        <v>683</v>
      </c>
    </row>
    <row r="120" spans="1:4">
      <c r="A120" s="226" t="s">
        <v>684</v>
      </c>
      <c r="B120" s="226">
        <v>523269</v>
      </c>
      <c r="C120" s="226" t="s">
        <v>685</v>
      </c>
      <c r="D120" s="226" t="s">
        <v>686</v>
      </c>
    </row>
    <row r="121" spans="1:4">
      <c r="A121" s="226" t="s">
        <v>687</v>
      </c>
      <c r="B121" s="226">
        <v>523269</v>
      </c>
      <c r="C121" s="226" t="s">
        <v>685</v>
      </c>
      <c r="D121" s="226" t="s">
        <v>686</v>
      </c>
    </row>
    <row r="122" spans="1:4">
      <c r="A122" s="226" t="s">
        <v>688</v>
      </c>
      <c r="B122" s="226">
        <v>531429</v>
      </c>
      <c r="C122" s="226" t="s">
        <v>486</v>
      </c>
      <c r="D122" s="226" t="s">
        <v>579</v>
      </c>
    </row>
    <row r="123" spans="1:4">
      <c r="A123" s="226" t="s">
        <v>689</v>
      </c>
      <c r="B123" s="226">
        <v>539773</v>
      </c>
      <c r="C123" s="226" t="s">
        <v>486</v>
      </c>
      <c r="D123" s="226" t="s">
        <v>503</v>
      </c>
    </row>
    <row r="124" spans="1:4">
      <c r="A124" s="226" t="s">
        <v>690</v>
      </c>
      <c r="B124" s="226">
        <v>531686</v>
      </c>
      <c r="C124" s="226" t="s">
        <v>486</v>
      </c>
      <c r="D124" s="226" t="s">
        <v>524</v>
      </c>
    </row>
    <row r="125" spans="1:4">
      <c r="A125" s="226" t="s">
        <v>691</v>
      </c>
      <c r="B125" s="226">
        <v>541152</v>
      </c>
      <c r="C125" s="226" t="s">
        <v>486</v>
      </c>
      <c r="D125" s="226" t="s">
        <v>508</v>
      </c>
    </row>
    <row r="126" spans="1:4">
      <c r="A126" s="226" t="s">
        <v>692</v>
      </c>
      <c r="B126" s="226">
        <v>541152</v>
      </c>
      <c r="C126" s="226" t="s">
        <v>486</v>
      </c>
      <c r="D126" s="226" t="s">
        <v>508</v>
      </c>
    </row>
    <row r="127" spans="1:4">
      <c r="A127" s="226" t="s">
        <v>693</v>
      </c>
      <c r="B127" s="226">
        <v>500003</v>
      </c>
      <c r="C127" s="226" t="s">
        <v>694</v>
      </c>
      <c r="D127" s="226" t="s">
        <v>695</v>
      </c>
    </row>
    <row r="128" spans="1:4">
      <c r="A128" s="226" t="s">
        <v>696</v>
      </c>
      <c r="B128" s="226">
        <v>541402</v>
      </c>
      <c r="C128" s="226" t="s">
        <v>486</v>
      </c>
      <c r="D128" s="226" t="s">
        <v>494</v>
      </c>
    </row>
    <row r="129" spans="1:4">
      <c r="A129" s="226" t="s">
        <v>697</v>
      </c>
      <c r="B129" s="226">
        <v>531921</v>
      </c>
      <c r="C129" s="226" t="s">
        <v>698</v>
      </c>
      <c r="D129" s="226" t="s">
        <v>699</v>
      </c>
    </row>
    <row r="130" spans="1:4">
      <c r="A130" s="226" t="s">
        <v>700</v>
      </c>
      <c r="B130" s="226">
        <v>500463</v>
      </c>
      <c r="C130" s="226" t="s">
        <v>701</v>
      </c>
      <c r="D130" s="226" t="s">
        <v>473</v>
      </c>
    </row>
    <row r="131" spans="1:4">
      <c r="A131" s="226" t="s">
        <v>702</v>
      </c>
      <c r="B131" s="226">
        <v>539042</v>
      </c>
      <c r="C131" s="226" t="s">
        <v>486</v>
      </c>
      <c r="D131" s="226" t="s">
        <v>572</v>
      </c>
    </row>
    <row r="132" spans="1:4">
      <c r="A132" s="226" t="s">
        <v>703</v>
      </c>
      <c r="B132" s="226">
        <v>516020</v>
      </c>
      <c r="C132" s="226" t="s">
        <v>486</v>
      </c>
      <c r="D132" s="226" t="s">
        <v>480</v>
      </c>
    </row>
    <row r="133" spans="1:4">
      <c r="A133" s="226" t="s">
        <v>704</v>
      </c>
      <c r="B133" s="226">
        <v>537492</v>
      </c>
      <c r="C133" s="226" t="s">
        <v>486</v>
      </c>
      <c r="D133" s="226" t="s">
        <v>508</v>
      </c>
    </row>
    <row r="134" spans="1:4">
      <c r="A134" s="226" t="s">
        <v>705</v>
      </c>
      <c r="B134" s="226">
        <v>537292</v>
      </c>
      <c r="C134" s="226" t="s">
        <v>706</v>
      </c>
      <c r="D134" s="226" t="s">
        <v>683</v>
      </c>
    </row>
    <row r="135" spans="1:4">
      <c r="A135" s="226" t="s">
        <v>707</v>
      </c>
      <c r="B135" s="226">
        <v>537292</v>
      </c>
      <c r="C135" s="226" t="s">
        <v>706</v>
      </c>
      <c r="D135" s="226" t="s">
        <v>683</v>
      </c>
    </row>
    <row r="136" spans="1:4">
      <c r="A136" s="226" t="s">
        <v>708</v>
      </c>
      <c r="B136" s="226" t="s">
        <v>486</v>
      </c>
      <c r="C136" s="226" t="s">
        <v>709</v>
      </c>
      <c r="D136" s="226" t="s">
        <v>497</v>
      </c>
    </row>
    <row r="137" spans="1:4">
      <c r="A137" s="226" t="s">
        <v>710</v>
      </c>
      <c r="B137" s="226" t="s">
        <v>486</v>
      </c>
      <c r="C137" s="226" t="s">
        <v>709</v>
      </c>
      <c r="D137" s="226" t="s">
        <v>497</v>
      </c>
    </row>
    <row r="138" spans="1:4">
      <c r="A138" s="226" t="s">
        <v>711</v>
      </c>
      <c r="B138" s="226">
        <v>500215</v>
      </c>
      <c r="C138" s="226" t="s">
        <v>712</v>
      </c>
      <c r="D138" s="226" t="s">
        <v>683</v>
      </c>
    </row>
    <row r="139" spans="1:4">
      <c r="A139" s="226" t="s">
        <v>713</v>
      </c>
      <c r="B139" s="226" t="s">
        <v>486</v>
      </c>
      <c r="C139" s="226" t="s">
        <v>714</v>
      </c>
      <c r="D139" s="226" t="s">
        <v>497</v>
      </c>
    </row>
    <row r="140" spans="1:4">
      <c r="A140" s="226" t="s">
        <v>715</v>
      </c>
      <c r="B140" s="226" t="s">
        <v>486</v>
      </c>
      <c r="C140" s="226" t="s">
        <v>716</v>
      </c>
      <c r="D140" s="226" t="s">
        <v>497</v>
      </c>
    </row>
    <row r="141" spans="1:4">
      <c r="A141" s="226" t="s">
        <v>717</v>
      </c>
      <c r="B141" s="226">
        <v>532811</v>
      </c>
      <c r="C141" s="226" t="s">
        <v>718</v>
      </c>
      <c r="D141" s="226" t="s">
        <v>572</v>
      </c>
    </row>
    <row r="142" spans="1:4">
      <c r="A142" s="226" t="s">
        <v>719</v>
      </c>
      <c r="B142" s="226">
        <v>532811</v>
      </c>
      <c r="C142" s="226" t="s">
        <v>718</v>
      </c>
      <c r="D142" s="226" t="s">
        <v>572</v>
      </c>
    </row>
    <row r="143" spans="1:4">
      <c r="A143" s="226" t="s">
        <v>720</v>
      </c>
      <c r="B143" s="226">
        <v>522273</v>
      </c>
      <c r="C143" s="226" t="s">
        <v>486</v>
      </c>
      <c r="D143" s="226" t="s">
        <v>518</v>
      </c>
    </row>
    <row r="144" spans="1:4">
      <c r="A144" s="226" t="s">
        <v>721</v>
      </c>
      <c r="B144" s="226">
        <v>532806</v>
      </c>
      <c r="C144" s="226" t="s">
        <v>486</v>
      </c>
      <c r="D144" s="226" t="s">
        <v>722</v>
      </c>
    </row>
    <row r="145" spans="1:4">
      <c r="A145" s="226" t="s">
        <v>723</v>
      </c>
      <c r="B145" s="226">
        <v>532683</v>
      </c>
      <c r="C145" s="226" t="s">
        <v>724</v>
      </c>
      <c r="D145" s="226" t="s">
        <v>670</v>
      </c>
    </row>
    <row r="146" spans="1:4">
      <c r="A146" s="226" t="s">
        <v>725</v>
      </c>
      <c r="B146" s="226">
        <v>524288</v>
      </c>
      <c r="C146" s="226" t="s">
        <v>486</v>
      </c>
      <c r="D146" s="226" t="s">
        <v>629</v>
      </c>
    </row>
    <row r="147" spans="1:4">
      <c r="A147" s="226" t="s">
        <v>726</v>
      </c>
      <c r="B147" s="226" t="s">
        <v>486</v>
      </c>
      <c r="C147" s="226" t="s">
        <v>727</v>
      </c>
      <c r="D147" s="226" t="s">
        <v>497</v>
      </c>
    </row>
    <row r="148" spans="1:4">
      <c r="A148" s="226" t="s">
        <v>728</v>
      </c>
      <c r="B148" s="226" t="s">
        <v>486</v>
      </c>
      <c r="C148" s="226" t="s">
        <v>729</v>
      </c>
      <c r="D148" s="226" t="s">
        <v>497</v>
      </c>
    </row>
    <row r="149" spans="1:4">
      <c r="A149" s="226" t="s">
        <v>730</v>
      </c>
      <c r="B149" s="226">
        <v>532975</v>
      </c>
      <c r="C149" s="226" t="s">
        <v>486</v>
      </c>
      <c r="D149" s="226" t="s">
        <v>631</v>
      </c>
    </row>
    <row r="150" spans="1:4">
      <c r="A150" s="226" t="s">
        <v>731</v>
      </c>
      <c r="B150" s="226">
        <v>532331</v>
      </c>
      <c r="C150" s="226" t="s">
        <v>732</v>
      </c>
      <c r="D150" s="226" t="s">
        <v>524</v>
      </c>
    </row>
    <row r="151" spans="1:4">
      <c r="A151" s="226" t="s">
        <v>733</v>
      </c>
      <c r="B151" s="226">
        <v>519216</v>
      </c>
      <c r="C151" s="226" t="s">
        <v>486</v>
      </c>
      <c r="D151" s="226" t="s">
        <v>734</v>
      </c>
    </row>
    <row r="152" spans="1:4">
      <c r="A152" s="226" t="s">
        <v>735</v>
      </c>
      <c r="B152" s="226">
        <v>511692</v>
      </c>
      <c r="C152" s="226" t="s">
        <v>486</v>
      </c>
      <c r="D152" s="226" t="s">
        <v>470</v>
      </c>
    </row>
    <row r="153" spans="1:4">
      <c r="A153" s="226" t="s">
        <v>736</v>
      </c>
      <c r="B153" s="226">
        <v>530713</v>
      </c>
      <c r="C153" s="226" t="s">
        <v>486</v>
      </c>
      <c r="D153" s="226" t="s">
        <v>473</v>
      </c>
    </row>
    <row r="154" spans="1:4">
      <c r="A154" s="226" t="s">
        <v>737</v>
      </c>
      <c r="B154" s="226">
        <v>513349</v>
      </c>
      <c r="C154" s="226" t="s">
        <v>738</v>
      </c>
      <c r="D154" s="226" t="s">
        <v>572</v>
      </c>
    </row>
    <row r="155" spans="1:4">
      <c r="A155" s="226" t="s">
        <v>739</v>
      </c>
      <c r="B155" s="226">
        <v>513349</v>
      </c>
      <c r="C155" s="226" t="s">
        <v>738</v>
      </c>
      <c r="D155" s="226" t="s">
        <v>572</v>
      </c>
    </row>
    <row r="156" spans="1:4">
      <c r="A156" s="226" t="s">
        <v>740</v>
      </c>
      <c r="B156" s="226" t="s">
        <v>486</v>
      </c>
      <c r="C156" s="226" t="s">
        <v>741</v>
      </c>
      <c r="D156" s="226" t="s">
        <v>497</v>
      </c>
    </row>
    <row r="157" spans="1:4">
      <c r="A157" s="226" t="s">
        <v>742</v>
      </c>
      <c r="B157" s="226">
        <v>526628</v>
      </c>
      <c r="C157" s="226" t="s">
        <v>486</v>
      </c>
      <c r="D157" s="226" t="s">
        <v>663</v>
      </c>
    </row>
    <row r="158" spans="1:4">
      <c r="A158" s="226" t="s">
        <v>743</v>
      </c>
      <c r="B158" s="226">
        <v>530621</v>
      </c>
      <c r="C158" s="226" t="s">
        <v>486</v>
      </c>
      <c r="D158" s="226" t="s">
        <v>494</v>
      </c>
    </row>
    <row r="159" spans="1:4">
      <c r="A159" s="226" t="s">
        <v>744</v>
      </c>
      <c r="B159" s="226" t="s">
        <v>486</v>
      </c>
      <c r="C159" s="226" t="s">
        <v>745</v>
      </c>
      <c r="D159" s="226" t="s">
        <v>497</v>
      </c>
    </row>
    <row r="160" spans="1:4">
      <c r="A160" s="226" t="s">
        <v>746</v>
      </c>
      <c r="B160" s="226">
        <v>538778</v>
      </c>
      <c r="C160" s="226" t="s">
        <v>486</v>
      </c>
      <c r="D160" s="226" t="s">
        <v>503</v>
      </c>
    </row>
    <row r="161" spans="1:4">
      <c r="A161" s="226" t="s">
        <v>747</v>
      </c>
      <c r="B161" s="226" t="s">
        <v>486</v>
      </c>
      <c r="C161" s="226" t="s">
        <v>748</v>
      </c>
      <c r="D161" s="226" t="s">
        <v>497</v>
      </c>
    </row>
    <row r="162" spans="1:4">
      <c r="A162" s="226" t="s">
        <v>749</v>
      </c>
      <c r="B162" s="226">
        <v>542020</v>
      </c>
      <c r="C162" s="226" t="s">
        <v>486</v>
      </c>
      <c r="D162" s="226" t="s">
        <v>599</v>
      </c>
    </row>
    <row r="163" spans="1:4">
      <c r="A163" s="226" t="s">
        <v>750</v>
      </c>
      <c r="B163" s="226">
        <v>542020</v>
      </c>
      <c r="C163" s="226" t="s">
        <v>486</v>
      </c>
      <c r="D163" s="226" t="s">
        <v>599</v>
      </c>
    </row>
    <row r="164" spans="1:4">
      <c r="A164" s="226" t="s">
        <v>751</v>
      </c>
      <c r="B164" s="226">
        <v>540718</v>
      </c>
      <c r="C164" s="226" t="s">
        <v>486</v>
      </c>
      <c r="D164" s="226" t="s">
        <v>501</v>
      </c>
    </row>
    <row r="165" spans="1:4">
      <c r="A165" s="226" t="s">
        <v>752</v>
      </c>
      <c r="B165" s="226">
        <v>539017</v>
      </c>
      <c r="C165" s="226" t="s">
        <v>486</v>
      </c>
      <c r="D165" s="226" t="s">
        <v>544</v>
      </c>
    </row>
    <row r="166" spans="1:4">
      <c r="A166" s="226" t="s">
        <v>753</v>
      </c>
      <c r="B166" s="226">
        <v>532351</v>
      </c>
      <c r="C166" s="226" t="s">
        <v>754</v>
      </c>
      <c r="D166" s="226" t="s">
        <v>755</v>
      </c>
    </row>
    <row r="167" spans="1:4">
      <c r="A167" s="226" t="s">
        <v>756</v>
      </c>
      <c r="B167" s="226">
        <v>541303</v>
      </c>
      <c r="C167" s="226" t="s">
        <v>486</v>
      </c>
      <c r="D167" s="226" t="s">
        <v>501</v>
      </c>
    </row>
    <row r="168" spans="1:4">
      <c r="A168" s="226" t="s">
        <v>757</v>
      </c>
      <c r="B168" s="226">
        <v>524598</v>
      </c>
      <c r="C168" s="226" t="s">
        <v>758</v>
      </c>
      <c r="D168" s="226" t="s">
        <v>645</v>
      </c>
    </row>
    <row r="169" spans="1:4">
      <c r="A169" s="226" t="s">
        <v>759</v>
      </c>
      <c r="B169" s="226">
        <v>524598</v>
      </c>
      <c r="C169" s="226" t="s">
        <v>758</v>
      </c>
      <c r="D169" s="226" t="s">
        <v>645</v>
      </c>
    </row>
    <row r="170" spans="1:4">
      <c r="A170" s="226" t="s">
        <v>760</v>
      </c>
      <c r="B170" s="226">
        <v>500710</v>
      </c>
      <c r="C170" s="226" t="s">
        <v>761</v>
      </c>
      <c r="D170" s="226" t="s">
        <v>762</v>
      </c>
    </row>
    <row r="171" spans="1:4">
      <c r="A171" s="226" t="s">
        <v>763</v>
      </c>
      <c r="B171" s="226">
        <v>500710</v>
      </c>
      <c r="C171" s="226" t="s">
        <v>764</v>
      </c>
      <c r="D171" s="226" t="s">
        <v>762</v>
      </c>
    </row>
    <row r="172" spans="1:4">
      <c r="A172" s="226" t="s">
        <v>765</v>
      </c>
      <c r="B172" s="226">
        <v>535916</v>
      </c>
      <c r="C172" s="226" t="s">
        <v>486</v>
      </c>
      <c r="D172" s="226" t="s">
        <v>470</v>
      </c>
    </row>
    <row r="173" spans="1:4">
      <c r="A173" s="226" t="s">
        <v>766</v>
      </c>
      <c r="B173" s="226">
        <v>539115</v>
      </c>
      <c r="C173" s="226" t="s">
        <v>486</v>
      </c>
      <c r="D173" s="226" t="s">
        <v>489</v>
      </c>
    </row>
    <row r="174" spans="1:4">
      <c r="A174" s="226" t="s">
        <v>767</v>
      </c>
      <c r="B174" s="226">
        <v>531082</v>
      </c>
      <c r="C174" s="226" t="s">
        <v>768</v>
      </c>
      <c r="D174" s="226" t="s">
        <v>470</v>
      </c>
    </row>
    <row r="175" spans="1:4">
      <c r="A175" s="226" t="s">
        <v>769</v>
      </c>
      <c r="B175" s="226">
        <v>524075</v>
      </c>
      <c r="C175" s="226" t="s">
        <v>770</v>
      </c>
      <c r="D175" s="226" t="s">
        <v>524</v>
      </c>
    </row>
    <row r="176" spans="1:4">
      <c r="A176" s="226" t="s">
        <v>771</v>
      </c>
      <c r="B176" s="226">
        <v>531409</v>
      </c>
      <c r="C176" s="226" t="s">
        <v>486</v>
      </c>
      <c r="D176" s="226" t="s">
        <v>534</v>
      </c>
    </row>
    <row r="177" spans="1:4">
      <c r="A177" s="226" t="s">
        <v>772</v>
      </c>
      <c r="B177" s="226">
        <v>526707</v>
      </c>
      <c r="C177" s="226" t="s">
        <v>773</v>
      </c>
      <c r="D177" s="226" t="s">
        <v>508</v>
      </c>
    </row>
    <row r="178" spans="1:4">
      <c r="A178" s="226" t="s">
        <v>774</v>
      </c>
      <c r="B178" s="226">
        <v>532114</v>
      </c>
      <c r="C178" s="226" t="s">
        <v>486</v>
      </c>
      <c r="D178" s="226" t="s">
        <v>572</v>
      </c>
    </row>
    <row r="179" spans="1:4">
      <c r="A179" s="226" t="s">
        <v>775</v>
      </c>
      <c r="B179" s="226">
        <v>506235</v>
      </c>
      <c r="C179" s="226" t="s">
        <v>776</v>
      </c>
      <c r="D179" s="226" t="s">
        <v>524</v>
      </c>
    </row>
    <row r="180" spans="1:4">
      <c r="A180" s="226" t="s">
        <v>777</v>
      </c>
      <c r="B180" s="226">
        <v>533573</v>
      </c>
      <c r="C180" s="226" t="s">
        <v>778</v>
      </c>
      <c r="D180" s="226" t="s">
        <v>524</v>
      </c>
    </row>
    <row r="181" spans="1:4">
      <c r="A181" s="226" t="s">
        <v>779</v>
      </c>
      <c r="B181" s="226">
        <v>511463</v>
      </c>
      <c r="C181" s="226" t="s">
        <v>486</v>
      </c>
      <c r="D181" s="226" t="s">
        <v>346</v>
      </c>
    </row>
    <row r="182" spans="1:4">
      <c r="A182" s="226" t="s">
        <v>780</v>
      </c>
      <c r="B182" s="226">
        <v>530973</v>
      </c>
      <c r="C182" s="226" t="s">
        <v>486</v>
      </c>
      <c r="D182" s="226" t="s">
        <v>605</v>
      </c>
    </row>
    <row r="183" spans="1:4">
      <c r="A183" s="226" t="s">
        <v>781</v>
      </c>
      <c r="B183" s="226">
        <v>530973</v>
      </c>
      <c r="C183" s="226" t="s">
        <v>486</v>
      </c>
      <c r="D183" s="226" t="s">
        <v>605</v>
      </c>
    </row>
    <row r="184" spans="1:4">
      <c r="A184" s="226" t="s">
        <v>782</v>
      </c>
      <c r="B184" s="226">
        <v>517546</v>
      </c>
      <c r="C184" s="226" t="s">
        <v>486</v>
      </c>
      <c r="D184" s="226" t="s">
        <v>783</v>
      </c>
    </row>
    <row r="185" spans="1:4">
      <c r="A185" s="226" t="s">
        <v>784</v>
      </c>
      <c r="B185" s="226">
        <v>531156</v>
      </c>
      <c r="C185" s="226" t="s">
        <v>486</v>
      </c>
      <c r="D185" s="226" t="s">
        <v>503</v>
      </c>
    </row>
    <row r="186" spans="1:4">
      <c r="A186" s="226" t="s">
        <v>785</v>
      </c>
      <c r="B186" s="226">
        <v>531156</v>
      </c>
      <c r="C186" s="226" t="s">
        <v>486</v>
      </c>
      <c r="D186" s="226" t="s">
        <v>503</v>
      </c>
    </row>
    <row r="187" spans="1:4">
      <c r="A187" s="226" t="s">
        <v>786</v>
      </c>
      <c r="B187" s="226">
        <v>505216</v>
      </c>
      <c r="C187" s="226" t="s">
        <v>486</v>
      </c>
      <c r="D187" s="226" t="s">
        <v>503</v>
      </c>
    </row>
    <row r="188" spans="1:4">
      <c r="A188" s="226" t="s">
        <v>787</v>
      </c>
      <c r="B188" s="226">
        <v>505216</v>
      </c>
      <c r="C188" s="226" t="s">
        <v>486</v>
      </c>
      <c r="D188" s="226" t="s">
        <v>503</v>
      </c>
    </row>
    <row r="189" spans="1:4">
      <c r="A189" s="226" t="s">
        <v>788</v>
      </c>
      <c r="B189" s="226">
        <v>531147</v>
      </c>
      <c r="C189" s="226" t="s">
        <v>789</v>
      </c>
      <c r="D189" s="226" t="s">
        <v>790</v>
      </c>
    </row>
    <row r="190" spans="1:4">
      <c r="A190" s="226" t="s">
        <v>791</v>
      </c>
      <c r="B190" s="226">
        <v>530889</v>
      </c>
      <c r="C190" s="226" t="s">
        <v>486</v>
      </c>
      <c r="D190" s="226" t="s">
        <v>501</v>
      </c>
    </row>
    <row r="191" spans="1:4">
      <c r="A191" s="226" t="s">
        <v>792</v>
      </c>
      <c r="B191" s="226">
        <v>531581</v>
      </c>
      <c r="C191" s="226" t="s">
        <v>486</v>
      </c>
      <c r="D191" s="226" t="s">
        <v>599</v>
      </c>
    </row>
    <row r="192" spans="1:4">
      <c r="A192" s="226" t="s">
        <v>793</v>
      </c>
      <c r="B192" s="226">
        <v>530889</v>
      </c>
      <c r="C192" s="226" t="s">
        <v>486</v>
      </c>
      <c r="D192" s="226" t="s">
        <v>501</v>
      </c>
    </row>
    <row r="193" spans="1:4">
      <c r="A193" s="226" t="s">
        <v>794</v>
      </c>
      <c r="B193" s="226">
        <v>532166</v>
      </c>
      <c r="C193" s="226" t="s">
        <v>486</v>
      </c>
      <c r="D193" s="226" t="s">
        <v>503</v>
      </c>
    </row>
    <row r="194" spans="1:4">
      <c r="A194" s="226" t="s">
        <v>795</v>
      </c>
      <c r="B194" s="226">
        <v>533029</v>
      </c>
      <c r="C194" s="226" t="s">
        <v>796</v>
      </c>
      <c r="D194" s="226" t="s">
        <v>645</v>
      </c>
    </row>
    <row r="195" spans="1:4">
      <c r="A195" s="226" t="s">
        <v>797</v>
      </c>
      <c r="B195" s="226">
        <v>539523</v>
      </c>
      <c r="C195" s="226" t="s">
        <v>798</v>
      </c>
      <c r="D195" s="226" t="s">
        <v>524</v>
      </c>
    </row>
    <row r="196" spans="1:4">
      <c r="A196" s="226" t="s">
        <v>799</v>
      </c>
      <c r="B196" s="226">
        <v>506767</v>
      </c>
      <c r="C196" s="226" t="s">
        <v>800</v>
      </c>
      <c r="D196" s="226" t="s">
        <v>645</v>
      </c>
    </row>
    <row r="197" spans="1:4">
      <c r="A197" s="226" t="s">
        <v>801</v>
      </c>
      <c r="B197" s="226">
        <v>532480</v>
      </c>
      <c r="C197" s="226" t="s">
        <v>802</v>
      </c>
      <c r="D197" s="226" t="s">
        <v>803</v>
      </c>
    </row>
    <row r="198" spans="1:4">
      <c r="A198" s="226" t="s">
        <v>804</v>
      </c>
      <c r="B198" s="226">
        <v>532749</v>
      </c>
      <c r="C198" s="226" t="s">
        <v>805</v>
      </c>
      <c r="D198" s="226" t="s">
        <v>806</v>
      </c>
    </row>
    <row r="199" spans="1:4">
      <c r="A199" s="226" t="s">
        <v>807</v>
      </c>
      <c r="B199" s="226">
        <v>534064</v>
      </c>
      <c r="C199" s="226" t="s">
        <v>486</v>
      </c>
      <c r="D199" s="226" t="s">
        <v>808</v>
      </c>
    </row>
    <row r="200" spans="1:4">
      <c r="A200" s="226" t="s">
        <v>809</v>
      </c>
      <c r="B200" s="226">
        <v>532919</v>
      </c>
      <c r="C200" s="226" t="s">
        <v>486</v>
      </c>
      <c r="D200" s="226" t="s">
        <v>810</v>
      </c>
    </row>
    <row r="201" spans="1:4">
      <c r="A201" s="226" t="s">
        <v>811</v>
      </c>
      <c r="B201" s="226">
        <v>532875</v>
      </c>
      <c r="C201" s="226" t="s">
        <v>812</v>
      </c>
      <c r="D201" s="226" t="s">
        <v>473</v>
      </c>
    </row>
    <row r="202" spans="1:4">
      <c r="A202" s="226" t="s">
        <v>813</v>
      </c>
      <c r="B202" s="226">
        <v>532633</v>
      </c>
      <c r="C202" s="226" t="s">
        <v>814</v>
      </c>
      <c r="D202" s="226" t="s">
        <v>815</v>
      </c>
    </row>
    <row r="203" spans="1:4">
      <c r="A203" s="226" t="s">
        <v>816</v>
      </c>
      <c r="B203" s="226">
        <v>531400</v>
      </c>
      <c r="C203" s="226" t="s">
        <v>817</v>
      </c>
      <c r="D203" s="226" t="s">
        <v>470</v>
      </c>
    </row>
    <row r="204" spans="1:4">
      <c r="A204" s="226" t="s">
        <v>818</v>
      </c>
      <c r="B204" s="226">
        <v>506120</v>
      </c>
      <c r="C204" s="226" t="s">
        <v>486</v>
      </c>
      <c r="D204" s="226" t="s">
        <v>508</v>
      </c>
    </row>
    <row r="205" spans="1:4">
      <c r="A205" s="226" t="s">
        <v>819</v>
      </c>
      <c r="B205" s="226">
        <v>521070</v>
      </c>
      <c r="C205" s="226" t="s">
        <v>820</v>
      </c>
      <c r="D205" s="226" t="s">
        <v>501</v>
      </c>
    </row>
    <row r="206" spans="1:4">
      <c r="A206" s="226" t="s">
        <v>821</v>
      </c>
      <c r="B206" s="226">
        <v>532878</v>
      </c>
      <c r="C206" s="226" t="s">
        <v>822</v>
      </c>
      <c r="D206" s="226" t="s">
        <v>823</v>
      </c>
    </row>
    <row r="207" spans="1:4">
      <c r="A207" s="226" t="s">
        <v>824</v>
      </c>
      <c r="B207" s="226">
        <v>526397</v>
      </c>
      <c r="C207" s="226" t="s">
        <v>825</v>
      </c>
      <c r="D207" s="226" t="s">
        <v>826</v>
      </c>
    </row>
    <row r="208" spans="1:4">
      <c r="A208" s="226" t="s">
        <v>827</v>
      </c>
      <c r="B208" s="226">
        <v>526397</v>
      </c>
      <c r="C208" s="226" t="s">
        <v>825</v>
      </c>
      <c r="D208" s="226" t="s">
        <v>826</v>
      </c>
    </row>
    <row r="209" spans="1:4">
      <c r="A209" s="226" t="s">
        <v>828</v>
      </c>
      <c r="B209" s="226">
        <v>526519</v>
      </c>
      <c r="C209" s="226" t="s">
        <v>486</v>
      </c>
      <c r="D209" s="226" t="s">
        <v>572</v>
      </c>
    </row>
    <row r="210" spans="1:4">
      <c r="A210" s="226" t="s">
        <v>829</v>
      </c>
      <c r="B210" s="226">
        <v>530715</v>
      </c>
      <c r="C210" s="226" t="s">
        <v>830</v>
      </c>
      <c r="D210" s="226" t="s">
        <v>501</v>
      </c>
    </row>
    <row r="211" spans="1:4">
      <c r="A211" s="226" t="s">
        <v>831</v>
      </c>
      <c r="B211" s="226">
        <v>538423</v>
      </c>
      <c r="C211" s="226" t="s">
        <v>832</v>
      </c>
      <c r="D211" s="226" t="s">
        <v>470</v>
      </c>
    </row>
    <row r="212" spans="1:4">
      <c r="A212" s="226" t="s">
        <v>833</v>
      </c>
      <c r="B212" s="226">
        <v>539277</v>
      </c>
      <c r="C212" s="226" t="s">
        <v>486</v>
      </c>
      <c r="D212" s="226" t="s">
        <v>520</v>
      </c>
    </row>
    <row r="213" spans="1:4">
      <c r="A213" s="226" t="s">
        <v>834</v>
      </c>
      <c r="B213" s="226">
        <v>539277</v>
      </c>
      <c r="C213" s="226" t="s">
        <v>486</v>
      </c>
      <c r="D213" s="226" t="s">
        <v>520</v>
      </c>
    </row>
    <row r="214" spans="1:4">
      <c r="A214" s="226" t="s">
        <v>835</v>
      </c>
      <c r="B214" s="226">
        <v>524634</v>
      </c>
      <c r="C214" s="226" t="s">
        <v>486</v>
      </c>
      <c r="D214" s="226" t="s">
        <v>534</v>
      </c>
    </row>
    <row r="215" spans="1:4">
      <c r="A215" s="226" t="s">
        <v>836</v>
      </c>
      <c r="B215" s="226">
        <v>506597</v>
      </c>
      <c r="C215" s="226" t="s">
        <v>486</v>
      </c>
      <c r="D215" s="226" t="s">
        <v>645</v>
      </c>
    </row>
    <row r="216" spans="1:4">
      <c r="A216" s="226" t="s">
        <v>837</v>
      </c>
      <c r="B216" s="226">
        <v>512008</v>
      </c>
      <c r="C216" s="226" t="s">
        <v>486</v>
      </c>
      <c r="D216" s="226" t="s">
        <v>508</v>
      </c>
    </row>
    <row r="217" spans="1:4">
      <c r="A217" s="226" t="s">
        <v>838</v>
      </c>
      <c r="B217" s="226">
        <v>500008</v>
      </c>
      <c r="C217" s="226" t="s">
        <v>839</v>
      </c>
      <c r="D217" s="226" t="s">
        <v>840</v>
      </c>
    </row>
    <row r="218" spans="1:4">
      <c r="A218" s="226" t="s">
        <v>841</v>
      </c>
      <c r="B218" s="226">
        <v>521097</v>
      </c>
      <c r="C218" s="226" t="s">
        <v>486</v>
      </c>
      <c r="D218" s="226" t="s">
        <v>501</v>
      </c>
    </row>
    <row r="219" spans="1:4">
      <c r="A219" s="226" t="s">
        <v>842</v>
      </c>
      <c r="B219" s="226">
        <v>538465</v>
      </c>
      <c r="C219" s="226" t="s">
        <v>486</v>
      </c>
      <c r="D219" s="226" t="s">
        <v>503</v>
      </c>
    </row>
    <row r="220" spans="1:4">
      <c r="A220" s="226" t="s">
        <v>843</v>
      </c>
      <c r="B220" s="226">
        <v>531112</v>
      </c>
      <c r="C220" s="226" t="s">
        <v>486</v>
      </c>
      <c r="D220" s="226" t="s">
        <v>494</v>
      </c>
    </row>
    <row r="221" spans="1:4">
      <c r="A221" s="226" t="s">
        <v>844</v>
      </c>
      <c r="B221" s="226">
        <v>539196</v>
      </c>
      <c r="C221" s="226" t="s">
        <v>486</v>
      </c>
      <c r="D221" s="226" t="s">
        <v>783</v>
      </c>
    </row>
    <row r="222" spans="1:4">
      <c r="A222" s="226" t="s">
        <v>845</v>
      </c>
      <c r="B222" s="226">
        <v>500009</v>
      </c>
      <c r="C222" s="226" t="s">
        <v>486</v>
      </c>
      <c r="D222" s="226" t="s">
        <v>524</v>
      </c>
    </row>
    <row r="223" spans="1:4">
      <c r="A223" s="226" t="s">
        <v>846</v>
      </c>
      <c r="B223" s="226" t="s">
        <v>486</v>
      </c>
      <c r="C223" s="226" t="s">
        <v>847</v>
      </c>
      <c r="D223" s="226" t="s">
        <v>497</v>
      </c>
    </row>
    <row r="224" spans="1:4">
      <c r="A224" s="226" t="s">
        <v>848</v>
      </c>
      <c r="B224" s="226">
        <v>519471</v>
      </c>
      <c r="C224" s="226" t="s">
        <v>486</v>
      </c>
      <c r="D224" s="226" t="s">
        <v>734</v>
      </c>
    </row>
    <row r="225" spans="1:4">
      <c r="A225" s="226" t="s">
        <v>849</v>
      </c>
      <c r="B225" s="226">
        <v>542524</v>
      </c>
      <c r="C225" s="226" t="s">
        <v>850</v>
      </c>
      <c r="D225" s="226" t="s">
        <v>851</v>
      </c>
    </row>
    <row r="226" spans="1:4">
      <c r="A226" s="226" t="s">
        <v>852</v>
      </c>
      <c r="B226" s="226">
        <v>540902</v>
      </c>
      <c r="C226" s="226" t="s">
        <v>853</v>
      </c>
      <c r="D226" s="226" t="s">
        <v>854</v>
      </c>
    </row>
    <row r="227" spans="1:4">
      <c r="A227" s="226" t="s">
        <v>855</v>
      </c>
      <c r="B227" s="226">
        <v>540902</v>
      </c>
      <c r="C227" s="226" t="s">
        <v>853</v>
      </c>
      <c r="D227" s="226" t="s">
        <v>854</v>
      </c>
    </row>
    <row r="228" spans="1:4">
      <c r="A228" s="226" t="s">
        <v>856</v>
      </c>
      <c r="B228" s="226">
        <v>531978</v>
      </c>
      <c r="C228" s="226" t="s">
        <v>857</v>
      </c>
      <c r="D228" s="226" t="s">
        <v>501</v>
      </c>
    </row>
    <row r="229" spans="1:4">
      <c r="A229" s="226" t="s">
        <v>858</v>
      </c>
      <c r="B229" s="226">
        <v>539223</v>
      </c>
      <c r="C229" s="226" t="s">
        <v>486</v>
      </c>
      <c r="D229" s="226" t="s">
        <v>480</v>
      </c>
    </row>
    <row r="230" spans="1:4">
      <c r="A230" s="226" t="s">
        <v>859</v>
      </c>
      <c r="B230" s="226">
        <v>500425</v>
      </c>
      <c r="C230" s="226" t="s">
        <v>860</v>
      </c>
      <c r="D230" s="226" t="s">
        <v>499</v>
      </c>
    </row>
    <row r="231" spans="1:4">
      <c r="A231" s="226" t="s">
        <v>861</v>
      </c>
      <c r="B231" s="226">
        <v>530133</v>
      </c>
      <c r="C231" s="226" t="s">
        <v>486</v>
      </c>
      <c r="D231" s="226" t="s">
        <v>862</v>
      </c>
    </row>
    <row r="232" spans="1:4">
      <c r="A232" s="226" t="s">
        <v>863</v>
      </c>
      <c r="B232" s="226">
        <v>530133</v>
      </c>
      <c r="C232" s="226" t="s">
        <v>486</v>
      </c>
      <c r="D232" s="226" t="s">
        <v>862</v>
      </c>
    </row>
    <row r="233" spans="1:4">
      <c r="A233" s="226" t="s">
        <v>864</v>
      </c>
      <c r="B233" s="226">
        <v>532828</v>
      </c>
      <c r="C233" s="226" t="s">
        <v>865</v>
      </c>
      <c r="D233" s="226" t="s">
        <v>670</v>
      </c>
    </row>
    <row r="234" spans="1:4">
      <c r="A234" s="226" t="s">
        <v>866</v>
      </c>
      <c r="B234" s="226">
        <v>513117</v>
      </c>
      <c r="C234" s="226" t="s">
        <v>486</v>
      </c>
      <c r="D234" s="226" t="s">
        <v>840</v>
      </c>
    </row>
    <row r="235" spans="1:4">
      <c r="A235" s="226" t="s">
        <v>867</v>
      </c>
      <c r="B235" s="226">
        <v>541771</v>
      </c>
      <c r="C235" s="226" t="s">
        <v>486</v>
      </c>
      <c r="D235" s="226" t="s">
        <v>599</v>
      </c>
    </row>
    <row r="236" spans="1:4">
      <c r="A236" s="226" t="s">
        <v>868</v>
      </c>
      <c r="B236" s="226">
        <v>506248</v>
      </c>
      <c r="C236" s="226" t="s">
        <v>486</v>
      </c>
      <c r="D236" s="226" t="s">
        <v>534</v>
      </c>
    </row>
    <row r="237" spans="1:4">
      <c r="A237" s="226" t="s">
        <v>869</v>
      </c>
      <c r="B237" s="226">
        <v>531300</v>
      </c>
      <c r="C237" s="226" t="s">
        <v>486</v>
      </c>
      <c r="D237" s="226" t="s">
        <v>501</v>
      </c>
    </row>
    <row r="238" spans="1:4">
      <c r="A238" s="226" t="s">
        <v>870</v>
      </c>
      <c r="B238" s="226">
        <v>531557</v>
      </c>
      <c r="C238" s="226" t="s">
        <v>486</v>
      </c>
      <c r="D238" s="226" t="s">
        <v>503</v>
      </c>
    </row>
    <row r="239" spans="1:4">
      <c r="A239" s="226" t="s">
        <v>871</v>
      </c>
      <c r="B239" s="226">
        <v>500343</v>
      </c>
      <c r="C239" s="226" t="s">
        <v>872</v>
      </c>
      <c r="D239" s="226" t="s">
        <v>572</v>
      </c>
    </row>
    <row r="240" spans="1:4">
      <c r="A240" s="226" t="s">
        <v>873</v>
      </c>
      <c r="B240" s="226">
        <v>531681</v>
      </c>
      <c r="C240" s="226" t="s">
        <v>486</v>
      </c>
      <c r="D240" s="226" t="s">
        <v>605</v>
      </c>
    </row>
    <row r="241" spans="1:4">
      <c r="A241" s="226" t="s">
        <v>874</v>
      </c>
      <c r="B241" s="226">
        <v>536737</v>
      </c>
      <c r="C241" s="226" t="s">
        <v>486</v>
      </c>
      <c r="D241" s="226" t="s">
        <v>503</v>
      </c>
    </row>
    <row r="242" spans="1:4">
      <c r="A242" s="226" t="s">
        <v>875</v>
      </c>
      <c r="B242" s="226">
        <v>539265</v>
      </c>
      <c r="C242" s="226" t="s">
        <v>486</v>
      </c>
      <c r="D242" s="226" t="s">
        <v>503</v>
      </c>
    </row>
    <row r="243" spans="1:4">
      <c r="A243" s="226" t="s">
        <v>876</v>
      </c>
      <c r="B243" s="226">
        <v>526241</v>
      </c>
      <c r="C243" s="226" t="s">
        <v>486</v>
      </c>
      <c r="D243" s="226" t="s">
        <v>508</v>
      </c>
    </row>
    <row r="244" spans="1:4">
      <c r="A244" s="226" t="s">
        <v>877</v>
      </c>
      <c r="B244" s="226">
        <v>531991</v>
      </c>
      <c r="C244" s="226" t="s">
        <v>486</v>
      </c>
      <c r="D244" s="226" t="s">
        <v>501</v>
      </c>
    </row>
    <row r="245" spans="1:4">
      <c r="A245" s="226" t="s">
        <v>878</v>
      </c>
      <c r="B245" s="226">
        <v>507525</v>
      </c>
      <c r="C245" s="226" t="s">
        <v>486</v>
      </c>
      <c r="D245" s="226" t="s">
        <v>546</v>
      </c>
    </row>
    <row r="246" spans="1:4">
      <c r="A246" s="226" t="s">
        <v>879</v>
      </c>
      <c r="B246" s="226">
        <v>590006</v>
      </c>
      <c r="C246" s="226" t="s">
        <v>880</v>
      </c>
      <c r="D246" s="226" t="s">
        <v>524</v>
      </c>
    </row>
    <row r="247" spans="1:4">
      <c r="A247" s="226" t="s">
        <v>881</v>
      </c>
      <c r="B247" s="226">
        <v>538861</v>
      </c>
      <c r="C247" s="226" t="s">
        <v>486</v>
      </c>
      <c r="D247" s="226" t="s">
        <v>508</v>
      </c>
    </row>
    <row r="248" spans="1:4">
      <c r="A248" s="226" t="s">
        <v>882</v>
      </c>
      <c r="B248" s="226">
        <v>501630</v>
      </c>
      <c r="C248" s="226" t="s">
        <v>486</v>
      </c>
      <c r="D248" s="226" t="s">
        <v>883</v>
      </c>
    </row>
    <row r="249" spans="1:4">
      <c r="A249" s="226" t="s">
        <v>884</v>
      </c>
      <c r="B249" s="226">
        <v>515055</v>
      </c>
      <c r="C249" s="226" t="s">
        <v>885</v>
      </c>
      <c r="D249" s="226" t="s">
        <v>572</v>
      </c>
    </row>
    <row r="250" spans="1:4">
      <c r="A250" s="226" t="s">
        <v>886</v>
      </c>
      <c r="B250" s="226">
        <v>532418</v>
      </c>
      <c r="C250" s="226" t="s">
        <v>887</v>
      </c>
      <c r="D250" s="226" t="s">
        <v>803</v>
      </c>
    </row>
    <row r="251" spans="1:4">
      <c r="A251" s="226" t="s">
        <v>888</v>
      </c>
      <c r="B251" s="226">
        <v>532141</v>
      </c>
      <c r="C251" s="226" t="s">
        <v>889</v>
      </c>
      <c r="D251" s="226" t="s">
        <v>499</v>
      </c>
    </row>
    <row r="252" spans="1:4">
      <c r="A252" s="226" t="s">
        <v>890</v>
      </c>
      <c r="B252" s="226">
        <v>500012</v>
      </c>
      <c r="C252" s="226" t="s">
        <v>486</v>
      </c>
      <c r="D252" s="226" t="s">
        <v>534</v>
      </c>
    </row>
    <row r="253" spans="1:4">
      <c r="A253" s="226" t="s">
        <v>891</v>
      </c>
      <c r="B253" s="226">
        <v>526173</v>
      </c>
      <c r="C253" s="226" t="s">
        <v>486</v>
      </c>
      <c r="D253" s="226" t="s">
        <v>892</v>
      </c>
    </row>
    <row r="254" spans="1:4">
      <c r="A254" s="226" t="s">
        <v>893</v>
      </c>
      <c r="B254" s="226">
        <v>531252</v>
      </c>
      <c r="C254" s="226" t="s">
        <v>486</v>
      </c>
      <c r="D254" s="226" t="s">
        <v>503</v>
      </c>
    </row>
    <row r="255" spans="1:4">
      <c r="A255" s="226" t="s">
        <v>894</v>
      </c>
      <c r="B255" s="226">
        <v>530721</v>
      </c>
      <c r="C255" s="226" t="s">
        <v>895</v>
      </c>
      <c r="D255" s="226" t="s">
        <v>840</v>
      </c>
    </row>
    <row r="256" spans="1:4">
      <c r="A256" s="226" t="s">
        <v>896</v>
      </c>
      <c r="B256" s="226">
        <v>540694</v>
      </c>
      <c r="C256" s="226" t="s">
        <v>486</v>
      </c>
      <c r="D256" s="226" t="s">
        <v>674</v>
      </c>
    </row>
    <row r="257" spans="1:4">
      <c r="A257" s="226" t="s">
        <v>897</v>
      </c>
      <c r="B257" s="226">
        <v>540694</v>
      </c>
      <c r="C257" s="226" t="s">
        <v>486</v>
      </c>
      <c r="D257" s="226" t="s">
        <v>674</v>
      </c>
    </row>
    <row r="258" spans="1:4">
      <c r="A258" s="226" t="s">
        <v>898</v>
      </c>
      <c r="B258" s="226">
        <v>541006</v>
      </c>
      <c r="C258" s="226" t="s">
        <v>486</v>
      </c>
      <c r="D258" s="226" t="s">
        <v>501</v>
      </c>
    </row>
    <row r="259" spans="1:4">
      <c r="A259" s="226" t="s">
        <v>899</v>
      </c>
      <c r="B259" s="226" t="s">
        <v>486</v>
      </c>
      <c r="C259" s="226" t="s">
        <v>900</v>
      </c>
      <c r="D259" s="226" t="s">
        <v>497</v>
      </c>
    </row>
    <row r="260" spans="1:4">
      <c r="A260" s="226" t="s">
        <v>901</v>
      </c>
      <c r="B260" s="226">
        <v>519383</v>
      </c>
      <c r="C260" s="226" t="s">
        <v>902</v>
      </c>
      <c r="D260" s="226" t="s">
        <v>683</v>
      </c>
    </row>
    <row r="261" spans="1:4">
      <c r="A261" s="226" t="s">
        <v>903</v>
      </c>
      <c r="B261" s="226">
        <v>537785</v>
      </c>
      <c r="C261" s="226" t="s">
        <v>486</v>
      </c>
      <c r="D261" s="226" t="s">
        <v>520</v>
      </c>
    </row>
    <row r="262" spans="1:4">
      <c r="A262" s="226" t="s">
        <v>904</v>
      </c>
      <c r="B262" s="226">
        <v>531878</v>
      </c>
      <c r="C262" s="226" t="s">
        <v>486</v>
      </c>
      <c r="D262" s="226" t="s">
        <v>503</v>
      </c>
    </row>
    <row r="263" spans="1:4">
      <c r="A263" s="226" t="s">
        <v>905</v>
      </c>
      <c r="B263" s="226">
        <v>511153</v>
      </c>
      <c r="C263" s="226" t="s">
        <v>486</v>
      </c>
      <c r="D263" s="226" t="s">
        <v>906</v>
      </c>
    </row>
    <row r="264" spans="1:4">
      <c r="A264" s="226" t="s">
        <v>907</v>
      </c>
      <c r="B264" s="226">
        <v>518091</v>
      </c>
      <c r="C264" s="226" t="s">
        <v>908</v>
      </c>
      <c r="D264" s="226" t="s">
        <v>499</v>
      </c>
    </row>
    <row r="265" spans="1:4">
      <c r="A265" s="226" t="s">
        <v>909</v>
      </c>
      <c r="B265" s="226">
        <v>531223</v>
      </c>
      <c r="C265" s="226" t="s">
        <v>486</v>
      </c>
      <c r="D265" s="226" t="s">
        <v>501</v>
      </c>
    </row>
    <row r="266" spans="1:4">
      <c r="A266" s="226" t="s">
        <v>910</v>
      </c>
      <c r="B266" s="226">
        <v>531673</v>
      </c>
      <c r="C266" s="226" t="s">
        <v>486</v>
      </c>
      <c r="D266" s="226" t="s">
        <v>911</v>
      </c>
    </row>
    <row r="267" spans="1:4">
      <c r="A267" s="226" t="s">
        <v>912</v>
      </c>
      <c r="B267" s="226">
        <v>531673</v>
      </c>
      <c r="C267" s="226" t="s">
        <v>486</v>
      </c>
      <c r="D267" s="226" t="s">
        <v>911</v>
      </c>
    </row>
    <row r="268" spans="1:4">
      <c r="A268" s="226" t="s">
        <v>913</v>
      </c>
      <c r="B268" s="226">
        <v>532870</v>
      </c>
      <c r="C268" s="226" t="s">
        <v>914</v>
      </c>
      <c r="D268" s="226" t="s">
        <v>518</v>
      </c>
    </row>
    <row r="269" spans="1:4">
      <c r="A269" s="226" t="s">
        <v>915</v>
      </c>
      <c r="B269" s="226">
        <v>531519</v>
      </c>
      <c r="C269" s="226" t="s">
        <v>486</v>
      </c>
      <c r="D269" s="226" t="s">
        <v>470</v>
      </c>
    </row>
    <row r="270" spans="1:4">
      <c r="A270" s="226" t="s">
        <v>916</v>
      </c>
      <c r="B270" s="226">
        <v>542437</v>
      </c>
      <c r="C270" s="226" t="s">
        <v>917</v>
      </c>
      <c r="D270" s="226" t="s">
        <v>520</v>
      </c>
    </row>
    <row r="271" spans="1:4">
      <c r="A271" s="226" t="s">
        <v>918</v>
      </c>
      <c r="B271" s="226">
        <v>530799</v>
      </c>
      <c r="C271" s="226" t="s">
        <v>486</v>
      </c>
      <c r="D271" s="226" t="s">
        <v>503</v>
      </c>
    </row>
    <row r="272" spans="1:4">
      <c r="A272" s="226" t="s">
        <v>919</v>
      </c>
      <c r="B272" s="226">
        <v>531406</v>
      </c>
      <c r="C272" s="226" t="s">
        <v>486</v>
      </c>
      <c r="D272" s="226" t="s">
        <v>920</v>
      </c>
    </row>
    <row r="273" spans="1:4">
      <c r="A273" s="226" t="s">
        <v>921</v>
      </c>
      <c r="B273" s="226">
        <v>523007</v>
      </c>
      <c r="C273" s="226" t="s">
        <v>486</v>
      </c>
      <c r="D273" s="226" t="s">
        <v>572</v>
      </c>
    </row>
    <row r="274" spans="1:4">
      <c r="A274" s="226" t="s">
        <v>922</v>
      </c>
      <c r="B274" s="226">
        <v>507828</v>
      </c>
      <c r="C274" s="226" t="s">
        <v>923</v>
      </c>
      <c r="D274" s="226" t="s">
        <v>572</v>
      </c>
    </row>
    <row r="275" spans="1:4">
      <c r="A275" s="226" t="s">
        <v>924</v>
      </c>
      <c r="B275" s="226">
        <v>500013</v>
      </c>
      <c r="C275" s="226" t="s">
        <v>925</v>
      </c>
      <c r="D275" s="226" t="s">
        <v>572</v>
      </c>
    </row>
    <row r="276" spans="1:4">
      <c r="A276" s="226" t="s">
        <v>926</v>
      </c>
      <c r="B276" s="226">
        <v>512091</v>
      </c>
      <c r="C276" s="226" t="s">
        <v>486</v>
      </c>
      <c r="D276" s="226" t="s">
        <v>599</v>
      </c>
    </row>
    <row r="277" spans="1:4">
      <c r="A277" s="226" t="s">
        <v>927</v>
      </c>
      <c r="B277" s="226" t="s">
        <v>486</v>
      </c>
      <c r="C277" s="226" t="s">
        <v>928</v>
      </c>
      <c r="D277" s="226" t="s">
        <v>577</v>
      </c>
    </row>
    <row r="278" spans="1:4">
      <c r="A278" s="226" t="s">
        <v>929</v>
      </c>
      <c r="B278" s="226">
        <v>501270</v>
      </c>
      <c r="C278" s="226" t="s">
        <v>486</v>
      </c>
      <c r="D278" s="226" t="s">
        <v>572</v>
      </c>
    </row>
    <row r="279" spans="1:4">
      <c r="A279" s="226" t="s">
        <v>930</v>
      </c>
      <c r="B279" s="226">
        <v>539697</v>
      </c>
      <c r="C279" s="226" t="s">
        <v>486</v>
      </c>
      <c r="D279" s="226" t="s">
        <v>931</v>
      </c>
    </row>
    <row r="280" spans="1:4">
      <c r="A280" s="226" t="s">
        <v>932</v>
      </c>
      <c r="B280" s="226">
        <v>538833</v>
      </c>
      <c r="C280" s="226" t="s">
        <v>486</v>
      </c>
      <c r="D280" s="226" t="s">
        <v>883</v>
      </c>
    </row>
    <row r="281" spans="1:4">
      <c r="A281" s="226" t="s">
        <v>933</v>
      </c>
      <c r="B281" s="226">
        <v>506260</v>
      </c>
      <c r="C281" s="226" t="s">
        <v>486</v>
      </c>
      <c r="D281" s="226" t="s">
        <v>524</v>
      </c>
    </row>
    <row r="282" spans="1:4">
      <c r="A282" s="226" t="s">
        <v>934</v>
      </c>
      <c r="B282" s="226">
        <v>506087</v>
      </c>
      <c r="C282" s="226" t="s">
        <v>486</v>
      </c>
      <c r="D282" s="226" t="s">
        <v>808</v>
      </c>
    </row>
    <row r="283" spans="1:4">
      <c r="A283" s="226" t="s">
        <v>935</v>
      </c>
      <c r="B283" s="226">
        <v>530109</v>
      </c>
      <c r="C283" s="226" t="s">
        <v>486</v>
      </c>
      <c r="D283" s="226" t="s">
        <v>503</v>
      </c>
    </row>
    <row r="284" spans="1:4">
      <c r="A284" s="226" t="s">
        <v>936</v>
      </c>
      <c r="B284" s="226">
        <v>532259</v>
      </c>
      <c r="C284" s="226" t="s">
        <v>937</v>
      </c>
      <c r="D284" s="226" t="s">
        <v>783</v>
      </c>
    </row>
    <row r="285" spans="1:4">
      <c r="A285" s="226" t="s">
        <v>938</v>
      </c>
      <c r="B285" s="226">
        <v>523694</v>
      </c>
      <c r="C285" s="226" t="s">
        <v>939</v>
      </c>
      <c r="D285" s="226" t="s">
        <v>670</v>
      </c>
    </row>
    <row r="286" spans="1:4">
      <c r="A286" s="226" t="s">
        <v>940</v>
      </c>
      <c r="B286" s="226">
        <v>540692</v>
      </c>
      <c r="C286" s="226" t="s">
        <v>941</v>
      </c>
      <c r="D286" s="226" t="s">
        <v>546</v>
      </c>
    </row>
    <row r="287" spans="1:4">
      <c r="A287" s="226" t="s">
        <v>942</v>
      </c>
      <c r="B287" s="226">
        <v>541133</v>
      </c>
      <c r="C287" s="226" t="s">
        <v>486</v>
      </c>
      <c r="D287" s="226" t="s">
        <v>503</v>
      </c>
    </row>
    <row r="288" spans="1:4">
      <c r="A288" s="226" t="s">
        <v>943</v>
      </c>
      <c r="B288" s="226">
        <v>506166</v>
      </c>
      <c r="C288" s="226" t="s">
        <v>486</v>
      </c>
      <c r="D288" s="226" t="s">
        <v>566</v>
      </c>
    </row>
    <row r="289" spans="1:4">
      <c r="A289" s="226" t="s">
        <v>944</v>
      </c>
      <c r="B289" s="226">
        <v>506166</v>
      </c>
      <c r="C289" s="226" t="s">
        <v>486</v>
      </c>
      <c r="D289" s="226" t="s">
        <v>566</v>
      </c>
    </row>
    <row r="290" spans="1:4">
      <c r="A290" s="226" t="s">
        <v>945</v>
      </c>
      <c r="B290" s="226">
        <v>533758</v>
      </c>
      <c r="C290" s="226" t="s">
        <v>946</v>
      </c>
      <c r="D290" s="226" t="s">
        <v>808</v>
      </c>
    </row>
    <row r="291" spans="1:4">
      <c r="A291" s="226" t="s">
        <v>947</v>
      </c>
      <c r="B291" s="226">
        <v>517096</v>
      </c>
      <c r="C291" s="226" t="s">
        <v>486</v>
      </c>
      <c r="D291" s="226" t="s">
        <v>783</v>
      </c>
    </row>
    <row r="292" spans="1:4">
      <c r="A292" s="226" t="s">
        <v>948</v>
      </c>
      <c r="B292" s="226">
        <v>511064</v>
      </c>
      <c r="C292" s="226" t="s">
        <v>949</v>
      </c>
      <c r="D292" s="226" t="s">
        <v>851</v>
      </c>
    </row>
    <row r="293" spans="1:4">
      <c r="A293" s="226" t="s">
        <v>950</v>
      </c>
      <c r="B293" s="226">
        <v>523537</v>
      </c>
      <c r="C293" s="226" t="s">
        <v>486</v>
      </c>
      <c r="D293" s="226" t="s">
        <v>501</v>
      </c>
    </row>
    <row r="294" spans="1:4">
      <c r="A294" s="226" t="s">
        <v>951</v>
      </c>
      <c r="B294" s="226">
        <v>512437</v>
      </c>
      <c r="C294" s="226" t="s">
        <v>486</v>
      </c>
      <c r="D294" s="226" t="s">
        <v>470</v>
      </c>
    </row>
    <row r="295" spans="1:4">
      <c r="A295" s="226" t="s">
        <v>952</v>
      </c>
      <c r="B295" s="226">
        <v>512437</v>
      </c>
      <c r="C295" s="226" t="s">
        <v>486</v>
      </c>
      <c r="D295" s="226" t="s">
        <v>470</v>
      </c>
    </row>
    <row r="296" spans="1:4">
      <c r="A296" s="226" t="s">
        <v>953</v>
      </c>
      <c r="B296" s="226">
        <v>508869</v>
      </c>
      <c r="C296" s="226" t="s">
        <v>954</v>
      </c>
      <c r="D296" s="226" t="s">
        <v>955</v>
      </c>
    </row>
    <row r="297" spans="1:4">
      <c r="A297" s="226" t="s">
        <v>956</v>
      </c>
      <c r="B297" s="226">
        <v>540879</v>
      </c>
      <c r="C297" s="226" t="s">
        <v>957</v>
      </c>
      <c r="D297" s="226" t="s">
        <v>958</v>
      </c>
    </row>
    <row r="298" spans="1:4">
      <c r="A298" s="226" t="s">
        <v>959</v>
      </c>
      <c r="B298" s="226">
        <v>531761</v>
      </c>
      <c r="C298" s="226" t="s">
        <v>486</v>
      </c>
      <c r="D298" s="226" t="s">
        <v>605</v>
      </c>
    </row>
    <row r="299" spans="1:4">
      <c r="A299" s="226" t="s">
        <v>960</v>
      </c>
      <c r="B299" s="226" t="s">
        <v>486</v>
      </c>
      <c r="C299" s="226" t="s">
        <v>961</v>
      </c>
      <c r="D299" s="226" t="s">
        <v>577</v>
      </c>
    </row>
    <row r="300" spans="1:4">
      <c r="A300" s="226" t="s">
        <v>962</v>
      </c>
      <c r="B300" s="226">
        <v>538566</v>
      </c>
      <c r="C300" s="226" t="s">
        <v>486</v>
      </c>
      <c r="D300" s="226" t="s">
        <v>508</v>
      </c>
    </row>
    <row r="301" spans="1:4">
      <c r="A301" s="226" t="s">
        <v>963</v>
      </c>
      <c r="B301" s="226">
        <v>500877</v>
      </c>
      <c r="C301" s="226" t="s">
        <v>964</v>
      </c>
      <c r="D301" s="226" t="s">
        <v>965</v>
      </c>
    </row>
    <row r="302" spans="1:4">
      <c r="A302" s="226" t="s">
        <v>966</v>
      </c>
      <c r="B302" s="226">
        <v>539545</v>
      </c>
      <c r="C302" s="226" t="s">
        <v>486</v>
      </c>
      <c r="D302" s="226" t="s">
        <v>506</v>
      </c>
    </row>
    <row r="303" spans="1:4">
      <c r="A303" s="226" t="s">
        <v>967</v>
      </c>
      <c r="B303" s="226">
        <v>500014</v>
      </c>
      <c r="C303" s="226" t="s">
        <v>486</v>
      </c>
      <c r="D303" s="226" t="s">
        <v>503</v>
      </c>
    </row>
    <row r="304" spans="1:4">
      <c r="A304" s="226" t="s">
        <v>968</v>
      </c>
      <c r="B304" s="226">
        <v>532475</v>
      </c>
      <c r="C304" s="226" t="s">
        <v>969</v>
      </c>
      <c r="D304" s="226" t="s">
        <v>970</v>
      </c>
    </row>
    <row r="305" spans="1:4">
      <c r="A305" s="226" t="s">
        <v>971</v>
      </c>
      <c r="B305" s="226">
        <v>539469</v>
      </c>
      <c r="C305" s="226" t="s">
        <v>486</v>
      </c>
      <c r="D305" s="226" t="s">
        <v>508</v>
      </c>
    </row>
    <row r="306" spans="1:4">
      <c r="A306" s="226" t="s">
        <v>972</v>
      </c>
      <c r="B306" s="226">
        <v>531364</v>
      </c>
      <c r="C306" s="226" t="s">
        <v>486</v>
      </c>
      <c r="D306" s="226" t="s">
        <v>883</v>
      </c>
    </row>
    <row r="307" spans="1:4">
      <c r="A307" s="226" t="s">
        <v>973</v>
      </c>
      <c r="B307" s="226">
        <v>539403</v>
      </c>
      <c r="C307" s="226" t="s">
        <v>486</v>
      </c>
      <c r="D307" s="226" t="s">
        <v>974</v>
      </c>
    </row>
    <row r="308" spans="1:4">
      <c r="A308" s="226" t="s">
        <v>975</v>
      </c>
      <c r="B308" s="226">
        <v>540135</v>
      </c>
      <c r="C308" s="226" t="s">
        <v>486</v>
      </c>
      <c r="D308" s="226" t="s">
        <v>470</v>
      </c>
    </row>
    <row r="309" spans="1:4">
      <c r="A309" s="226" t="s">
        <v>976</v>
      </c>
      <c r="B309" s="226">
        <v>520121</v>
      </c>
      <c r="C309" s="226" t="s">
        <v>486</v>
      </c>
      <c r="D309" s="226" t="s">
        <v>605</v>
      </c>
    </row>
    <row r="310" spans="1:4">
      <c r="A310" s="226" t="s">
        <v>977</v>
      </c>
      <c r="B310" s="226">
        <v>530565</v>
      </c>
      <c r="C310" s="226" t="s">
        <v>486</v>
      </c>
      <c r="D310" s="226" t="s">
        <v>579</v>
      </c>
    </row>
    <row r="311" spans="1:4">
      <c r="A311" s="226" t="s">
        <v>978</v>
      </c>
      <c r="B311" s="226">
        <v>532994</v>
      </c>
      <c r="C311" s="226" t="s">
        <v>979</v>
      </c>
      <c r="D311" s="226" t="s">
        <v>980</v>
      </c>
    </row>
    <row r="312" spans="1:4">
      <c r="A312" s="226" t="s">
        <v>981</v>
      </c>
      <c r="B312" s="226">
        <v>532212</v>
      </c>
      <c r="C312" s="226" t="s">
        <v>982</v>
      </c>
      <c r="D312" s="226" t="s">
        <v>983</v>
      </c>
    </row>
    <row r="313" spans="1:4">
      <c r="A313" s="226" t="s">
        <v>984</v>
      </c>
      <c r="B313" s="226">
        <v>524640</v>
      </c>
      <c r="C313" s="226" t="s">
        <v>486</v>
      </c>
      <c r="D313" s="226" t="s">
        <v>534</v>
      </c>
    </row>
    <row r="314" spans="1:4">
      <c r="A314" s="226" t="s">
        <v>985</v>
      </c>
      <c r="B314" s="226">
        <v>532914</v>
      </c>
      <c r="C314" s="226" t="s">
        <v>986</v>
      </c>
      <c r="D314" s="226" t="s">
        <v>560</v>
      </c>
    </row>
    <row r="315" spans="1:4">
      <c r="A315" s="226" t="s">
        <v>987</v>
      </c>
      <c r="B315" s="226">
        <v>504370</v>
      </c>
      <c r="C315" s="226" t="s">
        <v>486</v>
      </c>
      <c r="D315" s="226" t="s">
        <v>906</v>
      </c>
    </row>
    <row r="316" spans="1:4">
      <c r="A316" s="226" t="s">
        <v>988</v>
      </c>
      <c r="B316" s="226">
        <v>526851</v>
      </c>
      <c r="C316" s="226" t="s">
        <v>486</v>
      </c>
      <c r="D316" s="226" t="s">
        <v>501</v>
      </c>
    </row>
    <row r="317" spans="1:4">
      <c r="A317" s="226" t="s">
        <v>989</v>
      </c>
      <c r="B317" s="226">
        <v>539151</v>
      </c>
      <c r="C317" s="226" t="s">
        <v>486</v>
      </c>
      <c r="D317" s="226" t="s">
        <v>790</v>
      </c>
    </row>
    <row r="318" spans="1:4">
      <c r="A318" s="226" t="s">
        <v>990</v>
      </c>
      <c r="B318" s="226">
        <v>539151</v>
      </c>
      <c r="C318" s="226" t="s">
        <v>486</v>
      </c>
      <c r="D318" s="226" t="s">
        <v>790</v>
      </c>
    </row>
    <row r="319" spans="1:4">
      <c r="A319" s="226" t="s">
        <v>991</v>
      </c>
      <c r="B319" s="226">
        <v>532935</v>
      </c>
      <c r="C319" s="226" t="s">
        <v>992</v>
      </c>
      <c r="D319" s="226" t="s">
        <v>993</v>
      </c>
    </row>
    <row r="320" spans="1:4">
      <c r="A320" s="226" t="s">
        <v>994</v>
      </c>
      <c r="B320" s="226">
        <v>511605</v>
      </c>
      <c r="C320" s="226" t="s">
        <v>486</v>
      </c>
      <c r="D320" s="226" t="s">
        <v>470</v>
      </c>
    </row>
    <row r="321" spans="1:4">
      <c r="A321" s="226" t="s">
        <v>995</v>
      </c>
      <c r="B321" s="226">
        <v>531381</v>
      </c>
      <c r="C321" s="226" t="s">
        <v>996</v>
      </c>
      <c r="D321" s="226" t="s">
        <v>572</v>
      </c>
    </row>
    <row r="322" spans="1:4">
      <c r="A322" s="226" t="s">
        <v>997</v>
      </c>
      <c r="B322" s="226">
        <v>541401</v>
      </c>
      <c r="C322" s="226" t="s">
        <v>486</v>
      </c>
      <c r="D322" s="226" t="s">
        <v>349</v>
      </c>
    </row>
    <row r="323" spans="1:4">
      <c r="A323" s="226" t="s">
        <v>998</v>
      </c>
      <c r="B323" s="226">
        <v>506194</v>
      </c>
      <c r="C323" s="226" t="s">
        <v>999</v>
      </c>
      <c r="D323" s="226" t="s">
        <v>572</v>
      </c>
    </row>
    <row r="324" spans="1:4">
      <c r="A324" s="226" t="s">
        <v>1000</v>
      </c>
      <c r="B324" s="226">
        <v>526125</v>
      </c>
      <c r="C324" s="226" t="s">
        <v>486</v>
      </c>
      <c r="D324" s="226" t="s">
        <v>508</v>
      </c>
    </row>
    <row r="325" spans="1:4">
      <c r="A325" s="226" t="s">
        <v>1001</v>
      </c>
      <c r="B325" s="226">
        <v>531017</v>
      </c>
      <c r="C325" s="226" t="s">
        <v>486</v>
      </c>
      <c r="D325" s="226" t="s">
        <v>906</v>
      </c>
    </row>
    <row r="326" spans="1:4">
      <c r="A326" s="226" t="s">
        <v>1002</v>
      </c>
      <c r="B326" s="226">
        <v>531677</v>
      </c>
      <c r="C326" s="226" t="s">
        <v>486</v>
      </c>
      <c r="D326" s="226" t="s">
        <v>473</v>
      </c>
    </row>
    <row r="327" spans="1:4">
      <c r="A327" s="226" t="s">
        <v>1003</v>
      </c>
      <c r="B327" s="226">
        <v>531179</v>
      </c>
      <c r="C327" s="226" t="s">
        <v>1004</v>
      </c>
      <c r="D327" s="226" t="s">
        <v>503</v>
      </c>
    </row>
    <row r="328" spans="1:4">
      <c r="A328" s="226" t="s">
        <v>1005</v>
      </c>
      <c r="B328" s="226">
        <v>538556</v>
      </c>
      <c r="C328" s="226" t="s">
        <v>1006</v>
      </c>
      <c r="D328" s="226" t="s">
        <v>506</v>
      </c>
    </row>
    <row r="329" spans="1:4">
      <c r="A329" s="226" t="s">
        <v>1007</v>
      </c>
      <c r="B329" s="226">
        <v>532397</v>
      </c>
      <c r="C329" s="226" t="s">
        <v>486</v>
      </c>
      <c r="D329" s="226" t="s">
        <v>480</v>
      </c>
    </row>
    <row r="330" spans="1:4">
      <c r="A330" s="226" t="s">
        <v>1008</v>
      </c>
      <c r="B330" s="226">
        <v>531467</v>
      </c>
      <c r="C330" s="226" t="s">
        <v>486</v>
      </c>
      <c r="D330" s="226" t="s">
        <v>1009</v>
      </c>
    </row>
    <row r="331" spans="1:4">
      <c r="A331" s="226" t="s">
        <v>1010</v>
      </c>
      <c r="B331" s="226">
        <v>537069</v>
      </c>
      <c r="C331" s="226" t="s">
        <v>486</v>
      </c>
      <c r="D331" s="226" t="s">
        <v>503</v>
      </c>
    </row>
    <row r="332" spans="1:4">
      <c r="A332" s="226" t="s">
        <v>1011</v>
      </c>
      <c r="B332" s="226">
        <v>513729</v>
      </c>
      <c r="C332" s="226" t="s">
        <v>1012</v>
      </c>
      <c r="D332" s="226" t="s">
        <v>1013</v>
      </c>
    </row>
    <row r="333" spans="1:4">
      <c r="A333" s="226" t="s">
        <v>1014</v>
      </c>
      <c r="B333" s="226">
        <v>531560</v>
      </c>
      <c r="C333" s="226" t="s">
        <v>486</v>
      </c>
      <c r="D333" s="226" t="s">
        <v>906</v>
      </c>
    </row>
    <row r="334" spans="1:4">
      <c r="A334" s="226" t="s">
        <v>1015</v>
      </c>
      <c r="B334" s="226">
        <v>531560</v>
      </c>
      <c r="C334" s="226" t="s">
        <v>486</v>
      </c>
      <c r="D334" s="226" t="s">
        <v>906</v>
      </c>
    </row>
    <row r="335" spans="1:4">
      <c r="A335" s="226" t="s">
        <v>1016</v>
      </c>
      <c r="B335" s="226">
        <v>516064</v>
      </c>
      <c r="C335" s="226" t="s">
        <v>1017</v>
      </c>
      <c r="D335" s="226" t="s">
        <v>605</v>
      </c>
    </row>
    <row r="336" spans="1:4">
      <c r="A336" s="226" t="s">
        <v>1018</v>
      </c>
      <c r="B336" s="226">
        <v>533068</v>
      </c>
      <c r="C336" s="226" t="s">
        <v>1019</v>
      </c>
      <c r="D336" s="226" t="s">
        <v>599</v>
      </c>
    </row>
    <row r="337" spans="1:4">
      <c r="A337" s="226" t="s">
        <v>1020</v>
      </c>
      <c r="B337" s="226">
        <v>506074</v>
      </c>
      <c r="C337" s="226" t="s">
        <v>1021</v>
      </c>
      <c r="D337" s="226" t="s">
        <v>806</v>
      </c>
    </row>
    <row r="338" spans="1:4">
      <c r="A338" s="226" t="s">
        <v>1022</v>
      </c>
      <c r="B338" s="226">
        <v>533163</v>
      </c>
      <c r="C338" s="226" t="s">
        <v>1023</v>
      </c>
      <c r="D338" s="226" t="s">
        <v>883</v>
      </c>
    </row>
    <row r="339" spans="1:4">
      <c r="A339" s="226" t="s">
        <v>1024</v>
      </c>
      <c r="B339" s="226" t="s">
        <v>486</v>
      </c>
      <c r="C339" s="226" t="s">
        <v>1025</v>
      </c>
      <c r="D339" s="226" t="s">
        <v>497</v>
      </c>
    </row>
    <row r="340" spans="1:4">
      <c r="A340" s="226" t="s">
        <v>1026</v>
      </c>
      <c r="B340" s="226">
        <v>517481</v>
      </c>
      <c r="C340" s="226" t="s">
        <v>486</v>
      </c>
      <c r="D340" s="226" t="s">
        <v>1027</v>
      </c>
    </row>
    <row r="341" spans="1:4">
      <c r="A341" s="226" t="s">
        <v>1028</v>
      </c>
      <c r="B341" s="226">
        <v>531297</v>
      </c>
      <c r="C341" s="226" t="s">
        <v>486</v>
      </c>
      <c r="D341" s="226" t="s">
        <v>570</v>
      </c>
    </row>
    <row r="342" spans="1:4">
      <c r="A342" s="226" t="s">
        <v>1029</v>
      </c>
      <c r="B342" s="226">
        <v>542670</v>
      </c>
      <c r="C342" s="226" t="s">
        <v>1030</v>
      </c>
      <c r="D342" s="226" t="s">
        <v>1031</v>
      </c>
    </row>
    <row r="343" spans="1:4">
      <c r="A343" s="226" t="s">
        <v>1032</v>
      </c>
      <c r="B343" s="226">
        <v>540616</v>
      </c>
      <c r="C343" s="226" t="s">
        <v>1033</v>
      </c>
      <c r="D343" s="226" t="s">
        <v>955</v>
      </c>
    </row>
    <row r="344" spans="1:4">
      <c r="A344" s="226" t="s">
        <v>1034</v>
      </c>
      <c r="B344" s="226">
        <v>522134</v>
      </c>
      <c r="C344" s="226" t="s">
        <v>486</v>
      </c>
      <c r="D344" s="226" t="s">
        <v>494</v>
      </c>
    </row>
    <row r="345" spans="1:4">
      <c r="A345" s="226" t="s">
        <v>1035</v>
      </c>
      <c r="B345" s="226">
        <v>500016</v>
      </c>
      <c r="C345" s="226" t="s">
        <v>486</v>
      </c>
      <c r="D345" s="226" t="s">
        <v>686</v>
      </c>
    </row>
    <row r="346" spans="1:4">
      <c r="A346" s="226" t="s">
        <v>1036</v>
      </c>
      <c r="B346" s="226" t="s">
        <v>486</v>
      </c>
      <c r="C346" s="226" t="s">
        <v>1037</v>
      </c>
      <c r="D346" s="226" t="s">
        <v>497</v>
      </c>
    </row>
    <row r="347" spans="1:4">
      <c r="A347" s="226" t="s">
        <v>1038</v>
      </c>
      <c r="B347" s="226" t="s">
        <v>486</v>
      </c>
      <c r="C347" s="226" t="s">
        <v>1037</v>
      </c>
      <c r="D347" s="226" t="s">
        <v>497</v>
      </c>
    </row>
    <row r="348" spans="1:4">
      <c r="A348" s="226" t="s">
        <v>1039</v>
      </c>
      <c r="B348" s="226">
        <v>542484</v>
      </c>
      <c r="C348" s="226" t="s">
        <v>1040</v>
      </c>
      <c r="D348" s="226" t="s">
        <v>1041</v>
      </c>
    </row>
    <row r="349" spans="1:4">
      <c r="A349" s="226" t="s">
        <v>1042</v>
      </c>
      <c r="B349" s="226">
        <v>500101</v>
      </c>
      <c r="C349" s="226" t="s">
        <v>1043</v>
      </c>
      <c r="D349" s="226" t="s">
        <v>501</v>
      </c>
    </row>
    <row r="350" spans="1:4">
      <c r="A350" s="226" t="s">
        <v>1044</v>
      </c>
      <c r="B350" s="226">
        <v>539301</v>
      </c>
      <c r="C350" s="226" t="s">
        <v>1045</v>
      </c>
      <c r="D350" s="226" t="s">
        <v>572</v>
      </c>
    </row>
    <row r="351" spans="1:4">
      <c r="A351" s="226" t="s">
        <v>1046</v>
      </c>
      <c r="B351" s="226">
        <v>538716</v>
      </c>
      <c r="C351" s="226" t="s">
        <v>486</v>
      </c>
      <c r="D351" s="226" t="s">
        <v>470</v>
      </c>
    </row>
    <row r="352" spans="1:4">
      <c r="A352" s="226" t="s">
        <v>1047</v>
      </c>
      <c r="B352" s="226">
        <v>530245</v>
      </c>
      <c r="C352" s="226" t="s">
        <v>486</v>
      </c>
      <c r="D352" s="226" t="s">
        <v>503</v>
      </c>
    </row>
    <row r="353" spans="1:4">
      <c r="A353" s="226" t="s">
        <v>1048</v>
      </c>
      <c r="B353" s="226">
        <v>542176</v>
      </c>
      <c r="C353" s="226" t="s">
        <v>1049</v>
      </c>
      <c r="D353" s="226" t="s">
        <v>470</v>
      </c>
    </row>
    <row r="354" spans="1:4">
      <c r="A354" s="226" t="s">
        <v>1050</v>
      </c>
      <c r="B354" s="226">
        <v>515030</v>
      </c>
      <c r="C354" s="226" t="s">
        <v>1051</v>
      </c>
      <c r="D354" s="226" t="s">
        <v>840</v>
      </c>
    </row>
    <row r="355" spans="1:4">
      <c r="A355" s="226" t="s">
        <v>1052</v>
      </c>
      <c r="B355" s="226">
        <v>514482</v>
      </c>
      <c r="C355" s="226" t="s">
        <v>486</v>
      </c>
      <c r="D355" s="226" t="s">
        <v>501</v>
      </c>
    </row>
    <row r="356" spans="1:4">
      <c r="A356" s="226" t="s">
        <v>1053</v>
      </c>
      <c r="B356" s="226">
        <v>532853</v>
      </c>
      <c r="C356" s="226" t="s">
        <v>1054</v>
      </c>
      <c r="D356" s="226" t="s">
        <v>645</v>
      </c>
    </row>
    <row r="357" spans="1:4">
      <c r="A357" s="226" t="s">
        <v>1055</v>
      </c>
      <c r="B357" s="226">
        <v>535467</v>
      </c>
      <c r="C357" s="226" t="s">
        <v>1056</v>
      </c>
      <c r="D357" s="226" t="s">
        <v>599</v>
      </c>
    </row>
    <row r="358" spans="1:4">
      <c r="A358" s="226" t="s">
        <v>1057</v>
      </c>
      <c r="B358" s="226">
        <v>527001</v>
      </c>
      <c r="C358" s="226" t="s">
        <v>1058</v>
      </c>
      <c r="D358" s="226" t="s">
        <v>467</v>
      </c>
    </row>
    <row r="359" spans="1:4">
      <c r="A359" s="226" t="s">
        <v>1059</v>
      </c>
      <c r="B359" s="226">
        <v>542579</v>
      </c>
      <c r="C359" s="226" t="s">
        <v>1060</v>
      </c>
      <c r="D359" s="226" t="s">
        <v>1041</v>
      </c>
    </row>
    <row r="360" spans="1:4">
      <c r="A360" s="226" t="s">
        <v>1061</v>
      </c>
      <c r="B360" s="226">
        <v>540024</v>
      </c>
      <c r="C360" s="226" t="s">
        <v>486</v>
      </c>
      <c r="D360" s="226" t="s">
        <v>470</v>
      </c>
    </row>
    <row r="361" spans="1:4">
      <c r="A361" s="226" t="s">
        <v>1062</v>
      </c>
      <c r="B361" s="226">
        <v>519174</v>
      </c>
      <c r="C361" s="226" t="s">
        <v>486</v>
      </c>
      <c r="D361" s="226" t="s">
        <v>734</v>
      </c>
    </row>
    <row r="362" spans="1:4">
      <c r="A362" s="226" t="s">
        <v>1063</v>
      </c>
      <c r="B362" s="226">
        <v>523716</v>
      </c>
      <c r="C362" s="226" t="s">
        <v>1064</v>
      </c>
      <c r="D362" s="226" t="s">
        <v>572</v>
      </c>
    </row>
    <row r="363" spans="1:4">
      <c r="A363" s="226" t="s">
        <v>1065</v>
      </c>
      <c r="B363" s="226">
        <v>513401</v>
      </c>
      <c r="C363" s="226" t="s">
        <v>486</v>
      </c>
      <c r="D363" s="226" t="s">
        <v>518</v>
      </c>
    </row>
    <row r="364" spans="1:4">
      <c r="A364" s="226" t="s">
        <v>1066</v>
      </c>
      <c r="B364" s="226">
        <v>590122</v>
      </c>
      <c r="C364" s="226" t="s">
        <v>1067</v>
      </c>
      <c r="D364" s="226" t="s">
        <v>503</v>
      </c>
    </row>
    <row r="365" spans="1:4">
      <c r="A365" s="226" t="s">
        <v>1068</v>
      </c>
      <c r="B365" s="226">
        <v>514286</v>
      </c>
      <c r="C365" s="226" t="s">
        <v>1069</v>
      </c>
      <c r="D365" s="226" t="s">
        <v>501</v>
      </c>
    </row>
    <row r="366" spans="1:4">
      <c r="A366" s="226" t="s">
        <v>1070</v>
      </c>
      <c r="B366" s="226">
        <v>512247</v>
      </c>
      <c r="C366" s="226" t="s">
        <v>486</v>
      </c>
      <c r="D366" s="226" t="s">
        <v>470</v>
      </c>
    </row>
    <row r="367" spans="1:4">
      <c r="A367" s="226" t="s">
        <v>1071</v>
      </c>
      <c r="B367" s="226">
        <v>526847</v>
      </c>
      <c r="C367" s="226" t="s">
        <v>486</v>
      </c>
      <c r="D367" s="226" t="s">
        <v>518</v>
      </c>
    </row>
    <row r="368" spans="1:4">
      <c r="A368" s="226" t="s">
        <v>1072</v>
      </c>
      <c r="B368" s="226">
        <v>530429</v>
      </c>
      <c r="C368" s="226" t="s">
        <v>486</v>
      </c>
      <c r="D368" s="226" t="s">
        <v>605</v>
      </c>
    </row>
    <row r="369" spans="1:4">
      <c r="A369" s="226" t="s">
        <v>1073</v>
      </c>
      <c r="B369" s="226">
        <v>541702</v>
      </c>
      <c r="C369" s="226" t="s">
        <v>486</v>
      </c>
      <c r="D369" s="226" t="s">
        <v>508</v>
      </c>
    </row>
    <row r="370" spans="1:4">
      <c r="A370" s="226" t="s">
        <v>1074</v>
      </c>
      <c r="B370" s="226">
        <v>507872</v>
      </c>
      <c r="C370" s="226" t="s">
        <v>486</v>
      </c>
      <c r="D370" s="226" t="s">
        <v>501</v>
      </c>
    </row>
    <row r="371" spans="1:4">
      <c r="A371" s="226" t="s">
        <v>1075</v>
      </c>
      <c r="B371" s="226">
        <v>524594</v>
      </c>
      <c r="C371" s="226" t="s">
        <v>486</v>
      </c>
      <c r="D371" s="226" t="s">
        <v>534</v>
      </c>
    </row>
    <row r="372" spans="1:4">
      <c r="A372" s="226" t="s">
        <v>1076</v>
      </c>
      <c r="B372" s="226">
        <v>500477</v>
      </c>
      <c r="C372" s="226" t="s">
        <v>1077</v>
      </c>
      <c r="D372" s="226" t="s">
        <v>564</v>
      </c>
    </row>
    <row r="373" spans="1:4">
      <c r="A373" s="226" t="s">
        <v>1078</v>
      </c>
      <c r="B373" s="226">
        <v>533271</v>
      </c>
      <c r="C373" s="226" t="s">
        <v>1079</v>
      </c>
      <c r="D373" s="226" t="s">
        <v>1080</v>
      </c>
    </row>
    <row r="374" spans="1:4">
      <c r="A374" s="226" t="s">
        <v>1081</v>
      </c>
      <c r="B374" s="226">
        <v>540923</v>
      </c>
      <c r="C374" s="226" t="s">
        <v>486</v>
      </c>
      <c r="D374" s="226" t="s">
        <v>883</v>
      </c>
    </row>
    <row r="375" spans="1:4">
      <c r="A375" s="226" t="s">
        <v>1082</v>
      </c>
      <c r="B375" s="226">
        <v>526983</v>
      </c>
      <c r="C375" s="226" t="s">
        <v>486</v>
      </c>
      <c r="D375" s="226" t="s">
        <v>683</v>
      </c>
    </row>
    <row r="376" spans="1:4">
      <c r="A376" s="226" t="s">
        <v>1083</v>
      </c>
      <c r="B376" s="226">
        <v>526187</v>
      </c>
      <c r="C376" s="226" t="s">
        <v>486</v>
      </c>
      <c r="D376" s="226" t="s">
        <v>674</v>
      </c>
    </row>
    <row r="377" spans="1:4">
      <c r="A377" s="226" t="s">
        <v>1084</v>
      </c>
      <c r="B377" s="226">
        <v>531568</v>
      </c>
      <c r="C377" s="226" t="s">
        <v>486</v>
      </c>
      <c r="D377" s="226" t="s">
        <v>480</v>
      </c>
    </row>
    <row r="378" spans="1:4">
      <c r="A378" s="226" t="s">
        <v>1085</v>
      </c>
      <c r="B378" s="226">
        <v>502015</v>
      </c>
      <c r="C378" s="226" t="s">
        <v>486</v>
      </c>
      <c r="D378" s="226" t="s">
        <v>467</v>
      </c>
    </row>
    <row r="379" spans="1:4">
      <c r="A379" s="226" t="s">
        <v>1086</v>
      </c>
      <c r="B379" s="226">
        <v>538777</v>
      </c>
      <c r="C379" s="226" t="s">
        <v>486</v>
      </c>
      <c r="D379" s="226" t="s">
        <v>503</v>
      </c>
    </row>
    <row r="380" spans="1:4">
      <c r="A380" s="226" t="s">
        <v>1087</v>
      </c>
      <c r="B380" s="226">
        <v>530899</v>
      </c>
      <c r="C380" s="226" t="s">
        <v>486</v>
      </c>
      <c r="D380" s="226" t="s">
        <v>501</v>
      </c>
    </row>
    <row r="381" spans="1:4">
      <c r="A381" s="226" t="s">
        <v>1088</v>
      </c>
      <c r="B381" s="226">
        <v>531392</v>
      </c>
      <c r="C381" s="226" t="s">
        <v>486</v>
      </c>
      <c r="D381" s="226" t="s">
        <v>683</v>
      </c>
    </row>
    <row r="382" spans="1:4">
      <c r="A382" s="226" t="s">
        <v>1089</v>
      </c>
      <c r="B382" s="226">
        <v>532888</v>
      </c>
      <c r="C382" s="226" t="s">
        <v>1090</v>
      </c>
      <c r="D382" s="226" t="s">
        <v>762</v>
      </c>
    </row>
    <row r="383" spans="1:4">
      <c r="A383" s="226" t="s">
        <v>1091</v>
      </c>
      <c r="B383" s="226">
        <v>532888</v>
      </c>
      <c r="C383" s="226" t="s">
        <v>1090</v>
      </c>
      <c r="D383" s="226" t="s">
        <v>762</v>
      </c>
    </row>
    <row r="384" spans="1:4">
      <c r="A384" s="226" t="s">
        <v>1092</v>
      </c>
      <c r="B384" s="226">
        <v>533227</v>
      </c>
      <c r="C384" s="226" t="s">
        <v>1093</v>
      </c>
      <c r="D384" s="226" t="s">
        <v>686</v>
      </c>
    </row>
    <row r="385" spans="1:4">
      <c r="A385" s="226" t="s">
        <v>1094</v>
      </c>
      <c r="B385" s="226">
        <v>500023</v>
      </c>
      <c r="C385" s="226" t="s">
        <v>1095</v>
      </c>
      <c r="D385" s="226" t="s">
        <v>686</v>
      </c>
    </row>
    <row r="386" spans="1:4">
      <c r="A386" s="226" t="s">
        <v>1096</v>
      </c>
      <c r="B386" s="226">
        <v>533221</v>
      </c>
      <c r="C386" s="226" t="s">
        <v>1097</v>
      </c>
      <c r="D386" s="226" t="s">
        <v>686</v>
      </c>
    </row>
    <row r="387" spans="1:4">
      <c r="A387" s="226" t="s">
        <v>1098</v>
      </c>
      <c r="B387" s="226">
        <v>530355</v>
      </c>
      <c r="C387" s="226" t="s">
        <v>486</v>
      </c>
      <c r="D387" s="226" t="s">
        <v>826</v>
      </c>
    </row>
    <row r="388" spans="1:4">
      <c r="A388" s="226" t="s">
        <v>1099</v>
      </c>
      <c r="B388" s="226">
        <v>500820</v>
      </c>
      <c r="C388" s="226" t="s">
        <v>1100</v>
      </c>
      <c r="D388" s="226" t="s">
        <v>762</v>
      </c>
    </row>
    <row r="389" spans="1:4">
      <c r="A389" s="226" t="s">
        <v>1101</v>
      </c>
      <c r="B389" s="226">
        <v>524434</v>
      </c>
      <c r="C389" s="226" t="s">
        <v>486</v>
      </c>
      <c r="D389" s="226" t="s">
        <v>534</v>
      </c>
    </row>
    <row r="390" spans="1:4">
      <c r="A390" s="226" t="s">
        <v>1102</v>
      </c>
      <c r="B390" s="226">
        <v>531847</v>
      </c>
      <c r="C390" s="226" t="s">
        <v>486</v>
      </c>
      <c r="D390" s="226" t="s">
        <v>599</v>
      </c>
    </row>
    <row r="391" spans="1:4">
      <c r="A391" s="226" t="s">
        <v>1103</v>
      </c>
      <c r="B391" s="226">
        <v>519532</v>
      </c>
      <c r="C391" s="226" t="s">
        <v>486</v>
      </c>
      <c r="D391" s="226" t="s">
        <v>508</v>
      </c>
    </row>
    <row r="392" spans="1:4">
      <c r="A392" s="226" t="s">
        <v>1104</v>
      </c>
      <c r="B392" s="226">
        <v>506159</v>
      </c>
      <c r="C392" s="226" t="s">
        <v>1105</v>
      </c>
      <c r="D392" s="226" t="s">
        <v>806</v>
      </c>
    </row>
    <row r="393" spans="1:4">
      <c r="A393" s="226" t="s">
        <v>1106</v>
      </c>
      <c r="B393" s="226">
        <v>530723</v>
      </c>
      <c r="C393" s="226" t="s">
        <v>486</v>
      </c>
      <c r="D393" s="226" t="s">
        <v>470</v>
      </c>
    </row>
    <row r="394" spans="1:4">
      <c r="A394" s="226" t="s">
        <v>1107</v>
      </c>
      <c r="B394" s="226" t="s">
        <v>486</v>
      </c>
      <c r="C394" s="226" t="s">
        <v>1108</v>
      </c>
      <c r="D394" s="226" t="s">
        <v>497</v>
      </c>
    </row>
    <row r="395" spans="1:4">
      <c r="A395" s="226" t="s">
        <v>1109</v>
      </c>
      <c r="B395" s="226">
        <v>526433</v>
      </c>
      <c r="C395" s="226" t="s">
        <v>486</v>
      </c>
      <c r="D395" s="226" t="s">
        <v>473</v>
      </c>
    </row>
    <row r="396" spans="1:4">
      <c r="A396" s="226" t="s">
        <v>1110</v>
      </c>
      <c r="B396" s="226" t="s">
        <v>486</v>
      </c>
      <c r="C396" s="226" t="s">
        <v>1111</v>
      </c>
      <c r="D396" s="226" t="s">
        <v>577</v>
      </c>
    </row>
    <row r="397" spans="1:4">
      <c r="A397" s="226" t="s">
        <v>1112</v>
      </c>
      <c r="B397" s="226">
        <v>540788</v>
      </c>
      <c r="C397" s="226" t="s">
        <v>486</v>
      </c>
      <c r="D397" s="226" t="s">
        <v>674</v>
      </c>
    </row>
    <row r="398" spans="1:4">
      <c r="A398" s="226" t="s">
        <v>1113</v>
      </c>
      <c r="B398" s="226">
        <v>500024</v>
      </c>
      <c r="C398" s="226" t="s">
        <v>1114</v>
      </c>
      <c r="D398" s="226" t="s">
        <v>892</v>
      </c>
    </row>
    <row r="399" spans="1:4">
      <c r="A399" s="226" t="s">
        <v>1115</v>
      </c>
      <c r="B399" s="226">
        <v>500024</v>
      </c>
      <c r="C399" s="226" t="s">
        <v>1114</v>
      </c>
      <c r="D399" s="226" t="s">
        <v>892</v>
      </c>
    </row>
    <row r="400" spans="1:4">
      <c r="A400" s="226" t="s">
        <v>1116</v>
      </c>
      <c r="B400" s="226">
        <v>507526</v>
      </c>
      <c r="C400" s="226" t="s">
        <v>486</v>
      </c>
      <c r="D400" s="226" t="s">
        <v>1117</v>
      </c>
    </row>
    <row r="401" spans="1:4">
      <c r="A401" s="226" t="s">
        <v>1118</v>
      </c>
      <c r="B401" s="226">
        <v>533138</v>
      </c>
      <c r="C401" s="226" t="s">
        <v>1119</v>
      </c>
      <c r="D401" s="226" t="s">
        <v>629</v>
      </c>
    </row>
    <row r="402" spans="1:4">
      <c r="A402" s="226" t="s">
        <v>1120</v>
      </c>
      <c r="B402" s="226">
        <v>540975</v>
      </c>
      <c r="C402" s="226" t="s">
        <v>1121</v>
      </c>
      <c r="D402" s="226" t="s">
        <v>674</v>
      </c>
    </row>
    <row r="403" spans="1:4">
      <c r="A403" s="226" t="s">
        <v>1122</v>
      </c>
      <c r="B403" s="226">
        <v>532493</v>
      </c>
      <c r="C403" s="226" t="s">
        <v>1123</v>
      </c>
      <c r="D403" s="226" t="s">
        <v>958</v>
      </c>
    </row>
    <row r="404" spans="1:4">
      <c r="A404" s="226" t="s">
        <v>1124</v>
      </c>
      <c r="B404" s="226">
        <v>532830</v>
      </c>
      <c r="C404" s="226" t="s">
        <v>1125</v>
      </c>
      <c r="D404" s="226" t="s">
        <v>605</v>
      </c>
    </row>
    <row r="405" spans="1:4">
      <c r="A405" s="226" t="s">
        <v>1126</v>
      </c>
      <c r="B405" s="226">
        <v>506820</v>
      </c>
      <c r="C405" s="226" t="s">
        <v>1127</v>
      </c>
      <c r="D405" s="226" t="s">
        <v>524</v>
      </c>
    </row>
    <row r="406" spans="1:4">
      <c r="A406" s="226" t="s">
        <v>1128</v>
      </c>
      <c r="B406" s="226">
        <v>506820</v>
      </c>
      <c r="C406" s="226" t="s">
        <v>1127</v>
      </c>
      <c r="D406" s="226" t="s">
        <v>524</v>
      </c>
    </row>
    <row r="407" spans="1:4">
      <c r="A407" s="226" t="s">
        <v>1129</v>
      </c>
      <c r="B407" s="226">
        <v>540824</v>
      </c>
      <c r="C407" s="226" t="s">
        <v>1130</v>
      </c>
      <c r="D407" s="226" t="s">
        <v>480</v>
      </c>
    </row>
    <row r="408" spans="1:4">
      <c r="A408" s="226" t="s">
        <v>1131</v>
      </c>
      <c r="B408" s="226">
        <v>512433</v>
      </c>
      <c r="C408" s="226" t="s">
        <v>486</v>
      </c>
      <c r="D408" s="226" t="s">
        <v>508</v>
      </c>
    </row>
    <row r="409" spans="1:4">
      <c r="A409" s="226" t="s">
        <v>1132</v>
      </c>
      <c r="B409" s="226">
        <v>511144</v>
      </c>
      <c r="C409" s="226" t="s">
        <v>486</v>
      </c>
      <c r="D409" s="226" t="s">
        <v>473</v>
      </c>
    </row>
    <row r="410" spans="1:4">
      <c r="A410" s="226" t="s">
        <v>1133</v>
      </c>
      <c r="B410" s="226">
        <v>530187</v>
      </c>
      <c r="C410" s="226" t="s">
        <v>486</v>
      </c>
      <c r="D410" s="226" t="s">
        <v>503</v>
      </c>
    </row>
    <row r="411" spans="1:4">
      <c r="A411" s="226" t="s">
        <v>1134</v>
      </c>
      <c r="B411" s="226">
        <v>539099</v>
      </c>
      <c r="C411" s="226" t="s">
        <v>486</v>
      </c>
      <c r="D411" s="226" t="s">
        <v>572</v>
      </c>
    </row>
    <row r="412" spans="1:4">
      <c r="A412" s="226" t="s">
        <v>1135</v>
      </c>
      <c r="B412" s="226">
        <v>517429</v>
      </c>
      <c r="C412" s="226" t="s">
        <v>1136</v>
      </c>
      <c r="D412" s="226" t="s">
        <v>579</v>
      </c>
    </row>
    <row r="413" spans="1:4">
      <c r="A413" s="226" t="s">
        <v>1137</v>
      </c>
      <c r="B413" s="226">
        <v>538713</v>
      </c>
      <c r="C413" s="226" t="s">
        <v>486</v>
      </c>
      <c r="D413" s="226" t="s">
        <v>579</v>
      </c>
    </row>
    <row r="414" spans="1:4">
      <c r="A414" s="226" t="s">
        <v>1138</v>
      </c>
      <c r="B414" s="226">
        <v>526843</v>
      </c>
      <c r="C414" s="226" t="s">
        <v>486</v>
      </c>
      <c r="D414" s="226" t="s">
        <v>508</v>
      </c>
    </row>
    <row r="415" spans="1:4">
      <c r="A415" s="226" t="s">
        <v>1139</v>
      </c>
      <c r="B415" s="226">
        <v>532759</v>
      </c>
      <c r="C415" s="226" t="s">
        <v>1140</v>
      </c>
      <c r="D415" s="226" t="s">
        <v>883</v>
      </c>
    </row>
    <row r="416" spans="1:4">
      <c r="A416" s="226" t="s">
        <v>1141</v>
      </c>
      <c r="B416" s="226">
        <v>505029</v>
      </c>
      <c r="C416" s="226" t="s">
        <v>1142</v>
      </c>
      <c r="D416" s="226" t="s">
        <v>1143</v>
      </c>
    </row>
    <row r="417" spans="1:4">
      <c r="A417" s="226" t="s">
        <v>1144</v>
      </c>
      <c r="B417" s="226">
        <v>514394</v>
      </c>
      <c r="C417" s="226" t="s">
        <v>486</v>
      </c>
      <c r="D417" s="226" t="s">
        <v>599</v>
      </c>
    </row>
    <row r="418" spans="1:4">
      <c r="A418" s="226" t="s">
        <v>1145</v>
      </c>
      <c r="B418" s="226">
        <v>514394</v>
      </c>
      <c r="C418" s="226" t="s">
        <v>486</v>
      </c>
      <c r="D418" s="226" t="s">
        <v>599</v>
      </c>
    </row>
    <row r="419" spans="1:4">
      <c r="A419" s="226" t="s">
        <v>1146</v>
      </c>
      <c r="B419" s="226">
        <v>531795</v>
      </c>
      <c r="C419" s="226" t="s">
        <v>1147</v>
      </c>
      <c r="D419" s="226" t="s">
        <v>1143</v>
      </c>
    </row>
    <row r="420" spans="1:4">
      <c r="A420" s="226" t="s">
        <v>1148</v>
      </c>
      <c r="B420" s="226">
        <v>500027</v>
      </c>
      <c r="C420" s="226" t="s">
        <v>1149</v>
      </c>
      <c r="D420" s="226" t="s">
        <v>629</v>
      </c>
    </row>
    <row r="421" spans="1:4">
      <c r="A421" s="226" t="s">
        <v>1150</v>
      </c>
      <c r="B421" s="226">
        <v>500028</v>
      </c>
      <c r="C421" s="226" t="s">
        <v>486</v>
      </c>
      <c r="D421" s="226" t="s">
        <v>883</v>
      </c>
    </row>
    <row r="422" spans="1:4">
      <c r="A422" s="226" t="s">
        <v>1151</v>
      </c>
      <c r="B422" s="226">
        <v>500028</v>
      </c>
      <c r="C422" s="226" t="s">
        <v>486</v>
      </c>
      <c r="D422" s="226" t="s">
        <v>883</v>
      </c>
    </row>
    <row r="423" spans="1:4">
      <c r="A423" s="226" t="s">
        <v>1152</v>
      </c>
      <c r="B423" s="226">
        <v>540611</v>
      </c>
      <c r="C423" s="226" t="s">
        <v>1153</v>
      </c>
      <c r="D423" s="226" t="s">
        <v>803</v>
      </c>
    </row>
    <row r="424" spans="1:4">
      <c r="A424" s="226" t="s">
        <v>1154</v>
      </c>
      <c r="B424" s="226">
        <v>532459</v>
      </c>
      <c r="C424" s="226" t="s">
        <v>486</v>
      </c>
      <c r="D424" s="226" t="s">
        <v>501</v>
      </c>
    </row>
    <row r="425" spans="1:4">
      <c r="A425" s="226" t="s">
        <v>1155</v>
      </c>
      <c r="B425" s="226" t="s">
        <v>486</v>
      </c>
      <c r="C425" s="226" t="s">
        <v>1156</v>
      </c>
      <c r="D425" s="226" t="s">
        <v>497</v>
      </c>
    </row>
    <row r="426" spans="1:4">
      <c r="A426" s="226" t="s">
        <v>1157</v>
      </c>
      <c r="B426" s="226">
        <v>532668</v>
      </c>
      <c r="C426" s="226" t="s">
        <v>1158</v>
      </c>
      <c r="D426" s="226" t="s">
        <v>579</v>
      </c>
    </row>
    <row r="427" spans="1:4">
      <c r="A427" s="226" t="s">
        <v>1159</v>
      </c>
      <c r="B427" s="226">
        <v>530233</v>
      </c>
      <c r="C427" s="226" t="s">
        <v>486</v>
      </c>
      <c r="D427" s="226" t="s">
        <v>524</v>
      </c>
    </row>
    <row r="428" spans="1:4">
      <c r="A428" s="226" t="s">
        <v>1160</v>
      </c>
      <c r="B428" s="226">
        <v>524804</v>
      </c>
      <c r="C428" s="226" t="s">
        <v>1161</v>
      </c>
      <c r="D428" s="226" t="s">
        <v>524</v>
      </c>
    </row>
    <row r="429" spans="1:4">
      <c r="A429" s="226" t="s">
        <v>1162</v>
      </c>
      <c r="B429" s="226">
        <v>531336</v>
      </c>
      <c r="C429" s="226" t="s">
        <v>486</v>
      </c>
      <c r="D429" s="226" t="s">
        <v>1163</v>
      </c>
    </row>
    <row r="430" spans="1:4">
      <c r="A430" s="226" t="s">
        <v>1164</v>
      </c>
      <c r="B430" s="226">
        <v>509009</v>
      </c>
      <c r="C430" s="226" t="s">
        <v>1165</v>
      </c>
      <c r="D430" s="226" t="s">
        <v>508</v>
      </c>
    </row>
    <row r="431" spans="1:4">
      <c r="A431" s="226" t="s">
        <v>1166</v>
      </c>
      <c r="B431" s="226">
        <v>522005</v>
      </c>
      <c r="C431" s="226" t="s">
        <v>486</v>
      </c>
      <c r="D431" s="226" t="s">
        <v>494</v>
      </c>
    </row>
    <row r="432" spans="1:4">
      <c r="A432" s="226" t="s">
        <v>1167</v>
      </c>
      <c r="B432" s="226">
        <v>539177</v>
      </c>
      <c r="C432" s="226" t="s">
        <v>486</v>
      </c>
      <c r="D432" s="226" t="s">
        <v>503</v>
      </c>
    </row>
    <row r="433" spans="1:4">
      <c r="A433" s="226" t="s">
        <v>1168</v>
      </c>
      <c r="B433" s="226">
        <v>531994</v>
      </c>
      <c r="C433" s="226" t="s">
        <v>486</v>
      </c>
      <c r="D433" s="226" t="s">
        <v>840</v>
      </c>
    </row>
    <row r="434" spans="1:4">
      <c r="A434" s="226" t="s">
        <v>1169</v>
      </c>
      <c r="B434" s="226">
        <v>531994</v>
      </c>
      <c r="C434" s="226" t="s">
        <v>486</v>
      </c>
      <c r="D434" s="226" t="s">
        <v>840</v>
      </c>
    </row>
    <row r="435" spans="1:4">
      <c r="A435" s="226" t="s">
        <v>1170</v>
      </c>
      <c r="B435" s="226">
        <v>532797</v>
      </c>
      <c r="C435" s="226" t="s">
        <v>1171</v>
      </c>
      <c r="D435" s="226" t="s">
        <v>840</v>
      </c>
    </row>
    <row r="436" spans="1:4">
      <c r="A436" s="226" t="s">
        <v>1172</v>
      </c>
      <c r="B436" s="226">
        <v>500029</v>
      </c>
      <c r="C436" s="226" t="s">
        <v>1173</v>
      </c>
      <c r="D436" s="226" t="s">
        <v>840</v>
      </c>
    </row>
    <row r="437" spans="1:4">
      <c r="A437" s="226" t="s">
        <v>1174</v>
      </c>
      <c r="B437" s="226">
        <v>500029</v>
      </c>
      <c r="C437" s="226" t="s">
        <v>1173</v>
      </c>
      <c r="D437" s="226" t="s">
        <v>840</v>
      </c>
    </row>
    <row r="438" spans="1:4">
      <c r="A438" s="226" t="s">
        <v>1175</v>
      </c>
      <c r="B438" s="226">
        <v>505036</v>
      </c>
      <c r="C438" s="226" t="s">
        <v>486</v>
      </c>
      <c r="D438" s="226" t="s">
        <v>840</v>
      </c>
    </row>
    <row r="439" spans="1:4">
      <c r="A439" s="226" t="s">
        <v>1176</v>
      </c>
      <c r="B439" s="226">
        <v>505010</v>
      </c>
      <c r="C439" s="226" t="s">
        <v>1177</v>
      </c>
      <c r="D439" s="226" t="s">
        <v>840</v>
      </c>
    </row>
    <row r="440" spans="1:4">
      <c r="A440" s="226" t="s">
        <v>1178</v>
      </c>
      <c r="B440" s="226">
        <v>520119</v>
      </c>
      <c r="C440" s="226" t="s">
        <v>1179</v>
      </c>
      <c r="D440" s="226" t="s">
        <v>840</v>
      </c>
    </row>
    <row r="441" spans="1:4">
      <c r="A441" s="226" t="s">
        <v>1180</v>
      </c>
      <c r="B441" s="226">
        <v>512277</v>
      </c>
      <c r="C441" s="226" t="s">
        <v>486</v>
      </c>
      <c r="D441" s="226" t="s">
        <v>806</v>
      </c>
    </row>
    <row r="442" spans="1:4">
      <c r="A442" s="226" t="s">
        <v>1181</v>
      </c>
      <c r="B442" s="226">
        <v>780004</v>
      </c>
      <c r="C442" s="226" t="s">
        <v>486</v>
      </c>
      <c r="D442" s="226" t="s">
        <v>577</v>
      </c>
    </row>
    <row r="443" spans="1:4">
      <c r="A443" s="226" t="s">
        <v>1182</v>
      </c>
      <c r="B443" s="226">
        <v>540649</v>
      </c>
      <c r="C443" s="226" t="s">
        <v>1183</v>
      </c>
      <c r="D443" s="226" t="s">
        <v>1184</v>
      </c>
    </row>
    <row r="444" spans="1:4">
      <c r="A444" s="226" t="s">
        <v>1185</v>
      </c>
      <c r="B444" s="226">
        <v>531310</v>
      </c>
      <c r="C444" s="226" t="s">
        <v>486</v>
      </c>
      <c r="D444" s="226" t="s">
        <v>470</v>
      </c>
    </row>
    <row r="445" spans="1:4">
      <c r="A445" s="226" t="s">
        <v>1186</v>
      </c>
      <c r="B445" s="226">
        <v>512149</v>
      </c>
      <c r="C445" s="226" t="s">
        <v>486</v>
      </c>
      <c r="D445" s="226" t="s">
        <v>579</v>
      </c>
    </row>
    <row r="446" spans="1:4">
      <c r="A446" s="226" t="s">
        <v>1187</v>
      </c>
      <c r="B446" s="226">
        <v>532406</v>
      </c>
      <c r="C446" s="226" t="s">
        <v>486</v>
      </c>
      <c r="D446" s="226" t="s">
        <v>631</v>
      </c>
    </row>
    <row r="447" spans="1:4">
      <c r="A447" s="226" t="s">
        <v>1188</v>
      </c>
      <c r="B447" s="226">
        <v>512573</v>
      </c>
      <c r="C447" s="226" t="s">
        <v>1189</v>
      </c>
      <c r="D447" s="226" t="s">
        <v>566</v>
      </c>
    </row>
    <row r="448" spans="1:4">
      <c r="A448" s="226" t="s">
        <v>1</v>
      </c>
      <c r="B448" s="226">
        <v>540376</v>
      </c>
      <c r="C448" s="226" t="s">
        <v>279</v>
      </c>
      <c r="D448" s="226" t="s">
        <v>654</v>
      </c>
    </row>
    <row r="449" spans="1:4">
      <c r="A449" s="226" t="s">
        <v>1190</v>
      </c>
      <c r="B449" s="226" t="s">
        <v>486</v>
      </c>
      <c r="C449" s="226" t="s">
        <v>1191</v>
      </c>
      <c r="D449" s="226" t="s">
        <v>497</v>
      </c>
    </row>
    <row r="450" spans="1:4">
      <c r="A450" s="226" t="s">
        <v>1192</v>
      </c>
      <c r="B450" s="226">
        <v>539288</v>
      </c>
      <c r="C450" s="226" t="s">
        <v>486</v>
      </c>
      <c r="D450" s="226" t="s">
        <v>645</v>
      </c>
    </row>
    <row r="451" spans="1:4">
      <c r="A451" s="226" t="s">
        <v>1193</v>
      </c>
      <c r="B451" s="226">
        <v>523896</v>
      </c>
      <c r="C451" s="226" t="s">
        <v>486</v>
      </c>
      <c r="D451" s="226" t="s">
        <v>508</v>
      </c>
    </row>
    <row r="452" spans="1:4">
      <c r="A452" s="226" t="s">
        <v>1194</v>
      </c>
      <c r="B452" s="226">
        <v>523896</v>
      </c>
      <c r="C452" s="226" t="s">
        <v>486</v>
      </c>
      <c r="D452" s="226" t="s">
        <v>508</v>
      </c>
    </row>
    <row r="453" spans="1:4">
      <c r="A453" s="226" t="s">
        <v>1195</v>
      </c>
      <c r="B453" s="226">
        <v>512109</v>
      </c>
      <c r="C453" s="226" t="s">
        <v>486</v>
      </c>
      <c r="D453" s="226" t="s">
        <v>508</v>
      </c>
    </row>
    <row r="454" spans="1:4">
      <c r="A454" s="226" t="s">
        <v>1196</v>
      </c>
      <c r="B454" s="226">
        <v>531541</v>
      </c>
      <c r="C454" s="226" t="s">
        <v>486</v>
      </c>
      <c r="D454" s="226" t="s">
        <v>534</v>
      </c>
    </row>
    <row r="455" spans="1:4">
      <c r="A455" s="226" t="s">
        <v>1197</v>
      </c>
      <c r="B455" s="226" t="s">
        <v>486</v>
      </c>
      <c r="C455" s="226" t="s">
        <v>1198</v>
      </c>
      <c r="D455" s="226" t="s">
        <v>497</v>
      </c>
    </row>
    <row r="456" spans="1:4">
      <c r="A456" s="226" t="s">
        <v>1199</v>
      </c>
      <c r="B456" s="226">
        <v>511589</v>
      </c>
      <c r="C456" s="226" t="s">
        <v>486</v>
      </c>
      <c r="D456" s="226" t="s">
        <v>503</v>
      </c>
    </row>
    <row r="457" spans="1:4">
      <c r="A457" s="226" t="s">
        <v>1200</v>
      </c>
      <c r="B457" s="226" t="s">
        <v>486</v>
      </c>
      <c r="C457" s="226" t="s">
        <v>1201</v>
      </c>
      <c r="D457" s="226" t="s">
        <v>497</v>
      </c>
    </row>
    <row r="458" spans="1:4">
      <c r="A458" s="226" t="s">
        <v>1202</v>
      </c>
      <c r="B458" s="226">
        <v>519105</v>
      </c>
      <c r="C458" s="226" t="s">
        <v>1203</v>
      </c>
      <c r="D458" s="226" t="s">
        <v>683</v>
      </c>
    </row>
    <row r="459" spans="1:4">
      <c r="A459" s="226" t="s">
        <v>1204</v>
      </c>
      <c r="B459" s="226">
        <v>504390</v>
      </c>
      <c r="C459" s="226" t="s">
        <v>486</v>
      </c>
      <c r="D459" s="226" t="s">
        <v>470</v>
      </c>
    </row>
    <row r="460" spans="1:4">
      <c r="A460" s="226" t="s">
        <v>1205</v>
      </c>
      <c r="B460" s="226">
        <v>513642</v>
      </c>
      <c r="C460" s="226" t="s">
        <v>486</v>
      </c>
      <c r="D460" s="226" t="s">
        <v>605</v>
      </c>
    </row>
    <row r="461" spans="1:4">
      <c r="A461" s="226" t="s">
        <v>1206</v>
      </c>
      <c r="B461" s="226">
        <v>532215</v>
      </c>
      <c r="C461" s="226" t="s">
        <v>1207</v>
      </c>
      <c r="D461" s="226" t="s">
        <v>803</v>
      </c>
    </row>
    <row r="462" spans="1:4">
      <c r="A462" s="226" t="s">
        <v>1208</v>
      </c>
      <c r="B462" s="226">
        <v>532395</v>
      </c>
      <c r="C462" s="226" t="s">
        <v>1209</v>
      </c>
      <c r="D462" s="226" t="s">
        <v>815</v>
      </c>
    </row>
    <row r="463" spans="1:4">
      <c r="A463" s="226" t="s">
        <v>1210</v>
      </c>
      <c r="B463" s="226">
        <v>542285</v>
      </c>
      <c r="C463" s="226" t="s">
        <v>1211</v>
      </c>
      <c r="D463" s="226" t="s">
        <v>501</v>
      </c>
    </row>
    <row r="464" spans="1:4">
      <c r="A464" s="226" t="s">
        <v>1212</v>
      </c>
      <c r="B464" s="226">
        <v>505506</v>
      </c>
      <c r="C464" s="226" t="s">
        <v>486</v>
      </c>
      <c r="D464" s="226" t="s">
        <v>579</v>
      </c>
    </row>
    <row r="465" spans="1:4">
      <c r="A465" s="226" t="s">
        <v>1213</v>
      </c>
      <c r="B465" s="226">
        <v>523850</v>
      </c>
      <c r="C465" s="226" t="s">
        <v>486</v>
      </c>
      <c r="D465" s="226" t="s">
        <v>494</v>
      </c>
    </row>
    <row r="466" spans="1:4">
      <c r="A466" s="226" t="s">
        <v>1214</v>
      </c>
      <c r="B466" s="226">
        <v>523168</v>
      </c>
      <c r="C466" s="226" t="s">
        <v>486</v>
      </c>
      <c r="D466" s="226" t="s">
        <v>699</v>
      </c>
    </row>
    <row r="467" spans="1:4">
      <c r="A467" s="226" t="s">
        <v>1215</v>
      </c>
      <c r="B467" s="226">
        <v>508933</v>
      </c>
      <c r="C467" s="226" t="s">
        <v>1216</v>
      </c>
      <c r="D467" s="226" t="s">
        <v>501</v>
      </c>
    </row>
    <row r="468" spans="1:4">
      <c r="A468" s="226" t="s">
        <v>1217</v>
      </c>
      <c r="B468" s="226">
        <v>512063</v>
      </c>
      <c r="C468" s="226" t="s">
        <v>486</v>
      </c>
      <c r="D468" s="226" t="s">
        <v>508</v>
      </c>
    </row>
    <row r="469" spans="1:4">
      <c r="A469" s="226" t="s">
        <v>1218</v>
      </c>
      <c r="B469" s="226">
        <v>536965</v>
      </c>
      <c r="C469" s="226" t="s">
        <v>486</v>
      </c>
      <c r="D469" s="226" t="s">
        <v>503</v>
      </c>
    </row>
    <row r="470" spans="1:4">
      <c r="A470" s="226" t="s">
        <v>1219</v>
      </c>
      <c r="B470" s="226">
        <v>508136</v>
      </c>
      <c r="C470" s="226" t="s">
        <v>486</v>
      </c>
      <c r="D470" s="226" t="s">
        <v>892</v>
      </c>
    </row>
    <row r="471" spans="1:4">
      <c r="A471" s="226" t="s">
        <v>1220</v>
      </c>
      <c r="B471" s="226">
        <v>532507</v>
      </c>
      <c r="C471" s="226" t="s">
        <v>1221</v>
      </c>
      <c r="D471" s="226" t="s">
        <v>1222</v>
      </c>
    </row>
    <row r="472" spans="1:4">
      <c r="A472" s="226" t="s">
        <v>1223</v>
      </c>
      <c r="B472" s="226">
        <v>537766</v>
      </c>
      <c r="C472" s="226" t="s">
        <v>486</v>
      </c>
      <c r="D472" s="226" t="s">
        <v>783</v>
      </c>
    </row>
    <row r="473" spans="1:4">
      <c r="A473" s="226" t="s">
        <v>1224</v>
      </c>
      <c r="B473" s="226">
        <v>532719</v>
      </c>
      <c r="C473" s="226" t="s">
        <v>1225</v>
      </c>
      <c r="D473" s="226" t="s">
        <v>572</v>
      </c>
    </row>
    <row r="474" spans="1:4">
      <c r="A474" s="226" t="s">
        <v>1226</v>
      </c>
      <c r="B474" s="226">
        <v>523019</v>
      </c>
      <c r="C474" s="226" t="s">
        <v>486</v>
      </c>
      <c r="D474" s="226" t="s">
        <v>470</v>
      </c>
    </row>
    <row r="475" spans="1:4">
      <c r="A475" s="226" t="s">
        <v>1227</v>
      </c>
      <c r="B475" s="226">
        <v>523186</v>
      </c>
      <c r="C475" s="226" t="s">
        <v>486</v>
      </c>
      <c r="D475" s="226" t="s">
        <v>480</v>
      </c>
    </row>
    <row r="476" spans="1:4">
      <c r="A476" s="226" t="s">
        <v>1228</v>
      </c>
      <c r="B476" s="226">
        <v>523186</v>
      </c>
      <c r="C476" s="226" t="s">
        <v>486</v>
      </c>
      <c r="D476" s="226" t="s">
        <v>480</v>
      </c>
    </row>
    <row r="477" spans="1:4">
      <c r="A477" s="226" t="s">
        <v>1229</v>
      </c>
      <c r="B477" s="226" t="s">
        <v>486</v>
      </c>
      <c r="C477" s="226" t="s">
        <v>1230</v>
      </c>
      <c r="D477" s="226" t="s">
        <v>497</v>
      </c>
    </row>
    <row r="478" spans="1:4">
      <c r="A478" s="226" t="s">
        <v>1231</v>
      </c>
      <c r="B478" s="226">
        <v>542206</v>
      </c>
      <c r="C478" s="226" t="s">
        <v>1232</v>
      </c>
      <c r="D478" s="226" t="s">
        <v>851</v>
      </c>
    </row>
    <row r="479" spans="1:4">
      <c r="A479" s="226" t="s">
        <v>1233</v>
      </c>
      <c r="B479" s="226">
        <v>531268</v>
      </c>
      <c r="C479" s="226" t="s">
        <v>486</v>
      </c>
      <c r="D479" s="226" t="s">
        <v>579</v>
      </c>
    </row>
    <row r="480" spans="1:4">
      <c r="A480" s="226" t="s">
        <v>1234</v>
      </c>
      <c r="B480" s="226">
        <v>532380</v>
      </c>
      <c r="C480" s="226" t="s">
        <v>486</v>
      </c>
      <c r="D480" s="226" t="s">
        <v>489</v>
      </c>
    </row>
    <row r="481" spans="1:4">
      <c r="A481" s="226" t="s">
        <v>1235</v>
      </c>
      <c r="B481" s="226">
        <v>524516</v>
      </c>
      <c r="C481" s="226" t="s">
        <v>486</v>
      </c>
      <c r="D481" s="226" t="s">
        <v>524</v>
      </c>
    </row>
    <row r="482" spans="1:4">
      <c r="A482" s="226" t="s">
        <v>1236</v>
      </c>
      <c r="B482" s="226">
        <v>532989</v>
      </c>
      <c r="C482" s="226" t="s">
        <v>1237</v>
      </c>
      <c r="D482" s="226" t="s">
        <v>524</v>
      </c>
    </row>
    <row r="483" spans="1:4">
      <c r="A483" s="226" t="s">
        <v>1238</v>
      </c>
      <c r="B483" s="226">
        <v>530197</v>
      </c>
      <c r="C483" s="226" t="s">
        <v>486</v>
      </c>
      <c r="D483" s="226" t="s">
        <v>645</v>
      </c>
    </row>
    <row r="484" spans="1:4">
      <c r="A484" s="226" t="s">
        <v>1239</v>
      </c>
      <c r="B484" s="226">
        <v>511724</v>
      </c>
      <c r="C484" s="226" t="s">
        <v>486</v>
      </c>
      <c r="D484" s="226" t="s">
        <v>503</v>
      </c>
    </row>
    <row r="485" spans="1:4">
      <c r="A485" s="226" t="s">
        <v>1240</v>
      </c>
      <c r="B485" s="226">
        <v>532977</v>
      </c>
      <c r="C485" s="226" t="s">
        <v>1241</v>
      </c>
      <c r="D485" s="226" t="s">
        <v>1143</v>
      </c>
    </row>
    <row r="486" spans="1:4">
      <c r="A486" s="226" t="s">
        <v>1242</v>
      </c>
      <c r="B486" s="226" t="s">
        <v>486</v>
      </c>
      <c r="C486" s="226" t="s">
        <v>1243</v>
      </c>
      <c r="D486" s="226" t="s">
        <v>667</v>
      </c>
    </row>
    <row r="487" spans="1:4">
      <c r="A487" s="226" t="s">
        <v>1244</v>
      </c>
      <c r="B487" s="226">
        <v>533229</v>
      </c>
      <c r="C487" s="226" t="s">
        <v>1245</v>
      </c>
      <c r="D487" s="226" t="s">
        <v>667</v>
      </c>
    </row>
    <row r="488" spans="1:4">
      <c r="A488" s="226" t="s">
        <v>1246</v>
      </c>
      <c r="B488" s="226">
        <v>500031</v>
      </c>
      <c r="C488" s="226" t="s">
        <v>1247</v>
      </c>
      <c r="D488" s="226" t="s">
        <v>1248</v>
      </c>
    </row>
    <row r="489" spans="1:4">
      <c r="A489" s="226" t="s">
        <v>1249</v>
      </c>
      <c r="B489" s="226">
        <v>500034</v>
      </c>
      <c r="C489" s="226" t="s">
        <v>1250</v>
      </c>
      <c r="D489" s="226" t="s">
        <v>503</v>
      </c>
    </row>
    <row r="490" spans="1:4">
      <c r="A490" s="226" t="s">
        <v>1251</v>
      </c>
      <c r="B490" s="226">
        <v>532978</v>
      </c>
      <c r="C490" s="226" t="s">
        <v>1252</v>
      </c>
      <c r="D490" s="226" t="s">
        <v>651</v>
      </c>
    </row>
    <row r="491" spans="1:4">
      <c r="A491" s="226" t="s">
        <v>1253</v>
      </c>
      <c r="B491" s="226">
        <v>512261</v>
      </c>
      <c r="C491" s="226" t="s">
        <v>486</v>
      </c>
      <c r="D491" s="226" t="s">
        <v>508</v>
      </c>
    </row>
    <row r="492" spans="1:4">
      <c r="A492" s="226" t="s">
        <v>1254</v>
      </c>
      <c r="B492" s="226">
        <v>539872</v>
      </c>
      <c r="C492" s="226" t="s">
        <v>486</v>
      </c>
      <c r="D492" s="226" t="s">
        <v>524</v>
      </c>
    </row>
    <row r="493" spans="1:4">
      <c r="A493" s="226" t="s">
        <v>1255</v>
      </c>
      <c r="B493" s="226">
        <v>500032</v>
      </c>
      <c r="C493" s="226" t="s">
        <v>1256</v>
      </c>
      <c r="D493" s="226" t="s">
        <v>1184</v>
      </c>
    </row>
    <row r="494" spans="1:4">
      <c r="A494" s="226" t="s">
        <v>1257</v>
      </c>
      <c r="B494" s="226">
        <v>500490</v>
      </c>
      <c r="C494" s="226" t="s">
        <v>1258</v>
      </c>
      <c r="D494" s="226" t="s">
        <v>651</v>
      </c>
    </row>
    <row r="495" spans="1:4">
      <c r="A495" s="226" t="s">
        <v>1259</v>
      </c>
      <c r="B495" s="226">
        <v>507944</v>
      </c>
      <c r="C495" s="226" t="s">
        <v>486</v>
      </c>
      <c r="D495" s="226" t="s">
        <v>494</v>
      </c>
    </row>
    <row r="496" spans="1:4">
      <c r="A496" s="226" t="s">
        <v>1260</v>
      </c>
      <c r="B496" s="226">
        <v>511139</v>
      </c>
      <c r="C496" s="226" t="s">
        <v>486</v>
      </c>
      <c r="D496" s="226" t="s">
        <v>906</v>
      </c>
    </row>
    <row r="497" spans="1:4">
      <c r="A497" s="226" t="s">
        <v>1261</v>
      </c>
      <c r="B497" s="226">
        <v>524824</v>
      </c>
      <c r="C497" s="226" t="s">
        <v>1262</v>
      </c>
      <c r="D497" s="226" t="s">
        <v>524</v>
      </c>
    </row>
    <row r="498" spans="1:4">
      <c r="A498" s="226" t="s">
        <v>1263</v>
      </c>
      <c r="B498" s="226">
        <v>530999</v>
      </c>
      <c r="C498" s="226" t="s">
        <v>1264</v>
      </c>
      <c r="D498" s="226" t="s">
        <v>534</v>
      </c>
    </row>
    <row r="499" spans="1:4">
      <c r="A499" s="226" t="s">
        <v>1265</v>
      </c>
      <c r="B499" s="226">
        <v>532382</v>
      </c>
      <c r="C499" s="226" t="s">
        <v>1266</v>
      </c>
      <c r="D499" s="226" t="s">
        <v>1222</v>
      </c>
    </row>
    <row r="500" spans="1:4">
      <c r="A500" s="226" t="s">
        <v>1267</v>
      </c>
      <c r="B500" s="226">
        <v>513142</v>
      </c>
      <c r="C500" s="226" t="s">
        <v>486</v>
      </c>
      <c r="D500" s="226" t="s">
        <v>518</v>
      </c>
    </row>
    <row r="501" spans="1:4">
      <c r="A501" s="226" t="s">
        <v>1268</v>
      </c>
      <c r="B501" s="226" t="s">
        <v>486</v>
      </c>
      <c r="C501" s="226" t="s">
        <v>1269</v>
      </c>
      <c r="D501" s="226" t="s">
        <v>1270</v>
      </c>
    </row>
    <row r="502" spans="1:4">
      <c r="A502" s="226" t="s">
        <v>1271</v>
      </c>
      <c r="B502" s="226">
        <v>539834</v>
      </c>
      <c r="C502" s="226" t="s">
        <v>486</v>
      </c>
      <c r="D502" s="226" t="s">
        <v>508</v>
      </c>
    </row>
    <row r="503" spans="1:4">
      <c r="A503" s="226" t="s">
        <v>1272</v>
      </c>
      <c r="B503" s="226">
        <v>502355</v>
      </c>
      <c r="C503" s="226" t="s">
        <v>1273</v>
      </c>
      <c r="D503" s="226" t="s">
        <v>965</v>
      </c>
    </row>
    <row r="504" spans="1:4">
      <c r="A504" s="226" t="s">
        <v>1274</v>
      </c>
      <c r="B504" s="226">
        <v>539251</v>
      </c>
      <c r="C504" s="226" t="s">
        <v>1275</v>
      </c>
      <c r="D504" s="226" t="s">
        <v>680</v>
      </c>
    </row>
    <row r="505" spans="1:4">
      <c r="A505" s="226" t="s">
        <v>1276</v>
      </c>
      <c r="B505" s="226">
        <v>500102</v>
      </c>
      <c r="C505" s="226" t="s">
        <v>1277</v>
      </c>
      <c r="D505" s="226" t="s">
        <v>480</v>
      </c>
    </row>
    <row r="506" spans="1:4">
      <c r="A506" s="226" t="s">
        <v>1278</v>
      </c>
      <c r="B506" s="226">
        <v>523319</v>
      </c>
      <c r="C506" s="226" t="s">
        <v>1279</v>
      </c>
      <c r="D506" s="226" t="s">
        <v>346</v>
      </c>
    </row>
    <row r="507" spans="1:4">
      <c r="A507" s="226" t="s">
        <v>1280</v>
      </c>
      <c r="B507" s="226">
        <v>532485</v>
      </c>
      <c r="C507" s="226" t="s">
        <v>486</v>
      </c>
      <c r="D507" s="226" t="s">
        <v>503</v>
      </c>
    </row>
    <row r="508" spans="1:4">
      <c r="A508" s="226" t="s">
        <v>1281</v>
      </c>
      <c r="B508" s="226">
        <v>500038</v>
      </c>
      <c r="C508" s="226" t="s">
        <v>1282</v>
      </c>
      <c r="D508" s="226" t="s">
        <v>1184</v>
      </c>
    </row>
    <row r="509" spans="1:4">
      <c r="A509" s="226" t="s">
        <v>1283</v>
      </c>
      <c r="B509" s="226">
        <v>520127</v>
      </c>
      <c r="C509" s="226" t="s">
        <v>486</v>
      </c>
      <c r="D509" s="226" t="s">
        <v>558</v>
      </c>
    </row>
    <row r="510" spans="1:4">
      <c r="A510" s="226" t="s">
        <v>1284</v>
      </c>
      <c r="B510" s="226">
        <v>519295</v>
      </c>
      <c r="C510" s="226" t="s">
        <v>486</v>
      </c>
      <c r="D510" s="226" t="s">
        <v>546</v>
      </c>
    </row>
    <row r="511" spans="1:4">
      <c r="A511" s="226" t="s">
        <v>1285</v>
      </c>
      <c r="B511" s="226">
        <v>531591</v>
      </c>
      <c r="C511" s="226" t="s">
        <v>486</v>
      </c>
      <c r="D511" s="226" t="s">
        <v>503</v>
      </c>
    </row>
    <row r="512" spans="1:4">
      <c r="A512" s="226" t="s">
        <v>1286</v>
      </c>
      <c r="B512" s="226">
        <v>526849</v>
      </c>
      <c r="C512" s="226" t="s">
        <v>1287</v>
      </c>
      <c r="D512" s="226" t="s">
        <v>599</v>
      </c>
    </row>
    <row r="513" spans="1:4">
      <c r="A513" s="226" t="s">
        <v>1288</v>
      </c>
      <c r="B513" s="226">
        <v>509053</v>
      </c>
      <c r="C513" s="226" t="s">
        <v>486</v>
      </c>
      <c r="D513" s="226" t="s">
        <v>906</v>
      </c>
    </row>
    <row r="514" spans="1:4">
      <c r="A514" s="226" t="s">
        <v>1289</v>
      </c>
      <c r="B514" s="226">
        <v>500039</v>
      </c>
      <c r="C514" s="226" t="s">
        <v>1290</v>
      </c>
      <c r="D514" s="226" t="s">
        <v>840</v>
      </c>
    </row>
    <row r="515" spans="1:4">
      <c r="A515" s="226" t="s">
        <v>1291</v>
      </c>
      <c r="B515" s="226">
        <v>541153</v>
      </c>
      <c r="C515" s="226" t="s">
        <v>1292</v>
      </c>
      <c r="D515" s="226" t="s">
        <v>803</v>
      </c>
    </row>
    <row r="516" spans="1:4">
      <c r="A516" s="226" t="s">
        <v>1293</v>
      </c>
      <c r="B516" s="226">
        <v>532946</v>
      </c>
      <c r="C516" s="226" t="s">
        <v>1294</v>
      </c>
      <c r="D516" s="226" t="s">
        <v>599</v>
      </c>
    </row>
    <row r="517" spans="1:4">
      <c r="A517" s="226" t="s">
        <v>1295</v>
      </c>
      <c r="B517" s="226">
        <v>539120</v>
      </c>
      <c r="C517" s="226" t="s">
        <v>486</v>
      </c>
      <c r="D517" s="226" t="s">
        <v>722</v>
      </c>
    </row>
    <row r="518" spans="1:4">
      <c r="A518" s="226" t="s">
        <v>1296</v>
      </c>
      <c r="B518" s="226">
        <v>532134</v>
      </c>
      <c r="C518" s="226" t="s">
        <v>1297</v>
      </c>
      <c r="D518" s="226" t="s">
        <v>803</v>
      </c>
    </row>
    <row r="519" spans="1:4">
      <c r="A519" s="226" t="s">
        <v>1298</v>
      </c>
      <c r="B519" s="226">
        <v>532149</v>
      </c>
      <c r="C519" s="226" t="s">
        <v>1299</v>
      </c>
      <c r="D519" s="226" t="s">
        <v>803</v>
      </c>
    </row>
    <row r="520" spans="1:4">
      <c r="A520" s="226" t="s">
        <v>1300</v>
      </c>
      <c r="B520" s="226">
        <v>532525</v>
      </c>
      <c r="C520" s="226" t="s">
        <v>1301</v>
      </c>
      <c r="D520" s="226" t="s">
        <v>803</v>
      </c>
    </row>
    <row r="521" spans="1:4">
      <c r="A521" s="226" t="s">
        <v>1302</v>
      </c>
      <c r="B521" s="226" t="s">
        <v>486</v>
      </c>
      <c r="C521" s="226" t="s">
        <v>1303</v>
      </c>
      <c r="D521" s="226" t="s">
        <v>497</v>
      </c>
    </row>
    <row r="522" spans="1:4">
      <c r="A522" s="226" t="s">
        <v>1304</v>
      </c>
      <c r="B522" s="226">
        <v>532674</v>
      </c>
      <c r="C522" s="226" t="s">
        <v>1305</v>
      </c>
      <c r="D522" s="226" t="s">
        <v>501</v>
      </c>
    </row>
    <row r="523" spans="1:4">
      <c r="A523" s="226" t="s">
        <v>1306</v>
      </c>
      <c r="B523" s="226">
        <v>500041</v>
      </c>
      <c r="C523" s="226" t="s">
        <v>1307</v>
      </c>
      <c r="D523" s="226" t="s">
        <v>1184</v>
      </c>
    </row>
    <row r="524" spans="1:4">
      <c r="A524" s="226" t="s">
        <v>1308</v>
      </c>
      <c r="B524" s="226" t="s">
        <v>486</v>
      </c>
      <c r="C524" s="226" t="s">
        <v>1309</v>
      </c>
      <c r="D524" s="226" t="s">
        <v>497</v>
      </c>
    </row>
    <row r="525" spans="1:4">
      <c r="A525" s="226" t="s">
        <v>1310</v>
      </c>
      <c r="B525" s="226">
        <v>538546</v>
      </c>
      <c r="C525" s="226" t="s">
        <v>486</v>
      </c>
      <c r="D525" s="226" t="s">
        <v>808</v>
      </c>
    </row>
    <row r="526" spans="1:4">
      <c r="A526" s="226" t="s">
        <v>1311</v>
      </c>
      <c r="B526" s="226">
        <v>519353</v>
      </c>
      <c r="C526" s="226" t="s">
        <v>486</v>
      </c>
      <c r="D526" s="226" t="s">
        <v>892</v>
      </c>
    </row>
    <row r="527" spans="1:4">
      <c r="A527" s="226" t="s">
        <v>1312</v>
      </c>
      <c r="B527" s="226">
        <v>503722</v>
      </c>
      <c r="C527" s="226" t="s">
        <v>1313</v>
      </c>
      <c r="D527" s="226" t="s">
        <v>501</v>
      </c>
    </row>
    <row r="528" spans="1:4">
      <c r="A528" s="226" t="s">
        <v>1314</v>
      </c>
      <c r="B528" s="226">
        <v>532916</v>
      </c>
      <c r="C528" s="226" t="s">
        <v>1315</v>
      </c>
      <c r="D528" s="226" t="s">
        <v>499</v>
      </c>
    </row>
    <row r="529" spans="1:4">
      <c r="A529" s="226" t="s">
        <v>1316</v>
      </c>
      <c r="B529" s="226">
        <v>513502</v>
      </c>
      <c r="C529" s="226" t="s">
        <v>486</v>
      </c>
      <c r="D529" s="226" t="s">
        <v>560</v>
      </c>
    </row>
    <row r="530" spans="1:4">
      <c r="A530" s="226" t="s">
        <v>1317</v>
      </c>
      <c r="B530" s="226">
        <v>532336</v>
      </c>
      <c r="C530" s="226" t="s">
        <v>486</v>
      </c>
      <c r="D530" s="226" t="s">
        <v>579</v>
      </c>
    </row>
    <row r="531" spans="1:4">
      <c r="A531" s="226" t="s">
        <v>1318</v>
      </c>
      <c r="B531" s="226">
        <v>532694</v>
      </c>
      <c r="C531" s="226" t="s">
        <v>1319</v>
      </c>
      <c r="D531" s="226" t="s">
        <v>906</v>
      </c>
    </row>
    <row r="532" spans="1:4">
      <c r="A532" s="226" t="s">
        <v>1320</v>
      </c>
      <c r="B532" s="226">
        <v>532694</v>
      </c>
      <c r="C532" s="226" t="s">
        <v>1319</v>
      </c>
      <c r="D532" s="226" t="s">
        <v>906</v>
      </c>
    </row>
    <row r="533" spans="1:4">
      <c r="A533" s="226" t="s">
        <v>1321</v>
      </c>
      <c r="B533" s="226">
        <v>524687</v>
      </c>
      <c r="C533" s="226" t="s">
        <v>486</v>
      </c>
      <c r="D533" s="226" t="s">
        <v>993</v>
      </c>
    </row>
    <row r="534" spans="1:4">
      <c r="A534" s="226" t="s">
        <v>1322</v>
      </c>
      <c r="B534" s="226">
        <v>524687</v>
      </c>
      <c r="C534" s="226" t="s">
        <v>486</v>
      </c>
      <c r="D534" s="226" t="s">
        <v>993</v>
      </c>
    </row>
    <row r="535" spans="1:4">
      <c r="A535" s="226" t="s">
        <v>1323</v>
      </c>
      <c r="B535" s="226">
        <v>500042</v>
      </c>
      <c r="C535" s="226" t="s">
        <v>1324</v>
      </c>
      <c r="D535" s="226" t="s">
        <v>645</v>
      </c>
    </row>
    <row r="536" spans="1:4">
      <c r="A536" s="226" t="s">
        <v>1325</v>
      </c>
      <c r="B536" s="226">
        <v>500042</v>
      </c>
      <c r="C536" s="226" t="s">
        <v>1324</v>
      </c>
      <c r="D536" s="226" t="s">
        <v>645</v>
      </c>
    </row>
    <row r="537" spans="1:4">
      <c r="A537" s="226" t="s">
        <v>1326</v>
      </c>
      <c r="B537" s="226">
        <v>500043</v>
      </c>
      <c r="C537" s="226" t="s">
        <v>1327</v>
      </c>
      <c r="D537" s="226" t="s">
        <v>911</v>
      </c>
    </row>
    <row r="538" spans="1:4">
      <c r="A538" s="226" t="s">
        <v>1328</v>
      </c>
      <c r="B538" s="226">
        <v>500043</v>
      </c>
      <c r="C538" s="226" t="s">
        <v>1329</v>
      </c>
      <c r="D538" s="226" t="s">
        <v>911</v>
      </c>
    </row>
    <row r="539" spans="1:4">
      <c r="A539" s="226" t="s">
        <v>1330</v>
      </c>
      <c r="B539" s="226">
        <v>522004</v>
      </c>
      <c r="C539" s="226" t="s">
        <v>486</v>
      </c>
      <c r="D539" s="226" t="s">
        <v>494</v>
      </c>
    </row>
    <row r="540" spans="1:4">
      <c r="A540" s="226" t="s">
        <v>1331</v>
      </c>
      <c r="B540" s="226">
        <v>506285</v>
      </c>
      <c r="C540" s="226" t="s">
        <v>1332</v>
      </c>
      <c r="D540" s="226" t="s">
        <v>629</v>
      </c>
    </row>
    <row r="541" spans="1:4">
      <c r="A541" s="226" t="s">
        <v>1333</v>
      </c>
      <c r="B541" s="226">
        <v>539946</v>
      </c>
      <c r="C541" s="226" t="s">
        <v>486</v>
      </c>
      <c r="D541" s="226" t="s">
        <v>503</v>
      </c>
    </row>
    <row r="542" spans="1:4">
      <c r="A542" s="226" t="s">
        <v>1334</v>
      </c>
      <c r="B542" s="226">
        <v>517246</v>
      </c>
      <c r="C542" s="226" t="s">
        <v>486</v>
      </c>
      <c r="D542" s="226" t="s">
        <v>1027</v>
      </c>
    </row>
    <row r="543" spans="1:4">
      <c r="A543" s="226" t="s">
        <v>1335</v>
      </c>
      <c r="B543" s="226">
        <v>517246</v>
      </c>
      <c r="C543" s="226" t="s">
        <v>486</v>
      </c>
      <c r="D543" s="226" t="s">
        <v>1027</v>
      </c>
    </row>
    <row r="544" spans="1:4">
      <c r="A544" s="226" t="s">
        <v>1336</v>
      </c>
      <c r="B544" s="226">
        <v>539621</v>
      </c>
      <c r="C544" s="226" t="s">
        <v>486</v>
      </c>
      <c r="D544" s="226" t="s">
        <v>503</v>
      </c>
    </row>
    <row r="545" spans="1:4">
      <c r="A545" s="226" t="s">
        <v>1337</v>
      </c>
      <c r="B545" s="226">
        <v>524332</v>
      </c>
      <c r="C545" s="226" t="s">
        <v>486</v>
      </c>
      <c r="D545" s="226" t="s">
        <v>734</v>
      </c>
    </row>
    <row r="546" spans="1:4">
      <c r="A546" s="226" t="s">
        <v>1338</v>
      </c>
      <c r="B546" s="226">
        <v>542057</v>
      </c>
      <c r="C546" s="226" t="s">
        <v>486</v>
      </c>
      <c r="D546" s="226" t="s">
        <v>883</v>
      </c>
    </row>
    <row r="547" spans="1:4">
      <c r="A547" s="226" t="s">
        <v>1339</v>
      </c>
      <c r="B547" s="226">
        <v>524828</v>
      </c>
      <c r="C547" s="226" t="s">
        <v>486</v>
      </c>
      <c r="D547" s="226" t="s">
        <v>524</v>
      </c>
    </row>
    <row r="548" spans="1:4">
      <c r="A548" s="226" t="s">
        <v>1340</v>
      </c>
      <c r="B548" s="226">
        <v>539447</v>
      </c>
      <c r="C548" s="226" t="s">
        <v>1341</v>
      </c>
      <c r="D548" s="226" t="s">
        <v>680</v>
      </c>
    </row>
    <row r="549" spans="1:4">
      <c r="A549" s="226" t="s">
        <v>1342</v>
      </c>
      <c r="B549" s="226">
        <v>533270</v>
      </c>
      <c r="C549" s="226" t="s">
        <v>1343</v>
      </c>
      <c r="D549" s="226" t="s">
        <v>808</v>
      </c>
    </row>
    <row r="550" spans="1:4">
      <c r="A550" s="226" t="s">
        <v>1344</v>
      </c>
      <c r="B550" s="226">
        <v>539546</v>
      </c>
      <c r="C550" s="226" t="s">
        <v>486</v>
      </c>
      <c r="D550" s="226" t="s">
        <v>508</v>
      </c>
    </row>
    <row r="551" spans="1:4">
      <c r="A551" s="226" t="s">
        <v>1345</v>
      </c>
      <c r="B551" s="226">
        <v>539018</v>
      </c>
      <c r="C551" s="226" t="s">
        <v>486</v>
      </c>
      <c r="D551" s="226" t="s">
        <v>518</v>
      </c>
    </row>
    <row r="552" spans="1:4">
      <c r="A552" s="226" t="s">
        <v>1346</v>
      </c>
      <c r="B552" s="226">
        <v>532645</v>
      </c>
      <c r="C552" s="226" t="s">
        <v>486</v>
      </c>
      <c r="D552" s="226" t="s">
        <v>508</v>
      </c>
    </row>
    <row r="553" spans="1:4">
      <c r="A553" s="226" t="s">
        <v>1347</v>
      </c>
      <c r="B553" s="226">
        <v>539399</v>
      </c>
      <c r="C553" s="226" t="s">
        <v>486</v>
      </c>
      <c r="D553" s="226" t="s">
        <v>501</v>
      </c>
    </row>
    <row r="554" spans="1:4">
      <c r="A554" s="226" t="s">
        <v>1348</v>
      </c>
      <c r="B554" s="226">
        <v>522650</v>
      </c>
      <c r="C554" s="226" t="s">
        <v>486</v>
      </c>
      <c r="D554" s="226" t="s">
        <v>670</v>
      </c>
    </row>
    <row r="555" spans="1:4">
      <c r="A555" s="226" t="s">
        <v>1349</v>
      </c>
      <c r="B555" s="226">
        <v>500048</v>
      </c>
      <c r="C555" s="226" t="s">
        <v>1350</v>
      </c>
      <c r="D555" s="226" t="s">
        <v>564</v>
      </c>
    </row>
    <row r="556" spans="1:4">
      <c r="A556" s="226" t="s">
        <v>1351</v>
      </c>
      <c r="B556" s="226">
        <v>541178</v>
      </c>
      <c r="C556" s="226" t="s">
        <v>486</v>
      </c>
      <c r="D556" s="226" t="s">
        <v>670</v>
      </c>
    </row>
    <row r="557" spans="1:4">
      <c r="A557" s="226" t="s">
        <v>1352</v>
      </c>
      <c r="B557" s="226">
        <v>509438</v>
      </c>
      <c r="C557" s="226" t="s">
        <v>486</v>
      </c>
      <c r="D557" s="226" t="s">
        <v>686</v>
      </c>
    </row>
    <row r="558" spans="1:4">
      <c r="A558" s="226" t="s">
        <v>1353</v>
      </c>
      <c r="B558" s="226">
        <v>533095</v>
      </c>
      <c r="C558" s="226" t="s">
        <v>486</v>
      </c>
      <c r="D558" s="226" t="s">
        <v>503</v>
      </c>
    </row>
    <row r="559" spans="1:4">
      <c r="A559" s="226" t="s">
        <v>1354</v>
      </c>
      <c r="B559" s="226">
        <v>512404</v>
      </c>
      <c r="C559" s="226" t="s">
        <v>486</v>
      </c>
      <c r="D559" s="226" t="s">
        <v>518</v>
      </c>
    </row>
    <row r="560" spans="1:4">
      <c r="A560" s="226" t="s">
        <v>1355</v>
      </c>
      <c r="B560" s="226">
        <v>532230</v>
      </c>
      <c r="C560" s="226" t="s">
        <v>486</v>
      </c>
      <c r="D560" s="226" t="s">
        <v>501</v>
      </c>
    </row>
    <row r="561" spans="1:4">
      <c r="A561" s="226" t="s">
        <v>1356</v>
      </c>
      <c r="B561" s="226">
        <v>512195</v>
      </c>
      <c r="C561" s="226" t="s">
        <v>486</v>
      </c>
      <c r="D561" s="226" t="s">
        <v>906</v>
      </c>
    </row>
    <row r="562" spans="1:4">
      <c r="A562" s="226" t="s">
        <v>1357</v>
      </c>
      <c r="B562" s="226">
        <v>509480</v>
      </c>
      <c r="C562" s="226" t="s">
        <v>1358</v>
      </c>
      <c r="D562" s="226" t="s">
        <v>762</v>
      </c>
    </row>
    <row r="563" spans="1:4">
      <c r="A563" s="226" t="s">
        <v>1359</v>
      </c>
      <c r="B563" s="226">
        <v>531340</v>
      </c>
      <c r="C563" s="226" t="s">
        <v>486</v>
      </c>
      <c r="D563" s="226" t="s">
        <v>470</v>
      </c>
    </row>
    <row r="564" spans="1:4">
      <c r="A564" s="226" t="s">
        <v>1360</v>
      </c>
      <c r="B564" s="226">
        <v>524606</v>
      </c>
      <c r="C564" s="226" t="s">
        <v>486</v>
      </c>
      <c r="D564" s="226" t="s">
        <v>524</v>
      </c>
    </row>
    <row r="565" spans="1:4">
      <c r="A565" s="226" t="s">
        <v>1361</v>
      </c>
      <c r="B565" s="226">
        <v>531582</v>
      </c>
      <c r="C565" s="226" t="s">
        <v>486</v>
      </c>
      <c r="D565" s="226" t="s">
        <v>503</v>
      </c>
    </row>
    <row r="566" spans="1:4">
      <c r="A566" s="226" t="s">
        <v>1362</v>
      </c>
      <c r="B566" s="226">
        <v>508664</v>
      </c>
      <c r="C566" s="226" t="s">
        <v>486</v>
      </c>
      <c r="D566" s="226" t="s">
        <v>686</v>
      </c>
    </row>
    <row r="567" spans="1:4">
      <c r="A567" s="226" t="s">
        <v>1363</v>
      </c>
      <c r="B567" s="226" t="s">
        <v>486</v>
      </c>
      <c r="C567" s="226" t="s">
        <v>1364</v>
      </c>
      <c r="D567" s="226" t="s">
        <v>497</v>
      </c>
    </row>
    <row r="568" spans="1:4">
      <c r="A568" s="226" t="s">
        <v>1365</v>
      </c>
      <c r="B568" s="226">
        <v>512477</v>
      </c>
      <c r="C568" s="226" t="s">
        <v>486</v>
      </c>
      <c r="D568" s="226" t="s">
        <v>501</v>
      </c>
    </row>
    <row r="569" spans="1:4">
      <c r="A569" s="226" t="s">
        <v>1366</v>
      </c>
      <c r="B569" s="226">
        <v>512477</v>
      </c>
      <c r="C569" s="226" t="s">
        <v>486</v>
      </c>
      <c r="D569" s="226" t="s">
        <v>501</v>
      </c>
    </row>
    <row r="570" spans="1:4">
      <c r="A570" s="226" t="s">
        <v>1367</v>
      </c>
      <c r="B570" s="226">
        <v>533303</v>
      </c>
      <c r="C570" s="226" t="s">
        <v>1368</v>
      </c>
      <c r="D570" s="226" t="s">
        <v>651</v>
      </c>
    </row>
    <row r="571" spans="1:4">
      <c r="A571" s="226" t="s">
        <v>1369</v>
      </c>
      <c r="B571" s="226">
        <v>532430</v>
      </c>
      <c r="C571" s="226" t="s">
        <v>1370</v>
      </c>
      <c r="D571" s="226" t="s">
        <v>624</v>
      </c>
    </row>
    <row r="572" spans="1:4">
      <c r="A572" s="226" t="s">
        <v>1371</v>
      </c>
      <c r="B572" s="226">
        <v>539662</v>
      </c>
      <c r="C572" s="226" t="s">
        <v>486</v>
      </c>
      <c r="D572" s="226" t="s">
        <v>503</v>
      </c>
    </row>
    <row r="573" spans="1:4">
      <c r="A573" s="226" t="s">
        <v>1372</v>
      </c>
      <c r="B573" s="226">
        <v>511664</v>
      </c>
      <c r="C573" s="226" t="s">
        <v>486</v>
      </c>
      <c r="D573" s="226" t="s">
        <v>489</v>
      </c>
    </row>
    <row r="574" spans="1:4">
      <c r="A574" s="226" t="s">
        <v>1373</v>
      </c>
      <c r="B574" s="226">
        <v>532930</v>
      </c>
      <c r="C574" s="226" t="s">
        <v>1374</v>
      </c>
      <c r="D574" s="226" t="s">
        <v>529</v>
      </c>
    </row>
    <row r="575" spans="1:4">
      <c r="A575" s="226" t="s">
        <v>1375</v>
      </c>
      <c r="B575" s="226">
        <v>530803</v>
      </c>
      <c r="C575" s="226" t="s">
        <v>1376</v>
      </c>
      <c r="D575" s="226" t="s">
        <v>534</v>
      </c>
    </row>
    <row r="576" spans="1:4">
      <c r="A576" s="226" t="s">
        <v>1377</v>
      </c>
      <c r="B576" s="226">
        <v>531719</v>
      </c>
      <c r="C576" s="226" t="s">
        <v>486</v>
      </c>
      <c r="D576" s="226" t="s">
        <v>629</v>
      </c>
    </row>
    <row r="577" spans="1:4">
      <c r="A577" s="226" t="s">
        <v>1378</v>
      </c>
      <c r="B577" s="226">
        <v>504646</v>
      </c>
      <c r="C577" s="226" t="s">
        <v>486</v>
      </c>
      <c r="D577" s="226" t="s">
        <v>840</v>
      </c>
    </row>
    <row r="578" spans="1:4">
      <c r="A578" s="226" t="s">
        <v>1379</v>
      </c>
      <c r="B578" s="226">
        <v>509449</v>
      </c>
      <c r="C578" s="226" t="s">
        <v>486</v>
      </c>
      <c r="D578" s="226" t="s">
        <v>534</v>
      </c>
    </row>
    <row r="579" spans="1:4">
      <c r="A579" s="226" t="s">
        <v>1380</v>
      </c>
      <c r="B579" s="226">
        <v>512296</v>
      </c>
      <c r="C579" s="226" t="s">
        <v>1381</v>
      </c>
      <c r="D579" s="226" t="s">
        <v>560</v>
      </c>
    </row>
    <row r="580" spans="1:4">
      <c r="A580" s="226" t="s">
        <v>1382</v>
      </c>
      <c r="B580" s="226">
        <v>512296</v>
      </c>
      <c r="C580" s="226" t="s">
        <v>1381</v>
      </c>
      <c r="D580" s="226" t="s">
        <v>560</v>
      </c>
    </row>
    <row r="581" spans="1:4">
      <c r="A581" s="226" t="s">
        <v>1383</v>
      </c>
      <c r="B581" s="226">
        <v>540621</v>
      </c>
      <c r="C581" s="226" t="s">
        <v>1384</v>
      </c>
      <c r="D581" s="226" t="s">
        <v>572</v>
      </c>
    </row>
    <row r="582" spans="1:4">
      <c r="A582" s="226" t="s">
        <v>1385</v>
      </c>
      <c r="B582" s="226">
        <v>540545</v>
      </c>
      <c r="C582" s="226" t="s">
        <v>486</v>
      </c>
      <c r="D582" s="226" t="s">
        <v>599</v>
      </c>
    </row>
    <row r="583" spans="1:4">
      <c r="A583" s="226" t="s">
        <v>1386</v>
      </c>
      <c r="B583" s="226">
        <v>512608</v>
      </c>
      <c r="C583" s="226" t="s">
        <v>1387</v>
      </c>
      <c r="D583" s="226" t="s">
        <v>599</v>
      </c>
    </row>
    <row r="584" spans="1:4">
      <c r="A584" s="226" t="s">
        <v>1388</v>
      </c>
      <c r="B584" s="226">
        <v>538576</v>
      </c>
      <c r="C584" s="226" t="s">
        <v>486</v>
      </c>
      <c r="D584" s="226" t="s">
        <v>572</v>
      </c>
    </row>
    <row r="585" spans="1:4">
      <c r="A585" s="226" t="s">
        <v>1389</v>
      </c>
      <c r="B585" s="226">
        <v>500052</v>
      </c>
      <c r="C585" s="226" t="s">
        <v>1390</v>
      </c>
      <c r="D585" s="226" t="s">
        <v>645</v>
      </c>
    </row>
    <row r="586" spans="1:4">
      <c r="A586" s="226" t="s">
        <v>1391</v>
      </c>
      <c r="B586" s="226">
        <v>531862</v>
      </c>
      <c r="C586" s="226" t="s">
        <v>486</v>
      </c>
      <c r="D586" s="226" t="s">
        <v>993</v>
      </c>
    </row>
    <row r="587" spans="1:4">
      <c r="A587" s="226" t="s">
        <v>1392</v>
      </c>
      <c r="B587" s="226">
        <v>511501</v>
      </c>
      <c r="C587" s="226" t="s">
        <v>486</v>
      </c>
      <c r="D587" s="226" t="s">
        <v>470</v>
      </c>
    </row>
    <row r="588" spans="1:4">
      <c r="A588" s="226" t="s">
        <v>1393</v>
      </c>
      <c r="B588" s="226">
        <v>503960</v>
      </c>
      <c r="C588" s="226" t="s">
        <v>1394</v>
      </c>
      <c r="D588" s="226" t="s">
        <v>783</v>
      </c>
    </row>
    <row r="589" spans="1:4">
      <c r="A589" s="226" t="s">
        <v>1395</v>
      </c>
      <c r="B589" s="226">
        <v>541143</v>
      </c>
      <c r="C589" s="226" t="s">
        <v>1396</v>
      </c>
      <c r="D589" s="226" t="s">
        <v>958</v>
      </c>
    </row>
    <row r="590" spans="1:4">
      <c r="A590" s="226" t="s">
        <v>1397</v>
      </c>
      <c r="B590" s="226">
        <v>500049</v>
      </c>
      <c r="C590" s="226" t="s">
        <v>1398</v>
      </c>
      <c r="D590" s="226" t="s">
        <v>958</v>
      </c>
    </row>
    <row r="591" spans="1:4">
      <c r="A591" s="226" t="s">
        <v>1399</v>
      </c>
      <c r="B591" s="226">
        <v>533228</v>
      </c>
      <c r="C591" s="226" t="s">
        <v>1400</v>
      </c>
      <c r="D591" s="226" t="s">
        <v>503</v>
      </c>
    </row>
    <row r="592" spans="1:4">
      <c r="A592" s="226" t="s">
        <v>1401</v>
      </c>
      <c r="B592" s="226">
        <v>500493</v>
      </c>
      <c r="C592" s="226" t="s">
        <v>1402</v>
      </c>
      <c r="D592" s="226" t="s">
        <v>1403</v>
      </c>
    </row>
    <row r="593" spans="1:4">
      <c r="A593" s="226" t="s">
        <v>1404</v>
      </c>
      <c r="B593" s="226">
        <v>505688</v>
      </c>
      <c r="C593" s="226" t="s">
        <v>1405</v>
      </c>
      <c r="D593" s="226" t="s">
        <v>840</v>
      </c>
    </row>
    <row r="594" spans="1:4">
      <c r="A594" s="226" t="s">
        <v>1406</v>
      </c>
      <c r="B594" s="226">
        <v>500103</v>
      </c>
      <c r="C594" s="226" t="s">
        <v>1407</v>
      </c>
      <c r="D594" s="226" t="s">
        <v>529</v>
      </c>
    </row>
    <row r="595" spans="1:4">
      <c r="A595" s="226" t="s">
        <v>1408</v>
      </c>
      <c r="B595" s="226">
        <v>524663</v>
      </c>
      <c r="C595" s="226" t="s">
        <v>486</v>
      </c>
      <c r="D595" s="226" t="s">
        <v>524</v>
      </c>
    </row>
    <row r="596" spans="1:4">
      <c r="A596" s="226" t="s">
        <v>1409</v>
      </c>
      <c r="B596" s="226">
        <v>541096</v>
      </c>
      <c r="C596" s="226" t="s">
        <v>486</v>
      </c>
      <c r="D596" s="226" t="s">
        <v>524</v>
      </c>
    </row>
    <row r="597" spans="1:4">
      <c r="A597" s="226" t="s">
        <v>1410</v>
      </c>
      <c r="B597" s="226">
        <v>500547</v>
      </c>
      <c r="C597" s="226" t="s">
        <v>1411</v>
      </c>
      <c r="D597" s="226" t="s">
        <v>1412</v>
      </c>
    </row>
    <row r="598" spans="1:4">
      <c r="A598" s="226" t="s">
        <v>1413</v>
      </c>
      <c r="B598" s="226">
        <v>590021</v>
      </c>
      <c r="C598" s="226" t="s">
        <v>1414</v>
      </c>
      <c r="D598" s="226" t="s">
        <v>629</v>
      </c>
    </row>
    <row r="599" spans="1:4">
      <c r="A599" s="226" t="s">
        <v>1415</v>
      </c>
      <c r="B599" s="226">
        <v>540700</v>
      </c>
      <c r="C599" s="226" t="s">
        <v>1416</v>
      </c>
      <c r="D599" s="226" t="s">
        <v>1080</v>
      </c>
    </row>
    <row r="600" spans="1:4">
      <c r="A600" s="226" t="s">
        <v>1417</v>
      </c>
      <c r="B600" s="226">
        <v>523229</v>
      </c>
      <c r="C600" s="226" t="s">
        <v>486</v>
      </c>
      <c r="D600" s="226" t="s">
        <v>840</v>
      </c>
    </row>
    <row r="601" spans="1:4">
      <c r="A601" s="226" t="s">
        <v>1418</v>
      </c>
      <c r="B601" s="226">
        <v>531029</v>
      </c>
      <c r="C601" s="226" t="s">
        <v>486</v>
      </c>
      <c r="D601" s="226" t="s">
        <v>508</v>
      </c>
    </row>
    <row r="602" spans="1:4">
      <c r="A602" s="226" t="s">
        <v>1419</v>
      </c>
      <c r="B602" s="226">
        <v>539799</v>
      </c>
      <c r="C602" s="226" t="s">
        <v>1420</v>
      </c>
      <c r="D602" s="226" t="s">
        <v>808</v>
      </c>
    </row>
    <row r="603" spans="1:4">
      <c r="A603" s="226" t="s">
        <v>1421</v>
      </c>
      <c r="B603" s="226">
        <v>532609</v>
      </c>
      <c r="C603" s="226" t="s">
        <v>1422</v>
      </c>
      <c r="D603" s="226" t="s">
        <v>564</v>
      </c>
    </row>
    <row r="604" spans="1:4">
      <c r="A604" s="226" t="s">
        <v>1423</v>
      </c>
      <c r="B604" s="226">
        <v>533499</v>
      </c>
      <c r="C604" s="226" t="s">
        <v>1424</v>
      </c>
      <c r="D604" s="226" t="s">
        <v>473</v>
      </c>
    </row>
    <row r="605" spans="1:4">
      <c r="A605" s="226" t="s">
        <v>1425</v>
      </c>
      <c r="B605" s="226">
        <v>532454</v>
      </c>
      <c r="C605" s="226" t="s">
        <v>1426</v>
      </c>
      <c r="D605" s="226" t="s">
        <v>1427</v>
      </c>
    </row>
    <row r="606" spans="1:4">
      <c r="A606" s="226" t="s">
        <v>1428</v>
      </c>
      <c r="B606" s="226">
        <v>534816</v>
      </c>
      <c r="C606" s="226" t="s">
        <v>1429</v>
      </c>
      <c r="D606" s="226" t="s">
        <v>1430</v>
      </c>
    </row>
    <row r="607" spans="1:4">
      <c r="A607" s="226" t="s">
        <v>1431</v>
      </c>
      <c r="B607" s="226">
        <v>526666</v>
      </c>
      <c r="C607" s="226" t="s">
        <v>1432</v>
      </c>
      <c r="D607" s="226" t="s">
        <v>599</v>
      </c>
    </row>
    <row r="608" spans="1:4">
      <c r="A608" s="226" t="s">
        <v>1433</v>
      </c>
      <c r="B608" s="226">
        <v>524534</v>
      </c>
      <c r="C608" s="226" t="s">
        <v>486</v>
      </c>
      <c r="D608" s="226" t="s">
        <v>629</v>
      </c>
    </row>
    <row r="609" spans="1:4">
      <c r="A609" s="226" t="s">
        <v>1434</v>
      </c>
      <c r="B609" s="226">
        <v>540956</v>
      </c>
      <c r="C609" s="226" t="s">
        <v>486</v>
      </c>
      <c r="D609" s="226" t="s">
        <v>487</v>
      </c>
    </row>
    <row r="610" spans="1:4">
      <c r="A610" s="226" t="s">
        <v>1435</v>
      </c>
      <c r="B610" s="226">
        <v>540956</v>
      </c>
      <c r="C610" s="226" t="s">
        <v>486</v>
      </c>
      <c r="D610" s="226" t="s">
        <v>487</v>
      </c>
    </row>
    <row r="611" spans="1:4">
      <c r="A611" s="226" t="s">
        <v>1436</v>
      </c>
      <c r="B611" s="226">
        <v>514272</v>
      </c>
      <c r="C611" s="226" t="s">
        <v>486</v>
      </c>
      <c r="D611" s="226" t="s">
        <v>501</v>
      </c>
    </row>
    <row r="612" spans="1:4">
      <c r="A612" s="226" t="s">
        <v>1437</v>
      </c>
      <c r="B612" s="226">
        <v>533108</v>
      </c>
      <c r="C612" s="226" t="s">
        <v>486</v>
      </c>
      <c r="D612" s="226" t="s">
        <v>501</v>
      </c>
    </row>
    <row r="613" spans="1:4">
      <c r="A613" s="226" t="s">
        <v>1438</v>
      </c>
      <c r="B613" s="226">
        <v>506027</v>
      </c>
      <c r="C613" s="226" t="s">
        <v>486</v>
      </c>
      <c r="D613" s="226" t="s">
        <v>790</v>
      </c>
    </row>
    <row r="614" spans="1:4">
      <c r="A614" s="226" t="s">
        <v>1439</v>
      </c>
      <c r="B614" s="226">
        <v>500055</v>
      </c>
      <c r="C614" s="226" t="s">
        <v>1440</v>
      </c>
      <c r="D614" s="226" t="s">
        <v>518</v>
      </c>
    </row>
    <row r="615" spans="1:4">
      <c r="A615" s="226" t="s">
        <v>1441</v>
      </c>
      <c r="B615" s="226">
        <v>540061</v>
      </c>
      <c r="C615" s="226" t="s">
        <v>1442</v>
      </c>
      <c r="D615" s="226" t="s">
        <v>499</v>
      </c>
    </row>
    <row r="616" spans="1:4">
      <c r="A616" s="226" t="s">
        <v>1443</v>
      </c>
      <c r="B616" s="226">
        <v>500058</v>
      </c>
      <c r="C616" s="226" t="s">
        <v>486</v>
      </c>
      <c r="D616" s="226" t="s">
        <v>518</v>
      </c>
    </row>
    <row r="617" spans="1:4">
      <c r="A617" s="226" t="s">
        <v>1444</v>
      </c>
      <c r="B617" s="226">
        <v>524723</v>
      </c>
      <c r="C617" s="226" t="s">
        <v>486</v>
      </c>
      <c r="D617" s="226" t="s">
        <v>508</v>
      </c>
    </row>
    <row r="618" spans="1:4">
      <c r="A618" s="226" t="s">
        <v>1445</v>
      </c>
      <c r="B618" s="226">
        <v>533321</v>
      </c>
      <c r="C618" s="226" t="s">
        <v>1446</v>
      </c>
      <c r="D618" s="226" t="s">
        <v>783</v>
      </c>
    </row>
    <row r="619" spans="1:4">
      <c r="A619" s="226" t="s">
        <v>1447</v>
      </c>
      <c r="B619" s="226">
        <v>526853</v>
      </c>
      <c r="C619" s="226" t="s">
        <v>486</v>
      </c>
      <c r="D619" s="226" t="s">
        <v>1448</v>
      </c>
    </row>
    <row r="620" spans="1:4">
      <c r="A620" s="226" t="s">
        <v>1449</v>
      </c>
      <c r="B620" s="226">
        <v>505681</v>
      </c>
      <c r="C620" s="226" t="s">
        <v>486</v>
      </c>
      <c r="D620" s="226" t="s">
        <v>840</v>
      </c>
    </row>
    <row r="621" spans="1:4">
      <c r="A621" s="226" t="s">
        <v>1450</v>
      </c>
      <c r="B621" s="226">
        <v>500059</v>
      </c>
      <c r="C621" s="226" t="s">
        <v>1451</v>
      </c>
      <c r="D621" s="226" t="s">
        <v>651</v>
      </c>
    </row>
    <row r="622" spans="1:4">
      <c r="A622" s="226" t="s">
        <v>1452</v>
      </c>
      <c r="B622" s="226">
        <v>523054</v>
      </c>
      <c r="C622" s="226" t="s">
        <v>486</v>
      </c>
      <c r="D622" s="226" t="s">
        <v>501</v>
      </c>
    </row>
    <row r="623" spans="1:4">
      <c r="A623" s="226" t="s">
        <v>1453</v>
      </c>
      <c r="B623" s="226">
        <v>540148</v>
      </c>
      <c r="C623" s="226" t="s">
        <v>486</v>
      </c>
      <c r="D623" s="226" t="s">
        <v>599</v>
      </c>
    </row>
    <row r="624" spans="1:4">
      <c r="A624" s="226" t="s">
        <v>1454</v>
      </c>
      <c r="B624" s="226">
        <v>514215</v>
      </c>
      <c r="C624" s="226" t="s">
        <v>486</v>
      </c>
      <c r="D624" s="226" t="s">
        <v>501</v>
      </c>
    </row>
    <row r="625" spans="1:4">
      <c r="A625" s="226" t="s">
        <v>1455</v>
      </c>
      <c r="B625" s="226">
        <v>535620</v>
      </c>
      <c r="C625" s="226" t="s">
        <v>486</v>
      </c>
      <c r="D625" s="226" t="s">
        <v>508</v>
      </c>
    </row>
    <row r="626" spans="1:4">
      <c r="A626" s="226" t="s">
        <v>1456</v>
      </c>
      <c r="B626" s="226">
        <v>534535</v>
      </c>
      <c r="C626" s="226" t="s">
        <v>486</v>
      </c>
      <c r="D626" s="226" t="s">
        <v>480</v>
      </c>
    </row>
    <row r="627" spans="1:4">
      <c r="A627" s="226" t="s">
        <v>1457</v>
      </c>
      <c r="B627" s="226">
        <v>532523</v>
      </c>
      <c r="C627" s="226" t="s">
        <v>1458</v>
      </c>
      <c r="D627" s="226" t="s">
        <v>823</v>
      </c>
    </row>
    <row r="628" spans="1:4">
      <c r="A628" s="226" t="s">
        <v>1459</v>
      </c>
      <c r="B628" s="226">
        <v>524396</v>
      </c>
      <c r="C628" s="226" t="s">
        <v>1460</v>
      </c>
      <c r="D628" s="226" t="s">
        <v>524</v>
      </c>
    </row>
    <row r="629" spans="1:4">
      <c r="A629" s="226" t="s">
        <v>1461</v>
      </c>
      <c r="B629" s="226">
        <v>532330</v>
      </c>
      <c r="C629" s="226" t="s">
        <v>486</v>
      </c>
      <c r="D629" s="226" t="s">
        <v>605</v>
      </c>
    </row>
    <row r="630" spans="1:4">
      <c r="A630" s="226" t="s">
        <v>1462</v>
      </c>
      <c r="B630" s="226">
        <v>538364</v>
      </c>
      <c r="C630" s="226" t="s">
        <v>486</v>
      </c>
      <c r="D630" s="226" t="s">
        <v>501</v>
      </c>
    </row>
    <row r="631" spans="1:4">
      <c r="A631" s="226" t="s">
        <v>1463</v>
      </c>
      <c r="B631" s="226">
        <v>500060</v>
      </c>
      <c r="C631" s="226" t="s">
        <v>1464</v>
      </c>
      <c r="D631" s="226" t="s">
        <v>783</v>
      </c>
    </row>
    <row r="632" spans="1:4">
      <c r="A632" s="226" t="s">
        <v>1465</v>
      </c>
      <c r="B632" s="226">
        <v>500335</v>
      </c>
      <c r="C632" s="226" t="s">
        <v>1466</v>
      </c>
      <c r="D632" s="226" t="s">
        <v>499</v>
      </c>
    </row>
    <row r="633" spans="1:4">
      <c r="A633" s="226" t="s">
        <v>1467</v>
      </c>
      <c r="B633" s="226">
        <v>533006</v>
      </c>
      <c r="C633" s="226" t="s">
        <v>486</v>
      </c>
      <c r="D633" s="226" t="s">
        <v>501</v>
      </c>
    </row>
    <row r="634" spans="1:4">
      <c r="A634" s="226" t="s">
        <v>1468</v>
      </c>
      <c r="B634" s="226">
        <v>533006</v>
      </c>
      <c r="C634" s="226" t="s">
        <v>486</v>
      </c>
      <c r="D634" s="226" t="s">
        <v>501</v>
      </c>
    </row>
    <row r="635" spans="1:4">
      <c r="A635" s="226" t="s">
        <v>1469</v>
      </c>
      <c r="B635" s="226">
        <v>522105</v>
      </c>
      <c r="C635" s="226" t="s">
        <v>486</v>
      </c>
      <c r="D635" s="226" t="s">
        <v>494</v>
      </c>
    </row>
    <row r="636" spans="1:4">
      <c r="A636" s="226" t="s">
        <v>1470</v>
      </c>
      <c r="B636" s="226">
        <v>533408</v>
      </c>
      <c r="C636" s="226" t="s">
        <v>1471</v>
      </c>
      <c r="D636" s="226" t="s">
        <v>470</v>
      </c>
    </row>
    <row r="637" spans="1:4">
      <c r="A637" s="226" t="s">
        <v>1472</v>
      </c>
      <c r="B637" s="226" t="s">
        <v>486</v>
      </c>
      <c r="C637" s="226" t="s">
        <v>1473</v>
      </c>
      <c r="D637" s="226" t="s">
        <v>473</v>
      </c>
    </row>
    <row r="638" spans="1:4">
      <c r="A638" s="226" t="s">
        <v>1474</v>
      </c>
      <c r="B638" s="226">
        <v>539043</v>
      </c>
      <c r="C638" s="226" t="s">
        <v>1475</v>
      </c>
      <c r="D638" s="226" t="s">
        <v>680</v>
      </c>
    </row>
    <row r="639" spans="1:4">
      <c r="A639" s="226" t="s">
        <v>1476</v>
      </c>
      <c r="B639" s="226">
        <v>514183</v>
      </c>
      <c r="C639" s="226" t="s">
        <v>486</v>
      </c>
      <c r="D639" s="226" t="s">
        <v>645</v>
      </c>
    </row>
    <row r="640" spans="1:4">
      <c r="A640" s="226" t="s">
        <v>1477</v>
      </c>
      <c r="B640" s="226">
        <v>532290</v>
      </c>
      <c r="C640" s="226" t="s">
        <v>1478</v>
      </c>
      <c r="D640" s="226" t="s">
        <v>470</v>
      </c>
    </row>
    <row r="641" spans="1:4">
      <c r="A641" s="226" t="s">
        <v>1479</v>
      </c>
      <c r="B641" s="226">
        <v>506197</v>
      </c>
      <c r="C641" s="226" t="s">
        <v>1480</v>
      </c>
      <c r="D641" s="226" t="s">
        <v>524</v>
      </c>
    </row>
    <row r="642" spans="1:4">
      <c r="A642" s="226" t="s">
        <v>1481</v>
      </c>
      <c r="B642" s="226">
        <v>526225</v>
      </c>
      <c r="C642" s="226" t="s">
        <v>486</v>
      </c>
      <c r="D642" s="226" t="s">
        <v>605</v>
      </c>
    </row>
    <row r="643" spans="1:4">
      <c r="A643" s="226" t="s">
        <v>1482</v>
      </c>
      <c r="B643" s="226">
        <v>513422</v>
      </c>
      <c r="C643" s="226" t="s">
        <v>486</v>
      </c>
      <c r="D643" s="226" t="s">
        <v>518</v>
      </c>
    </row>
    <row r="644" spans="1:4">
      <c r="A644" s="226" t="s">
        <v>1483</v>
      </c>
      <c r="B644" s="226">
        <v>531175</v>
      </c>
      <c r="C644" s="226" t="s">
        <v>486</v>
      </c>
      <c r="D644" s="226" t="s">
        <v>579</v>
      </c>
    </row>
    <row r="645" spans="1:4">
      <c r="A645" s="226" t="s">
        <v>1484</v>
      </c>
      <c r="B645" s="226">
        <v>540073</v>
      </c>
      <c r="C645" s="226" t="s">
        <v>1485</v>
      </c>
      <c r="D645" s="226" t="s">
        <v>1486</v>
      </c>
    </row>
    <row r="646" spans="1:4">
      <c r="A646" s="226" t="s">
        <v>1487</v>
      </c>
      <c r="B646" s="226">
        <v>502761</v>
      </c>
      <c r="C646" s="226" t="s">
        <v>486</v>
      </c>
      <c r="D646" s="226" t="s">
        <v>501</v>
      </c>
    </row>
    <row r="647" spans="1:4">
      <c r="A647" s="226" t="s">
        <v>1488</v>
      </c>
      <c r="B647" s="226" t="s">
        <v>486</v>
      </c>
      <c r="C647" s="226" t="s">
        <v>1489</v>
      </c>
      <c r="D647" s="226" t="s">
        <v>577</v>
      </c>
    </row>
    <row r="648" spans="1:4">
      <c r="A648" s="226" t="s">
        <v>1490</v>
      </c>
      <c r="B648" s="226">
        <v>502761</v>
      </c>
      <c r="C648" s="226" t="s">
        <v>486</v>
      </c>
      <c r="D648" s="226" t="s">
        <v>501</v>
      </c>
    </row>
    <row r="649" spans="1:4">
      <c r="A649" s="226" t="s">
        <v>1491</v>
      </c>
      <c r="B649" s="226">
        <v>506981</v>
      </c>
      <c r="C649" s="226" t="s">
        <v>486</v>
      </c>
      <c r="D649" s="226" t="s">
        <v>501</v>
      </c>
    </row>
    <row r="650" spans="1:4">
      <c r="A650" s="226" t="s">
        <v>1492</v>
      </c>
      <c r="B650" s="226">
        <v>508939</v>
      </c>
      <c r="C650" s="226" t="s">
        <v>486</v>
      </c>
      <c r="D650" s="226" t="s">
        <v>503</v>
      </c>
    </row>
    <row r="651" spans="1:4">
      <c r="A651" s="226" t="s">
        <v>1493</v>
      </c>
      <c r="B651" s="226">
        <v>539607</v>
      </c>
      <c r="C651" s="226" t="s">
        <v>486</v>
      </c>
      <c r="D651" s="226" t="s">
        <v>579</v>
      </c>
    </row>
    <row r="652" spans="1:4">
      <c r="A652" s="226" t="s">
        <v>1494</v>
      </c>
      <c r="B652" s="226">
        <v>531495</v>
      </c>
      <c r="C652" s="226" t="s">
        <v>1495</v>
      </c>
      <c r="D652" s="226" t="s">
        <v>686</v>
      </c>
    </row>
    <row r="653" spans="1:4">
      <c r="A653" s="226" t="s">
        <v>1496</v>
      </c>
      <c r="B653" s="226">
        <v>526612</v>
      </c>
      <c r="C653" s="226" t="s">
        <v>1497</v>
      </c>
      <c r="D653" s="226" t="s">
        <v>806</v>
      </c>
    </row>
    <row r="654" spans="1:4">
      <c r="A654" s="226" t="s">
        <v>1498</v>
      </c>
      <c r="B654" s="226">
        <v>514440</v>
      </c>
      <c r="C654" s="226" t="s">
        <v>486</v>
      </c>
      <c r="D654" s="226" t="s">
        <v>534</v>
      </c>
    </row>
    <row r="655" spans="1:4">
      <c r="A655" s="226" t="s">
        <v>1499</v>
      </c>
      <c r="B655" s="226">
        <v>500067</v>
      </c>
      <c r="C655" s="226" t="s">
        <v>1500</v>
      </c>
      <c r="D655" s="226" t="s">
        <v>854</v>
      </c>
    </row>
    <row r="656" spans="1:4">
      <c r="A656" s="226" t="s">
        <v>1501</v>
      </c>
      <c r="B656" s="226">
        <v>539637</v>
      </c>
      <c r="C656" s="226" t="s">
        <v>486</v>
      </c>
      <c r="D656" s="226" t="s">
        <v>470</v>
      </c>
    </row>
    <row r="657" spans="1:4">
      <c r="A657" s="226" t="s">
        <v>1502</v>
      </c>
      <c r="B657" s="226">
        <v>531713</v>
      </c>
      <c r="C657" s="226" t="s">
        <v>486</v>
      </c>
      <c r="D657" s="226" t="s">
        <v>906</v>
      </c>
    </row>
    <row r="658" spans="1:4">
      <c r="A658" s="226" t="s">
        <v>1503</v>
      </c>
      <c r="B658" s="226">
        <v>531420</v>
      </c>
      <c r="C658" s="226" t="s">
        <v>486</v>
      </c>
      <c r="D658" s="226" t="s">
        <v>489</v>
      </c>
    </row>
    <row r="659" spans="1:4">
      <c r="A659" s="226" t="s">
        <v>1504</v>
      </c>
      <c r="B659" s="226">
        <v>542669</v>
      </c>
      <c r="C659" s="226" t="s">
        <v>1505</v>
      </c>
      <c r="D659" s="226" t="s">
        <v>603</v>
      </c>
    </row>
    <row r="660" spans="1:4">
      <c r="A660" s="226" t="s">
        <v>1506</v>
      </c>
      <c r="B660" s="226">
        <v>500069</v>
      </c>
      <c r="C660" s="226" t="s">
        <v>486</v>
      </c>
      <c r="D660" s="226" t="s">
        <v>470</v>
      </c>
    </row>
    <row r="661" spans="1:4">
      <c r="A661" s="226" t="s">
        <v>1507</v>
      </c>
      <c r="B661" s="226">
        <v>530809</v>
      </c>
      <c r="C661" s="226" t="s">
        <v>486</v>
      </c>
      <c r="D661" s="226" t="s">
        <v>815</v>
      </c>
    </row>
    <row r="662" spans="1:4">
      <c r="A662" s="226" t="s">
        <v>1508</v>
      </c>
      <c r="B662" s="226">
        <v>524370</v>
      </c>
      <c r="C662" s="226" t="s">
        <v>1509</v>
      </c>
      <c r="D662" s="226" t="s">
        <v>645</v>
      </c>
    </row>
    <row r="663" spans="1:4">
      <c r="A663" s="226" t="s">
        <v>1510</v>
      </c>
      <c r="B663" s="226">
        <v>539122</v>
      </c>
      <c r="C663" s="226" t="s">
        <v>486</v>
      </c>
      <c r="D663" s="226" t="s">
        <v>473</v>
      </c>
    </row>
    <row r="664" spans="1:4">
      <c r="A664" s="226" t="s">
        <v>1511</v>
      </c>
      <c r="B664" s="226" t="s">
        <v>486</v>
      </c>
      <c r="C664" s="226" t="s">
        <v>1512</v>
      </c>
      <c r="D664" s="226" t="s">
        <v>497</v>
      </c>
    </row>
    <row r="665" spans="1:4">
      <c r="A665" s="226" t="s">
        <v>1513</v>
      </c>
      <c r="B665" s="226">
        <v>501425</v>
      </c>
      <c r="C665" s="226" t="s">
        <v>1514</v>
      </c>
      <c r="D665" s="226" t="s">
        <v>892</v>
      </c>
    </row>
    <row r="666" spans="1:4">
      <c r="A666" s="226" t="s">
        <v>1515</v>
      </c>
      <c r="B666" s="226">
        <v>501430</v>
      </c>
      <c r="C666" s="226" t="s">
        <v>486</v>
      </c>
      <c r="D666" s="226" t="s">
        <v>508</v>
      </c>
    </row>
    <row r="667" spans="1:4">
      <c r="A667" s="226" t="s">
        <v>1516</v>
      </c>
      <c r="B667" s="226">
        <v>500020</v>
      </c>
      <c r="C667" s="226" t="s">
        <v>1517</v>
      </c>
      <c r="D667" s="226" t="s">
        <v>501</v>
      </c>
    </row>
    <row r="668" spans="1:4">
      <c r="A668" s="226" t="s">
        <v>1518</v>
      </c>
      <c r="B668" s="226">
        <v>509470</v>
      </c>
      <c r="C668" s="226" t="s">
        <v>486</v>
      </c>
      <c r="D668" s="226" t="s">
        <v>1519</v>
      </c>
    </row>
    <row r="669" spans="1:4">
      <c r="A669" s="226" t="s">
        <v>1520</v>
      </c>
      <c r="B669" s="226">
        <v>502216</v>
      </c>
      <c r="C669" s="226" t="s">
        <v>486</v>
      </c>
      <c r="D669" s="226" t="s">
        <v>572</v>
      </c>
    </row>
    <row r="670" spans="1:4">
      <c r="A670" s="226" t="s">
        <v>1521</v>
      </c>
      <c r="B670" s="226">
        <v>532678</v>
      </c>
      <c r="C670" s="226" t="s">
        <v>1522</v>
      </c>
      <c r="D670" s="226" t="s">
        <v>501</v>
      </c>
    </row>
    <row r="671" spans="1:4">
      <c r="A671" s="226" t="s">
        <v>1523</v>
      </c>
      <c r="B671" s="226" t="s">
        <v>486</v>
      </c>
      <c r="C671" s="226" t="s">
        <v>1524</v>
      </c>
      <c r="D671" s="226" t="s">
        <v>497</v>
      </c>
    </row>
    <row r="672" spans="1:4">
      <c r="A672" s="226" t="s">
        <v>1525</v>
      </c>
      <c r="B672" s="226">
        <v>504648</v>
      </c>
      <c r="C672" s="226" t="s">
        <v>486</v>
      </c>
      <c r="D672" s="226" t="s">
        <v>808</v>
      </c>
    </row>
    <row r="673" spans="1:4">
      <c r="A673" s="226" t="s">
        <v>1526</v>
      </c>
      <c r="B673" s="226">
        <v>523133</v>
      </c>
      <c r="C673" s="226" t="s">
        <v>486</v>
      </c>
      <c r="D673" s="226" t="s">
        <v>501</v>
      </c>
    </row>
    <row r="674" spans="1:4">
      <c r="A674" s="226" t="s">
        <v>1527</v>
      </c>
      <c r="B674" s="226">
        <v>502219</v>
      </c>
      <c r="C674" s="226" t="s">
        <v>1528</v>
      </c>
      <c r="D674" s="226" t="s">
        <v>1529</v>
      </c>
    </row>
    <row r="675" spans="1:4">
      <c r="A675" s="226" t="s">
        <v>1530</v>
      </c>
      <c r="B675" s="226">
        <v>500530</v>
      </c>
      <c r="C675" s="226" t="s">
        <v>1531</v>
      </c>
      <c r="D675" s="226" t="s">
        <v>840</v>
      </c>
    </row>
    <row r="676" spans="1:4">
      <c r="A676" s="226" t="s">
        <v>1532</v>
      </c>
      <c r="B676" s="226">
        <v>536820</v>
      </c>
      <c r="C676" s="226" t="s">
        <v>486</v>
      </c>
      <c r="D676" s="226" t="s">
        <v>579</v>
      </c>
    </row>
    <row r="677" spans="1:4">
      <c r="A677" s="226" t="s">
        <v>1533</v>
      </c>
      <c r="B677" s="226">
        <v>536820</v>
      </c>
      <c r="C677" s="226" t="s">
        <v>486</v>
      </c>
      <c r="D677" s="226" t="s">
        <v>579</v>
      </c>
    </row>
    <row r="678" spans="1:4">
      <c r="A678" s="226" t="s">
        <v>1534</v>
      </c>
      <c r="B678" s="226">
        <v>535279</v>
      </c>
      <c r="C678" s="226" t="s">
        <v>486</v>
      </c>
      <c r="D678" s="226" t="s">
        <v>790</v>
      </c>
    </row>
    <row r="679" spans="1:4">
      <c r="A679" s="226" t="s">
        <v>1535</v>
      </c>
      <c r="B679" s="226">
        <v>500074</v>
      </c>
      <c r="C679" s="226" t="s">
        <v>1536</v>
      </c>
      <c r="D679" s="226" t="s">
        <v>854</v>
      </c>
    </row>
    <row r="680" spans="1:4">
      <c r="A680" s="226" t="s">
        <v>1537</v>
      </c>
      <c r="B680" s="226">
        <v>505690</v>
      </c>
      <c r="C680" s="226" t="s">
        <v>486</v>
      </c>
      <c r="D680" s="226" t="s">
        <v>564</v>
      </c>
    </row>
    <row r="681" spans="1:4">
      <c r="A681" s="226" t="s">
        <v>1538</v>
      </c>
      <c r="B681" s="226">
        <v>535693</v>
      </c>
      <c r="C681" s="226" t="s">
        <v>486</v>
      </c>
      <c r="D681" s="226" t="s">
        <v>883</v>
      </c>
    </row>
    <row r="682" spans="1:4">
      <c r="A682" s="226" t="s">
        <v>1539</v>
      </c>
      <c r="B682" s="226" t="s">
        <v>486</v>
      </c>
      <c r="C682" s="226" t="s">
        <v>1540</v>
      </c>
      <c r="D682" s="226" t="s">
        <v>497</v>
      </c>
    </row>
    <row r="683" spans="1:4">
      <c r="A683" s="226" t="s">
        <v>1541</v>
      </c>
      <c r="B683" s="226">
        <v>531203</v>
      </c>
      <c r="C683" s="226" t="s">
        <v>486</v>
      </c>
      <c r="D683" s="226" t="s">
        <v>570</v>
      </c>
    </row>
    <row r="684" spans="1:4">
      <c r="A684" s="226" t="s">
        <v>1542</v>
      </c>
      <c r="B684" s="226">
        <v>530207</v>
      </c>
      <c r="C684" s="226" t="s">
        <v>486</v>
      </c>
      <c r="D684" s="226" t="s">
        <v>524</v>
      </c>
    </row>
    <row r="685" spans="1:4">
      <c r="A685" s="226" t="s">
        <v>1543</v>
      </c>
      <c r="B685" s="226">
        <v>530249</v>
      </c>
      <c r="C685" s="226" t="s">
        <v>486</v>
      </c>
      <c r="D685" s="226" t="s">
        <v>470</v>
      </c>
    </row>
    <row r="686" spans="1:4">
      <c r="A686" s="226" t="s">
        <v>1544</v>
      </c>
      <c r="B686" s="226">
        <v>532929</v>
      </c>
      <c r="C686" s="226" t="s">
        <v>1545</v>
      </c>
      <c r="D686" s="226" t="s">
        <v>572</v>
      </c>
    </row>
    <row r="687" spans="1:4">
      <c r="A687" s="226" t="s">
        <v>1546</v>
      </c>
      <c r="B687" s="226">
        <v>526731</v>
      </c>
      <c r="C687" s="226" t="s">
        <v>486</v>
      </c>
      <c r="D687" s="226" t="s">
        <v>680</v>
      </c>
    </row>
    <row r="688" spans="1:4">
      <c r="A688" s="226" t="s">
        <v>1547</v>
      </c>
      <c r="B688" s="226" t="s">
        <v>486</v>
      </c>
      <c r="C688" s="226" t="s">
        <v>1548</v>
      </c>
      <c r="D688" s="226" t="s">
        <v>497</v>
      </c>
    </row>
    <row r="689" spans="1:4">
      <c r="A689" s="226" t="s">
        <v>1549</v>
      </c>
      <c r="B689" s="226">
        <v>532368</v>
      </c>
      <c r="C689" s="226" t="s">
        <v>1550</v>
      </c>
      <c r="D689" s="226" t="s">
        <v>579</v>
      </c>
    </row>
    <row r="690" spans="1:4">
      <c r="A690" s="226" t="s">
        <v>1551</v>
      </c>
      <c r="B690" s="226">
        <v>532113</v>
      </c>
      <c r="C690" s="226" t="s">
        <v>1552</v>
      </c>
      <c r="D690" s="226" t="s">
        <v>503</v>
      </c>
    </row>
    <row r="691" spans="1:4">
      <c r="A691" s="226" t="s">
        <v>1553</v>
      </c>
      <c r="B691" s="226">
        <v>539434</v>
      </c>
      <c r="C691" s="226" t="s">
        <v>486</v>
      </c>
      <c r="D691" s="226" t="s">
        <v>503</v>
      </c>
    </row>
    <row r="692" spans="1:4">
      <c r="A692" s="226" t="s">
        <v>1554</v>
      </c>
      <c r="B692" s="226">
        <v>500825</v>
      </c>
      <c r="C692" s="226" t="s">
        <v>1555</v>
      </c>
      <c r="D692" s="226" t="s">
        <v>546</v>
      </c>
    </row>
    <row r="693" spans="1:4">
      <c r="A693" s="226" t="s">
        <v>1556</v>
      </c>
      <c r="B693" s="226">
        <v>534731</v>
      </c>
      <c r="C693" s="226" t="s">
        <v>486</v>
      </c>
      <c r="D693" s="226" t="s">
        <v>883</v>
      </c>
    </row>
    <row r="694" spans="1:4">
      <c r="A694" s="226" t="s">
        <v>1557</v>
      </c>
      <c r="B694" s="226">
        <v>533543</v>
      </c>
      <c r="C694" s="226" t="s">
        <v>1558</v>
      </c>
      <c r="D694" s="226" t="s">
        <v>524</v>
      </c>
    </row>
    <row r="695" spans="1:4">
      <c r="A695" s="226" t="s">
        <v>1559</v>
      </c>
      <c r="B695" s="226" t="s">
        <v>486</v>
      </c>
      <c r="C695" s="226" t="s">
        <v>462</v>
      </c>
      <c r="D695" s="226" t="s">
        <v>577</v>
      </c>
    </row>
    <row r="696" spans="1:4">
      <c r="A696" s="226" t="s">
        <v>1560</v>
      </c>
      <c r="B696" s="226">
        <v>532123</v>
      </c>
      <c r="C696" s="226" t="s">
        <v>1561</v>
      </c>
      <c r="D696" s="226" t="s">
        <v>572</v>
      </c>
    </row>
    <row r="697" spans="1:4">
      <c r="A697" s="226" t="s">
        <v>1562</v>
      </c>
      <c r="B697" s="226">
        <v>514045</v>
      </c>
      <c r="C697" s="226" t="s">
        <v>1563</v>
      </c>
      <c r="D697" s="226" t="s">
        <v>501</v>
      </c>
    </row>
    <row r="698" spans="1:4">
      <c r="A698" s="226" t="s">
        <v>1564</v>
      </c>
      <c r="B698" s="226">
        <v>538789</v>
      </c>
      <c r="C698" s="226" t="s">
        <v>486</v>
      </c>
      <c r="D698" s="226" t="s">
        <v>722</v>
      </c>
    </row>
    <row r="699" spans="1:4">
      <c r="A699" s="226" t="s">
        <v>1565</v>
      </c>
      <c r="B699" s="226">
        <v>540006</v>
      </c>
      <c r="C699" s="226" t="s">
        <v>486</v>
      </c>
      <c r="D699" s="226" t="s">
        <v>470</v>
      </c>
    </row>
    <row r="700" spans="1:4">
      <c r="A700" s="226" t="s">
        <v>1566</v>
      </c>
      <c r="B700" s="226">
        <v>532931</v>
      </c>
      <c r="C700" s="226" t="s">
        <v>1567</v>
      </c>
      <c r="D700" s="226" t="s">
        <v>499</v>
      </c>
    </row>
    <row r="701" spans="1:4">
      <c r="A701" s="226" t="s">
        <v>1568</v>
      </c>
      <c r="B701" s="226">
        <v>517421</v>
      </c>
      <c r="C701" s="226" t="s">
        <v>1569</v>
      </c>
      <c r="D701" s="226" t="s">
        <v>1248</v>
      </c>
    </row>
    <row r="702" spans="1:4">
      <c r="A702" s="226" t="s">
        <v>1570</v>
      </c>
      <c r="B702" s="226">
        <v>504643</v>
      </c>
      <c r="C702" s="226" t="s">
        <v>486</v>
      </c>
      <c r="D702" s="226" t="s">
        <v>808</v>
      </c>
    </row>
    <row r="703" spans="1:4">
      <c r="A703" s="226" t="s">
        <v>1571</v>
      </c>
      <c r="B703" s="226">
        <v>532813</v>
      </c>
      <c r="C703" s="226" t="s">
        <v>1572</v>
      </c>
      <c r="D703" s="226" t="s">
        <v>883</v>
      </c>
    </row>
    <row r="704" spans="1:4">
      <c r="A704" s="226" t="s">
        <v>1573</v>
      </c>
      <c r="B704" s="226">
        <v>507515</v>
      </c>
      <c r="C704" s="226" t="s">
        <v>486</v>
      </c>
      <c r="D704" s="226" t="s">
        <v>645</v>
      </c>
    </row>
    <row r="705" spans="1:4">
      <c r="A705" s="226" t="s">
        <v>1574</v>
      </c>
      <c r="B705" s="226">
        <v>532321</v>
      </c>
      <c r="C705" s="226" t="s">
        <v>1575</v>
      </c>
      <c r="D705" s="226" t="s">
        <v>524</v>
      </c>
    </row>
    <row r="706" spans="1:4">
      <c r="A706" s="226" t="s">
        <v>1576</v>
      </c>
      <c r="B706" s="226" t="s">
        <v>486</v>
      </c>
      <c r="C706" s="226" t="s">
        <v>1577</v>
      </c>
      <c r="D706" s="226" t="s">
        <v>497</v>
      </c>
    </row>
    <row r="707" spans="1:4">
      <c r="A707" s="226" t="s">
        <v>1578</v>
      </c>
      <c r="B707" s="226" t="s">
        <v>486</v>
      </c>
      <c r="C707" s="226" t="s">
        <v>1577</v>
      </c>
      <c r="D707" s="226" t="s">
        <v>497</v>
      </c>
    </row>
    <row r="708" spans="1:4">
      <c r="A708" s="226" t="s">
        <v>1579</v>
      </c>
      <c r="B708" s="226">
        <v>517236</v>
      </c>
      <c r="C708" s="226" t="s">
        <v>486</v>
      </c>
      <c r="D708" s="226" t="s">
        <v>854</v>
      </c>
    </row>
    <row r="709" spans="1:4">
      <c r="A709" s="226" t="s">
        <v>1580</v>
      </c>
      <c r="B709" s="226">
        <v>532386</v>
      </c>
      <c r="C709" s="226" t="s">
        <v>1581</v>
      </c>
      <c r="D709" s="226" t="s">
        <v>579</v>
      </c>
    </row>
    <row r="710" spans="1:4">
      <c r="A710" s="226" t="s">
        <v>1582</v>
      </c>
      <c r="B710" s="226">
        <v>532801</v>
      </c>
      <c r="C710" s="226" t="s">
        <v>1583</v>
      </c>
      <c r="D710" s="226" t="s">
        <v>579</v>
      </c>
    </row>
    <row r="711" spans="1:4">
      <c r="A711" s="226" t="s">
        <v>1584</v>
      </c>
      <c r="B711" s="226">
        <v>524440</v>
      </c>
      <c r="C711" s="226" t="s">
        <v>486</v>
      </c>
      <c r="D711" s="226" t="s">
        <v>534</v>
      </c>
    </row>
    <row r="712" spans="1:4">
      <c r="A712" s="226" t="s">
        <v>1585</v>
      </c>
      <c r="B712" s="226">
        <v>532834</v>
      </c>
      <c r="C712" s="226" t="s">
        <v>1586</v>
      </c>
      <c r="D712" s="226" t="s">
        <v>645</v>
      </c>
    </row>
    <row r="713" spans="1:4">
      <c r="A713" s="226" t="s">
        <v>1587</v>
      </c>
      <c r="B713" s="226">
        <v>538858</v>
      </c>
      <c r="C713" s="226" t="s">
        <v>486</v>
      </c>
      <c r="D713" s="226" t="s">
        <v>823</v>
      </c>
    </row>
    <row r="714" spans="1:4">
      <c r="A714" s="226" t="s">
        <v>1588</v>
      </c>
      <c r="B714" s="226">
        <v>540071</v>
      </c>
      <c r="C714" s="226" t="s">
        <v>486</v>
      </c>
      <c r="D714" s="226" t="s">
        <v>683</v>
      </c>
    </row>
    <row r="715" spans="1:4">
      <c r="A715" s="226" t="s">
        <v>1589</v>
      </c>
      <c r="B715" s="226">
        <v>511196</v>
      </c>
      <c r="C715" s="226" t="s">
        <v>1590</v>
      </c>
      <c r="D715" s="226" t="s">
        <v>544</v>
      </c>
    </row>
    <row r="716" spans="1:4">
      <c r="A716" s="226" t="s">
        <v>1591</v>
      </c>
      <c r="B716" s="226">
        <v>532483</v>
      </c>
      <c r="C716" s="226" t="s">
        <v>1592</v>
      </c>
      <c r="D716" s="226" t="s">
        <v>803</v>
      </c>
    </row>
    <row r="717" spans="1:4">
      <c r="A717" s="226" t="s">
        <v>1593</v>
      </c>
      <c r="B717" s="226">
        <v>539304</v>
      </c>
      <c r="C717" s="226" t="s">
        <v>486</v>
      </c>
      <c r="D717" s="226" t="s">
        <v>470</v>
      </c>
    </row>
    <row r="718" spans="1:4">
      <c r="A718" s="226" t="s">
        <v>1594</v>
      </c>
      <c r="B718" s="226">
        <v>533267</v>
      </c>
      <c r="C718" s="226" t="s">
        <v>1595</v>
      </c>
      <c r="D718" s="226" t="s">
        <v>599</v>
      </c>
    </row>
    <row r="719" spans="1:4">
      <c r="A719" s="226" t="s">
        <v>1596</v>
      </c>
      <c r="B719" s="226">
        <v>533267</v>
      </c>
      <c r="C719" s="226" t="s">
        <v>1595</v>
      </c>
      <c r="D719" s="226" t="s">
        <v>599</v>
      </c>
    </row>
    <row r="720" spans="1:4">
      <c r="A720" s="226" t="s">
        <v>1597</v>
      </c>
      <c r="B720" s="226">
        <v>540710</v>
      </c>
      <c r="C720" s="226" t="s">
        <v>1598</v>
      </c>
      <c r="D720" s="226" t="s">
        <v>572</v>
      </c>
    </row>
    <row r="721" spans="1:4">
      <c r="A721" s="226" t="s">
        <v>1599</v>
      </c>
      <c r="B721" s="226">
        <v>539198</v>
      </c>
      <c r="C721" s="226" t="s">
        <v>486</v>
      </c>
      <c r="D721" s="226" t="s">
        <v>470</v>
      </c>
    </row>
    <row r="722" spans="1:4">
      <c r="A722" s="226" t="s">
        <v>1600</v>
      </c>
      <c r="B722" s="226">
        <v>539198</v>
      </c>
      <c r="C722" s="226" t="s">
        <v>486</v>
      </c>
      <c r="D722" s="226" t="s">
        <v>470</v>
      </c>
    </row>
    <row r="723" spans="1:4">
      <c r="A723" s="226" t="s">
        <v>1601</v>
      </c>
      <c r="B723" s="226">
        <v>532938</v>
      </c>
      <c r="C723" s="226" t="s">
        <v>1602</v>
      </c>
      <c r="D723" s="226" t="s">
        <v>470</v>
      </c>
    </row>
    <row r="724" spans="1:4">
      <c r="A724" s="226" t="s">
        <v>1603</v>
      </c>
      <c r="B724" s="226">
        <v>530879</v>
      </c>
      <c r="C724" s="226" t="s">
        <v>486</v>
      </c>
      <c r="D724" s="226" t="s">
        <v>470</v>
      </c>
    </row>
    <row r="725" spans="1:4">
      <c r="A725" s="226" t="s">
        <v>1604</v>
      </c>
      <c r="B725" s="226">
        <v>538476</v>
      </c>
      <c r="C725" s="226" t="s">
        <v>486</v>
      </c>
      <c r="D725" s="226" t="s">
        <v>503</v>
      </c>
    </row>
    <row r="726" spans="1:4">
      <c r="A726" s="226" t="s">
        <v>1605</v>
      </c>
      <c r="B726" s="226">
        <v>511505</v>
      </c>
      <c r="C726" s="226" t="s">
        <v>1606</v>
      </c>
      <c r="D726" s="226" t="s">
        <v>503</v>
      </c>
    </row>
    <row r="727" spans="1:4">
      <c r="A727" s="226" t="s">
        <v>1607</v>
      </c>
      <c r="B727" s="226">
        <v>524742</v>
      </c>
      <c r="C727" s="226" t="s">
        <v>1608</v>
      </c>
      <c r="D727" s="226" t="s">
        <v>524</v>
      </c>
    </row>
    <row r="728" spans="1:4">
      <c r="A728" s="226" t="s">
        <v>1609</v>
      </c>
      <c r="B728" s="226">
        <v>531595</v>
      </c>
      <c r="C728" s="226" t="s">
        <v>1610</v>
      </c>
      <c r="D728" s="226" t="s">
        <v>503</v>
      </c>
    </row>
    <row r="729" spans="1:4">
      <c r="A729" s="226" t="s">
        <v>1611</v>
      </c>
      <c r="B729" s="226">
        <v>512169</v>
      </c>
      <c r="C729" s="226" t="s">
        <v>486</v>
      </c>
      <c r="D729" s="226" t="s">
        <v>906</v>
      </c>
    </row>
    <row r="730" spans="1:4">
      <c r="A730" s="226" t="s">
        <v>1612</v>
      </c>
      <c r="B730" s="226">
        <v>509486</v>
      </c>
      <c r="C730" s="226" t="s">
        <v>486</v>
      </c>
      <c r="D730" s="226" t="s">
        <v>605</v>
      </c>
    </row>
    <row r="731" spans="1:4">
      <c r="A731" s="226" t="s">
        <v>1613</v>
      </c>
      <c r="B731" s="226">
        <v>509486</v>
      </c>
      <c r="C731" s="226" t="s">
        <v>486</v>
      </c>
      <c r="D731" s="226" t="s">
        <v>605</v>
      </c>
    </row>
    <row r="732" spans="1:4">
      <c r="A732" s="226" t="s">
        <v>1614</v>
      </c>
      <c r="B732" s="226">
        <v>507486</v>
      </c>
      <c r="C732" s="226" t="s">
        <v>486</v>
      </c>
      <c r="D732" s="226" t="s">
        <v>534</v>
      </c>
    </row>
    <row r="733" spans="1:4">
      <c r="A733" s="226" t="s">
        <v>1615</v>
      </c>
      <c r="B733" s="226">
        <v>538817</v>
      </c>
      <c r="C733" s="226" t="s">
        <v>486</v>
      </c>
      <c r="D733" s="226" t="s">
        <v>605</v>
      </c>
    </row>
    <row r="734" spans="1:4">
      <c r="A734" s="226" t="s">
        <v>1616</v>
      </c>
      <c r="B734" s="226">
        <v>536974</v>
      </c>
      <c r="C734" s="226" t="s">
        <v>486</v>
      </c>
      <c r="D734" s="226" t="s">
        <v>605</v>
      </c>
    </row>
    <row r="735" spans="1:4">
      <c r="A735" s="226" t="s">
        <v>1617</v>
      </c>
      <c r="B735" s="226">
        <v>540652</v>
      </c>
      <c r="C735" s="226" t="s">
        <v>486</v>
      </c>
      <c r="D735" s="226" t="s">
        <v>670</v>
      </c>
    </row>
    <row r="736" spans="1:4">
      <c r="A736" s="226" t="s">
        <v>1618</v>
      </c>
      <c r="B736" s="226">
        <v>513375</v>
      </c>
      <c r="C736" s="226" t="s">
        <v>1619</v>
      </c>
      <c r="D736" s="226" t="s">
        <v>1403</v>
      </c>
    </row>
    <row r="737" spans="1:4">
      <c r="A737" s="226" t="s">
        <v>1620</v>
      </c>
      <c r="B737" s="226">
        <v>534804</v>
      </c>
      <c r="C737" s="226" t="s">
        <v>1621</v>
      </c>
      <c r="D737" s="226" t="s">
        <v>470</v>
      </c>
    </row>
    <row r="738" spans="1:4">
      <c r="A738" s="226" t="s">
        <v>1622</v>
      </c>
      <c r="B738" s="226">
        <v>533260</v>
      </c>
      <c r="C738" s="226" t="s">
        <v>1623</v>
      </c>
      <c r="D738" s="226" t="s">
        <v>349</v>
      </c>
    </row>
    <row r="739" spans="1:4">
      <c r="A739" s="226" t="s">
        <v>1624</v>
      </c>
      <c r="B739" s="226">
        <v>530609</v>
      </c>
      <c r="C739" s="226" t="s">
        <v>486</v>
      </c>
      <c r="D739" s="226" t="s">
        <v>1403</v>
      </c>
    </row>
    <row r="740" spans="1:4">
      <c r="A740" s="226" t="s">
        <v>1625</v>
      </c>
      <c r="B740" s="226">
        <v>532282</v>
      </c>
      <c r="C740" s="226" t="s">
        <v>1626</v>
      </c>
      <c r="D740" s="226" t="s">
        <v>840</v>
      </c>
    </row>
    <row r="741" spans="1:4">
      <c r="A741" s="226" t="s">
        <v>1627</v>
      </c>
      <c r="B741" s="226">
        <v>500870</v>
      </c>
      <c r="C741" s="226" t="s">
        <v>1628</v>
      </c>
      <c r="D741" s="226" t="s">
        <v>695</v>
      </c>
    </row>
    <row r="742" spans="1:4">
      <c r="A742" s="226" t="s">
        <v>1629</v>
      </c>
      <c r="B742" s="226">
        <v>500870</v>
      </c>
      <c r="C742" s="226" t="s">
        <v>1628</v>
      </c>
      <c r="D742" s="226" t="s">
        <v>695</v>
      </c>
    </row>
    <row r="743" spans="1:4">
      <c r="A743" s="226" t="s">
        <v>1630</v>
      </c>
      <c r="B743" s="226">
        <v>531682</v>
      </c>
      <c r="C743" s="226" t="s">
        <v>486</v>
      </c>
      <c r="D743" s="226" t="s">
        <v>473</v>
      </c>
    </row>
    <row r="744" spans="1:4">
      <c r="A744" s="226" t="s">
        <v>1631</v>
      </c>
      <c r="B744" s="226">
        <v>531158</v>
      </c>
      <c r="C744" s="226" t="s">
        <v>486</v>
      </c>
      <c r="D744" s="226" t="s">
        <v>508</v>
      </c>
    </row>
    <row r="745" spans="1:4">
      <c r="A745" s="226" t="s">
        <v>1632</v>
      </c>
      <c r="B745" s="226">
        <v>531900</v>
      </c>
      <c r="C745" s="226" t="s">
        <v>486</v>
      </c>
      <c r="D745" s="226" t="s">
        <v>508</v>
      </c>
    </row>
    <row r="746" spans="1:4">
      <c r="A746" s="226" t="s">
        <v>1633</v>
      </c>
      <c r="B746" s="226">
        <v>519600</v>
      </c>
      <c r="C746" s="226" t="s">
        <v>1634</v>
      </c>
      <c r="D746" s="226" t="s">
        <v>892</v>
      </c>
    </row>
    <row r="747" spans="1:4">
      <c r="A747" s="226" t="s">
        <v>1635</v>
      </c>
      <c r="B747" s="226">
        <v>519600</v>
      </c>
      <c r="C747" s="226" t="s">
        <v>1634</v>
      </c>
      <c r="D747" s="226" t="s">
        <v>892</v>
      </c>
    </row>
    <row r="748" spans="1:4">
      <c r="A748" s="226" t="s">
        <v>1636</v>
      </c>
      <c r="B748" s="226">
        <v>500878</v>
      </c>
      <c r="C748" s="226" t="s">
        <v>1637</v>
      </c>
      <c r="D748" s="226" t="s">
        <v>965</v>
      </c>
    </row>
    <row r="749" spans="1:4">
      <c r="A749" s="226" t="s">
        <v>1638</v>
      </c>
      <c r="B749" s="226">
        <v>530789</v>
      </c>
      <c r="C749" s="226" t="s">
        <v>486</v>
      </c>
      <c r="D749" s="226" t="s">
        <v>605</v>
      </c>
    </row>
    <row r="750" spans="1:4">
      <c r="A750" s="226" t="s">
        <v>1639</v>
      </c>
      <c r="B750" s="226">
        <v>531119</v>
      </c>
      <c r="C750" s="226" t="s">
        <v>486</v>
      </c>
      <c r="D750" s="226" t="s">
        <v>599</v>
      </c>
    </row>
    <row r="751" spans="1:4">
      <c r="A751" s="226" t="s">
        <v>1640</v>
      </c>
      <c r="B751" s="226">
        <v>531119</v>
      </c>
      <c r="C751" s="226" t="s">
        <v>486</v>
      </c>
      <c r="D751" s="226" t="s">
        <v>599</v>
      </c>
    </row>
    <row r="752" spans="1:4">
      <c r="A752" s="226" t="s">
        <v>1641</v>
      </c>
      <c r="B752" s="226">
        <v>514171</v>
      </c>
      <c r="C752" s="226" t="s">
        <v>486</v>
      </c>
      <c r="D752" s="226" t="s">
        <v>1013</v>
      </c>
    </row>
    <row r="753" spans="1:4">
      <c r="A753" s="226" t="s">
        <v>1642</v>
      </c>
      <c r="B753" s="226">
        <v>538734</v>
      </c>
      <c r="C753" s="226" t="s">
        <v>486</v>
      </c>
      <c r="D753" s="226" t="s">
        <v>473</v>
      </c>
    </row>
    <row r="754" spans="1:4">
      <c r="A754" s="226" t="s">
        <v>1643</v>
      </c>
      <c r="B754" s="226">
        <v>532695</v>
      </c>
      <c r="C754" s="226" t="s">
        <v>1644</v>
      </c>
      <c r="D754" s="226" t="s">
        <v>599</v>
      </c>
    </row>
    <row r="755" spans="1:4">
      <c r="A755" s="226" t="s">
        <v>1645</v>
      </c>
      <c r="B755" s="226">
        <v>532871</v>
      </c>
      <c r="C755" s="226" t="s">
        <v>1646</v>
      </c>
      <c r="D755" s="226" t="s">
        <v>823</v>
      </c>
    </row>
    <row r="756" spans="1:4">
      <c r="A756" s="226" t="s">
        <v>1647</v>
      </c>
      <c r="B756" s="226">
        <v>532701</v>
      </c>
      <c r="C756" s="226" t="s">
        <v>486</v>
      </c>
      <c r="D756" s="226" t="s">
        <v>480</v>
      </c>
    </row>
    <row r="757" spans="1:4">
      <c r="A757" s="226" t="s">
        <v>1648</v>
      </c>
      <c r="B757" s="226">
        <v>522251</v>
      </c>
      <c r="C757" s="226" t="s">
        <v>486</v>
      </c>
      <c r="D757" s="226" t="s">
        <v>494</v>
      </c>
    </row>
    <row r="758" spans="1:4">
      <c r="A758" s="226" t="s">
        <v>1649</v>
      </c>
      <c r="B758" s="226">
        <v>531380</v>
      </c>
      <c r="C758" s="226" t="s">
        <v>486</v>
      </c>
      <c r="D758" s="226" t="s">
        <v>1650</v>
      </c>
    </row>
    <row r="759" spans="1:4">
      <c r="A759" s="226" t="s">
        <v>1651</v>
      </c>
      <c r="B759" s="226">
        <v>532885</v>
      </c>
      <c r="C759" s="226" t="s">
        <v>1652</v>
      </c>
      <c r="D759" s="226" t="s">
        <v>803</v>
      </c>
    </row>
    <row r="760" spans="1:4">
      <c r="A760" s="226" t="s">
        <v>1653</v>
      </c>
      <c r="B760" s="226" t="s">
        <v>486</v>
      </c>
      <c r="C760" s="226" t="s">
        <v>1654</v>
      </c>
      <c r="D760" s="226" t="s">
        <v>577</v>
      </c>
    </row>
    <row r="761" spans="1:4">
      <c r="A761" s="226" t="s">
        <v>1655</v>
      </c>
      <c r="B761" s="226" t="s">
        <v>486</v>
      </c>
      <c r="C761" s="226" t="s">
        <v>1654</v>
      </c>
      <c r="D761" s="226" t="s">
        <v>577</v>
      </c>
    </row>
    <row r="762" spans="1:4">
      <c r="A762" s="226" t="s">
        <v>1656</v>
      </c>
      <c r="B762" s="226">
        <v>501827</v>
      </c>
      <c r="C762" s="226" t="s">
        <v>486</v>
      </c>
      <c r="D762" s="226" t="s">
        <v>558</v>
      </c>
    </row>
    <row r="763" spans="1:4">
      <c r="A763" s="226" t="s">
        <v>1657</v>
      </c>
      <c r="B763" s="226">
        <v>501150</v>
      </c>
      <c r="C763" s="226" t="s">
        <v>1658</v>
      </c>
      <c r="D763" s="226" t="s">
        <v>470</v>
      </c>
    </row>
    <row r="764" spans="1:4">
      <c r="A764" s="226" t="s">
        <v>1659</v>
      </c>
      <c r="B764" s="226">
        <v>517544</v>
      </c>
      <c r="C764" s="226" t="s">
        <v>1660</v>
      </c>
      <c r="D764" s="226" t="s">
        <v>906</v>
      </c>
    </row>
    <row r="765" spans="1:4">
      <c r="A765" s="226" t="s">
        <v>1661</v>
      </c>
      <c r="B765" s="226">
        <v>500280</v>
      </c>
      <c r="C765" s="226" t="s">
        <v>1662</v>
      </c>
      <c r="D765" s="226" t="s">
        <v>501</v>
      </c>
    </row>
    <row r="766" spans="1:4">
      <c r="A766" s="226" t="s">
        <v>1663</v>
      </c>
      <c r="B766" s="226">
        <v>500083</v>
      </c>
      <c r="C766" s="226" t="s">
        <v>1664</v>
      </c>
      <c r="D766" s="226" t="s">
        <v>790</v>
      </c>
    </row>
    <row r="767" spans="1:4">
      <c r="A767" s="226" t="s">
        <v>1665</v>
      </c>
      <c r="B767" s="226">
        <v>532548</v>
      </c>
      <c r="C767" s="226" t="s">
        <v>1666</v>
      </c>
      <c r="D767" s="226" t="s">
        <v>980</v>
      </c>
    </row>
    <row r="768" spans="1:4">
      <c r="A768" s="226" t="s">
        <v>1667</v>
      </c>
      <c r="B768" s="226">
        <v>532548</v>
      </c>
      <c r="C768" s="226" t="s">
        <v>1666</v>
      </c>
      <c r="D768" s="226" t="s">
        <v>980</v>
      </c>
    </row>
    <row r="769" spans="1:4">
      <c r="A769" s="226" t="s">
        <v>1668</v>
      </c>
      <c r="B769" s="226">
        <v>500040</v>
      </c>
      <c r="C769" s="226" t="s">
        <v>1669</v>
      </c>
      <c r="D769" s="226" t="s">
        <v>499</v>
      </c>
    </row>
    <row r="770" spans="1:4">
      <c r="A770" s="226" t="s">
        <v>1670</v>
      </c>
      <c r="B770" s="226">
        <v>530881</v>
      </c>
      <c r="C770" s="226" t="s">
        <v>486</v>
      </c>
      <c r="D770" s="226" t="s">
        <v>470</v>
      </c>
    </row>
    <row r="771" spans="1:4">
      <c r="A771" s="226" t="s">
        <v>1671</v>
      </c>
      <c r="B771" s="226">
        <v>532443</v>
      </c>
      <c r="C771" s="226" t="s">
        <v>1672</v>
      </c>
      <c r="D771" s="226" t="s">
        <v>762</v>
      </c>
    </row>
    <row r="772" spans="1:4">
      <c r="A772" s="226" t="s">
        <v>1673</v>
      </c>
      <c r="B772" s="226">
        <v>532413</v>
      </c>
      <c r="C772" s="226" t="s">
        <v>1674</v>
      </c>
      <c r="D772" s="226" t="s">
        <v>810</v>
      </c>
    </row>
    <row r="773" spans="1:4">
      <c r="A773" s="226" t="s">
        <v>1675</v>
      </c>
      <c r="B773" s="226">
        <v>512341</v>
      </c>
      <c r="C773" s="226" t="s">
        <v>486</v>
      </c>
      <c r="D773" s="226" t="s">
        <v>815</v>
      </c>
    </row>
    <row r="774" spans="1:4">
      <c r="A774" s="226" t="s">
        <v>1676</v>
      </c>
      <c r="B774" s="226">
        <v>500084</v>
      </c>
      <c r="C774" s="226" t="s">
        <v>1677</v>
      </c>
      <c r="D774" s="226" t="s">
        <v>624</v>
      </c>
    </row>
    <row r="775" spans="1:4">
      <c r="A775" s="226" t="s">
        <v>1678</v>
      </c>
      <c r="B775" s="226" t="s">
        <v>486</v>
      </c>
      <c r="C775" s="226" t="s">
        <v>1679</v>
      </c>
      <c r="D775" s="226" t="s">
        <v>1680</v>
      </c>
    </row>
    <row r="776" spans="1:4">
      <c r="A776" s="226" t="s">
        <v>1681</v>
      </c>
      <c r="B776" s="226">
        <v>542333</v>
      </c>
      <c r="C776" s="226" t="s">
        <v>1682</v>
      </c>
      <c r="D776" s="226" t="s">
        <v>1680</v>
      </c>
    </row>
    <row r="777" spans="1:4">
      <c r="A777" s="226" t="s">
        <v>1683</v>
      </c>
      <c r="B777" s="226">
        <v>500093</v>
      </c>
      <c r="C777" s="226" t="s">
        <v>1684</v>
      </c>
      <c r="D777" s="226" t="s">
        <v>529</v>
      </c>
    </row>
    <row r="778" spans="1:4">
      <c r="A778" s="226" t="s">
        <v>1685</v>
      </c>
      <c r="B778" s="226">
        <v>531489</v>
      </c>
      <c r="C778" s="226" t="s">
        <v>486</v>
      </c>
      <c r="D778" s="226" t="s">
        <v>579</v>
      </c>
    </row>
    <row r="779" spans="1:4">
      <c r="A779" s="226" t="s">
        <v>1686</v>
      </c>
      <c r="B779" s="226">
        <v>531946</v>
      </c>
      <c r="C779" s="226" t="s">
        <v>486</v>
      </c>
      <c r="D779" s="226" t="s">
        <v>480</v>
      </c>
    </row>
    <row r="780" spans="1:4">
      <c r="A780" s="226" t="s">
        <v>1687</v>
      </c>
      <c r="B780" s="226">
        <v>542399</v>
      </c>
      <c r="C780" s="226" t="s">
        <v>1688</v>
      </c>
      <c r="D780" s="226" t="s">
        <v>686</v>
      </c>
    </row>
    <row r="781" spans="1:4">
      <c r="A781" s="226" t="s">
        <v>1689</v>
      </c>
      <c r="B781" s="226">
        <v>539600</v>
      </c>
      <c r="C781" s="226" t="s">
        <v>486</v>
      </c>
      <c r="D781" s="226" t="s">
        <v>508</v>
      </c>
    </row>
    <row r="782" spans="1:4">
      <c r="A782" s="226" t="s">
        <v>1690</v>
      </c>
      <c r="B782" s="226">
        <v>530307</v>
      </c>
      <c r="C782" s="226" t="s">
        <v>486</v>
      </c>
      <c r="D782" s="226" t="s">
        <v>683</v>
      </c>
    </row>
    <row r="783" spans="1:4">
      <c r="A783" s="226" t="s">
        <v>1691</v>
      </c>
      <c r="B783" s="226">
        <v>512301</v>
      </c>
      <c r="C783" s="226" t="s">
        <v>486</v>
      </c>
      <c r="D783" s="226" t="s">
        <v>508</v>
      </c>
    </row>
    <row r="784" spans="1:4">
      <c r="A784" s="226" t="s">
        <v>1692</v>
      </c>
      <c r="B784" s="226">
        <v>500085</v>
      </c>
      <c r="C784" s="226" t="s">
        <v>1693</v>
      </c>
      <c r="D784" s="226" t="s">
        <v>993</v>
      </c>
    </row>
    <row r="785" spans="1:4">
      <c r="A785" s="226" t="s">
        <v>1694</v>
      </c>
      <c r="B785" s="226">
        <v>542627</v>
      </c>
      <c r="C785" s="226" t="s">
        <v>1695</v>
      </c>
      <c r="D785" s="226" t="s">
        <v>851</v>
      </c>
    </row>
    <row r="786" spans="1:4">
      <c r="A786" s="226" t="s">
        <v>1696</v>
      </c>
      <c r="B786" s="226">
        <v>522292</v>
      </c>
      <c r="C786" s="226" t="s">
        <v>486</v>
      </c>
      <c r="D786" s="226" t="s">
        <v>501</v>
      </c>
    </row>
    <row r="787" spans="1:4">
      <c r="A787" s="226" t="s">
        <v>1697</v>
      </c>
      <c r="B787" s="226">
        <v>530309</v>
      </c>
      <c r="C787" s="226" t="s">
        <v>486</v>
      </c>
      <c r="D787" s="226" t="s">
        <v>508</v>
      </c>
    </row>
    <row r="788" spans="1:4">
      <c r="A788" s="226" t="s">
        <v>1698</v>
      </c>
      <c r="B788" s="226">
        <v>540829</v>
      </c>
      <c r="C788" s="226" t="s">
        <v>486</v>
      </c>
      <c r="D788" s="226" t="s">
        <v>508</v>
      </c>
    </row>
    <row r="789" spans="1:4">
      <c r="A789" s="226" t="s">
        <v>1699</v>
      </c>
      <c r="B789" s="226">
        <v>535142</v>
      </c>
      <c r="C789" s="226" t="s">
        <v>486</v>
      </c>
      <c r="D789" s="226" t="s">
        <v>489</v>
      </c>
    </row>
    <row r="790" spans="1:4">
      <c r="A790" s="226" t="s">
        <v>1700</v>
      </c>
      <c r="B790" s="226">
        <v>531327</v>
      </c>
      <c r="C790" s="226" t="s">
        <v>486</v>
      </c>
      <c r="D790" s="226" t="s">
        <v>470</v>
      </c>
    </row>
    <row r="791" spans="1:4">
      <c r="A791" s="226" t="s">
        <v>1701</v>
      </c>
      <c r="B791" s="226">
        <v>511696</v>
      </c>
      <c r="C791" s="226" t="s">
        <v>486</v>
      </c>
      <c r="D791" s="226" t="s">
        <v>470</v>
      </c>
    </row>
    <row r="792" spans="1:4">
      <c r="A792" s="226" t="s">
        <v>1702</v>
      </c>
      <c r="B792" s="226">
        <v>531977</v>
      </c>
      <c r="C792" s="226" t="s">
        <v>486</v>
      </c>
      <c r="D792" s="226" t="s">
        <v>558</v>
      </c>
    </row>
    <row r="793" spans="1:4">
      <c r="A793" s="226" t="s">
        <v>1703</v>
      </c>
      <c r="B793" s="226">
        <v>504671</v>
      </c>
      <c r="C793" s="226" t="s">
        <v>486</v>
      </c>
      <c r="D793" s="226" t="s">
        <v>518</v>
      </c>
    </row>
    <row r="794" spans="1:4">
      <c r="A794" s="226" t="s">
        <v>1704</v>
      </c>
      <c r="B794" s="226">
        <v>539800</v>
      </c>
      <c r="C794" s="226" t="s">
        <v>486</v>
      </c>
      <c r="D794" s="226" t="s">
        <v>508</v>
      </c>
    </row>
    <row r="795" spans="1:4">
      <c r="A795" s="226" t="s">
        <v>1705</v>
      </c>
      <c r="B795" s="226">
        <v>526917</v>
      </c>
      <c r="C795" s="226" t="s">
        <v>486</v>
      </c>
      <c r="D795" s="226" t="s">
        <v>572</v>
      </c>
    </row>
    <row r="796" spans="1:4">
      <c r="A796" s="226" t="s">
        <v>1706</v>
      </c>
      <c r="B796" s="226">
        <v>530871</v>
      </c>
      <c r="C796" s="226" t="s">
        <v>486</v>
      </c>
      <c r="D796" s="226" t="s">
        <v>645</v>
      </c>
    </row>
    <row r="797" spans="1:4">
      <c r="A797" s="226" t="s">
        <v>1707</v>
      </c>
      <c r="B797" s="226">
        <v>540395</v>
      </c>
      <c r="C797" s="226" t="s">
        <v>486</v>
      </c>
      <c r="D797" s="226" t="s">
        <v>645</v>
      </c>
    </row>
    <row r="798" spans="1:4">
      <c r="A798" s="226" t="s">
        <v>1708</v>
      </c>
      <c r="B798" s="226">
        <v>541269</v>
      </c>
      <c r="C798" s="226" t="s">
        <v>1709</v>
      </c>
      <c r="D798" s="226" t="s">
        <v>534</v>
      </c>
    </row>
    <row r="799" spans="1:4">
      <c r="A799" s="226" t="s">
        <v>1710</v>
      </c>
      <c r="B799" s="226">
        <v>539230</v>
      </c>
      <c r="C799" s="226" t="s">
        <v>486</v>
      </c>
      <c r="D799" s="226" t="s">
        <v>645</v>
      </c>
    </row>
    <row r="800" spans="1:4">
      <c r="A800" s="226" t="s">
        <v>1711</v>
      </c>
      <c r="B800" s="226">
        <v>506365</v>
      </c>
      <c r="C800" s="226" t="s">
        <v>486</v>
      </c>
      <c r="D800" s="226" t="s">
        <v>524</v>
      </c>
    </row>
    <row r="801" spans="1:4">
      <c r="A801" s="226" t="s">
        <v>1712</v>
      </c>
      <c r="B801" s="226">
        <v>537326</v>
      </c>
      <c r="C801" s="226" t="s">
        <v>486</v>
      </c>
      <c r="D801" s="226" t="s">
        <v>494</v>
      </c>
    </row>
    <row r="802" spans="1:4">
      <c r="A802" s="226" t="s">
        <v>1713</v>
      </c>
      <c r="B802" s="226">
        <v>539011</v>
      </c>
      <c r="C802" s="226" t="s">
        <v>486</v>
      </c>
      <c r="D802" s="226" t="s">
        <v>518</v>
      </c>
    </row>
    <row r="803" spans="1:4">
      <c r="A803" s="226" t="s">
        <v>1714</v>
      </c>
      <c r="B803" s="226">
        <v>523489</v>
      </c>
      <c r="C803" s="226" t="s">
        <v>486</v>
      </c>
      <c r="D803" s="226" t="s">
        <v>674</v>
      </c>
    </row>
    <row r="804" spans="1:4">
      <c r="A804" s="226" t="s">
        <v>1715</v>
      </c>
      <c r="B804" s="226">
        <v>500110</v>
      </c>
      <c r="C804" s="226" t="s">
        <v>1716</v>
      </c>
      <c r="D804" s="226" t="s">
        <v>1412</v>
      </c>
    </row>
    <row r="805" spans="1:4">
      <c r="A805" s="226" t="s">
        <v>1717</v>
      </c>
      <c r="B805" s="226">
        <v>526817</v>
      </c>
      <c r="C805" s="226" t="s">
        <v>486</v>
      </c>
      <c r="D805" s="226" t="s">
        <v>722</v>
      </c>
    </row>
    <row r="806" spans="1:4">
      <c r="A806" s="226" t="s">
        <v>1718</v>
      </c>
      <c r="B806" s="226">
        <v>521244</v>
      </c>
      <c r="C806" s="226" t="s">
        <v>486</v>
      </c>
      <c r="D806" s="226" t="s">
        <v>501</v>
      </c>
    </row>
    <row r="807" spans="1:4">
      <c r="A807" s="226" t="s">
        <v>1719</v>
      </c>
      <c r="B807" s="226">
        <v>532992</v>
      </c>
      <c r="C807" s="226" t="s">
        <v>486</v>
      </c>
      <c r="D807" s="226" t="s">
        <v>686</v>
      </c>
    </row>
    <row r="808" spans="1:4">
      <c r="A808" s="226" t="s">
        <v>1720</v>
      </c>
      <c r="B808" s="226">
        <v>531358</v>
      </c>
      <c r="C808" s="226" t="s">
        <v>486</v>
      </c>
      <c r="D808" s="226" t="s">
        <v>503</v>
      </c>
    </row>
    <row r="809" spans="1:4">
      <c r="A809" s="226" t="s">
        <v>1721</v>
      </c>
      <c r="B809" s="226">
        <v>530427</v>
      </c>
      <c r="C809" s="226" t="s">
        <v>486</v>
      </c>
      <c r="D809" s="226" t="s">
        <v>1722</v>
      </c>
    </row>
    <row r="810" spans="1:4">
      <c r="A810" s="226" t="s">
        <v>1723</v>
      </c>
      <c r="B810" s="226">
        <v>526546</v>
      </c>
      <c r="C810" s="226" t="s">
        <v>486</v>
      </c>
      <c r="D810" s="226" t="s">
        <v>674</v>
      </c>
    </row>
    <row r="811" spans="1:4">
      <c r="A811" s="226" t="s">
        <v>1724</v>
      </c>
      <c r="B811" s="226">
        <v>511243</v>
      </c>
      <c r="C811" s="226" t="s">
        <v>1725</v>
      </c>
      <c r="D811" s="226" t="s">
        <v>503</v>
      </c>
    </row>
    <row r="812" spans="1:4">
      <c r="A812" s="226" t="s">
        <v>1726</v>
      </c>
      <c r="B812" s="226">
        <v>511243</v>
      </c>
      <c r="C812" s="226" t="s">
        <v>1727</v>
      </c>
      <c r="D812" s="226" t="s">
        <v>503</v>
      </c>
    </row>
    <row r="813" spans="1:4">
      <c r="A813" s="226" t="s">
        <v>1728</v>
      </c>
      <c r="B813" s="226">
        <v>519475</v>
      </c>
      <c r="C813" s="226" t="s">
        <v>486</v>
      </c>
      <c r="D813" s="226" t="s">
        <v>566</v>
      </c>
    </row>
    <row r="814" spans="1:4">
      <c r="A814" s="226" t="s">
        <v>1729</v>
      </c>
      <c r="B814" s="226">
        <v>540681</v>
      </c>
      <c r="C814" s="226" t="s">
        <v>486</v>
      </c>
      <c r="D814" s="226" t="s">
        <v>546</v>
      </c>
    </row>
    <row r="815" spans="1:4">
      <c r="A815" s="226" t="s">
        <v>1730</v>
      </c>
      <c r="B815" s="226">
        <v>501833</v>
      </c>
      <c r="C815" s="226" t="s">
        <v>486</v>
      </c>
      <c r="D815" s="226" t="s">
        <v>1731</v>
      </c>
    </row>
    <row r="816" spans="1:4">
      <c r="A816" s="226" t="s">
        <v>1732</v>
      </c>
      <c r="B816" s="226">
        <v>539335</v>
      </c>
      <c r="C816" s="226" t="s">
        <v>486</v>
      </c>
      <c r="D816" s="226" t="s">
        <v>508</v>
      </c>
    </row>
    <row r="817" spans="1:4">
      <c r="A817" s="226" t="s">
        <v>1733</v>
      </c>
      <c r="B817" s="226">
        <v>530191</v>
      </c>
      <c r="C817" s="226" t="s">
        <v>1734</v>
      </c>
      <c r="D817" s="226" t="s">
        <v>645</v>
      </c>
    </row>
    <row r="818" spans="1:4">
      <c r="A818" s="226" t="s">
        <v>1735</v>
      </c>
      <c r="B818" s="226">
        <v>530191</v>
      </c>
      <c r="C818" s="226" t="s">
        <v>1734</v>
      </c>
      <c r="D818" s="226" t="s">
        <v>645</v>
      </c>
    </row>
    <row r="819" spans="1:4">
      <c r="A819" s="226" t="s">
        <v>1736</v>
      </c>
      <c r="B819" s="226">
        <v>519477</v>
      </c>
      <c r="C819" s="226" t="s">
        <v>486</v>
      </c>
      <c r="D819" s="226" t="s">
        <v>734</v>
      </c>
    </row>
    <row r="820" spans="1:4">
      <c r="A820" s="226" t="s">
        <v>1737</v>
      </c>
      <c r="B820" s="226">
        <v>542678</v>
      </c>
      <c r="C820" s="226" t="s">
        <v>1738</v>
      </c>
      <c r="D820" s="226" t="s">
        <v>524</v>
      </c>
    </row>
    <row r="821" spans="1:4">
      <c r="A821" s="226" t="s">
        <v>1739</v>
      </c>
      <c r="B821" s="226">
        <v>534758</v>
      </c>
      <c r="C821" s="226" t="s">
        <v>1740</v>
      </c>
      <c r="D821" s="226" t="s">
        <v>473</v>
      </c>
    </row>
    <row r="822" spans="1:4">
      <c r="A822" s="226" t="s">
        <v>1741</v>
      </c>
      <c r="B822" s="226">
        <v>533407</v>
      </c>
      <c r="C822" s="226" t="s">
        <v>1742</v>
      </c>
      <c r="D822" s="226" t="s">
        <v>501</v>
      </c>
    </row>
    <row r="823" spans="1:4">
      <c r="A823" s="226" t="s">
        <v>1743</v>
      </c>
      <c r="B823" s="226">
        <v>530829</v>
      </c>
      <c r="C823" s="226" t="s">
        <v>486</v>
      </c>
      <c r="D823" s="226" t="s">
        <v>503</v>
      </c>
    </row>
    <row r="824" spans="1:4">
      <c r="A824" s="226" t="s">
        <v>1744</v>
      </c>
      <c r="B824" s="226">
        <v>505230</v>
      </c>
      <c r="C824" s="226" t="s">
        <v>1745</v>
      </c>
      <c r="D824" s="226" t="s">
        <v>346</v>
      </c>
    </row>
    <row r="825" spans="1:4">
      <c r="A825" s="226" t="s">
        <v>1746</v>
      </c>
      <c r="B825" s="226">
        <v>531283</v>
      </c>
      <c r="C825" s="226" t="s">
        <v>486</v>
      </c>
      <c r="D825" s="226" t="s">
        <v>503</v>
      </c>
    </row>
    <row r="826" spans="1:4">
      <c r="A826" s="226" t="s">
        <v>1747</v>
      </c>
      <c r="B826" s="226">
        <v>526373</v>
      </c>
      <c r="C826" s="226" t="s">
        <v>486</v>
      </c>
      <c r="D826" s="226" t="s">
        <v>686</v>
      </c>
    </row>
    <row r="827" spans="1:4">
      <c r="A827" s="226" t="s">
        <v>1748</v>
      </c>
      <c r="B827" s="226">
        <v>532807</v>
      </c>
      <c r="C827" s="226" t="s">
        <v>1749</v>
      </c>
      <c r="D827" s="226" t="s">
        <v>487</v>
      </c>
    </row>
    <row r="828" spans="1:4">
      <c r="A828" s="226" t="s">
        <v>1750</v>
      </c>
      <c r="B828" s="226">
        <v>532807</v>
      </c>
      <c r="C828" s="226" t="s">
        <v>1749</v>
      </c>
      <c r="D828" s="226" t="s">
        <v>487</v>
      </c>
    </row>
    <row r="829" spans="1:4">
      <c r="A829" s="226" t="s">
        <v>1751</v>
      </c>
      <c r="B829" s="226">
        <v>530457</v>
      </c>
      <c r="C829" s="226" t="s">
        <v>486</v>
      </c>
      <c r="D829" s="226" t="s">
        <v>489</v>
      </c>
    </row>
    <row r="830" spans="1:4">
      <c r="A830" s="226" t="s">
        <v>1752</v>
      </c>
      <c r="B830" s="226">
        <v>532324</v>
      </c>
      <c r="C830" s="226" t="s">
        <v>1753</v>
      </c>
      <c r="D830" s="226" t="s">
        <v>489</v>
      </c>
    </row>
    <row r="831" spans="1:4">
      <c r="A831" s="226" t="s">
        <v>1754</v>
      </c>
      <c r="B831" s="226">
        <v>500087</v>
      </c>
      <c r="C831" s="226" t="s">
        <v>1755</v>
      </c>
      <c r="D831" s="226" t="s">
        <v>524</v>
      </c>
    </row>
    <row r="832" spans="1:4">
      <c r="A832" s="226" t="s">
        <v>1756</v>
      </c>
      <c r="B832" s="226">
        <v>531775</v>
      </c>
      <c r="C832" s="226" t="s">
        <v>486</v>
      </c>
      <c r="D832" s="226" t="s">
        <v>508</v>
      </c>
    </row>
    <row r="833" spans="1:4">
      <c r="A833" s="226" t="s">
        <v>1757</v>
      </c>
      <c r="B833" s="226">
        <v>502445</v>
      </c>
      <c r="C833" s="226" t="s">
        <v>486</v>
      </c>
      <c r="D833" s="226" t="s">
        <v>572</v>
      </c>
    </row>
    <row r="834" spans="1:4">
      <c r="A834" s="226" t="s">
        <v>1758</v>
      </c>
      <c r="B834" s="226">
        <v>531235</v>
      </c>
      <c r="C834" s="226" t="s">
        <v>486</v>
      </c>
      <c r="D834" s="226" t="s">
        <v>503</v>
      </c>
    </row>
    <row r="835" spans="1:4">
      <c r="A835" s="226" t="s">
        <v>1759</v>
      </c>
      <c r="B835" s="226">
        <v>538786</v>
      </c>
      <c r="C835" s="226" t="s">
        <v>486</v>
      </c>
      <c r="D835" s="226" t="s">
        <v>1009</v>
      </c>
    </row>
    <row r="836" spans="1:4">
      <c r="A836" s="226" t="s">
        <v>1760</v>
      </c>
      <c r="B836" s="226">
        <v>538674</v>
      </c>
      <c r="C836" s="226" t="s">
        <v>486</v>
      </c>
      <c r="D836" s="226" t="s">
        <v>1427</v>
      </c>
    </row>
    <row r="837" spans="1:4">
      <c r="A837" s="226" t="s">
        <v>1761</v>
      </c>
      <c r="B837" s="226">
        <v>532210</v>
      </c>
      <c r="C837" s="226" t="s">
        <v>1762</v>
      </c>
      <c r="D837" s="226" t="s">
        <v>803</v>
      </c>
    </row>
    <row r="838" spans="1:4">
      <c r="A838" s="226" t="s">
        <v>1763</v>
      </c>
      <c r="B838" s="226">
        <v>521210</v>
      </c>
      <c r="C838" s="226" t="s">
        <v>486</v>
      </c>
      <c r="D838" s="226" t="s">
        <v>599</v>
      </c>
    </row>
    <row r="839" spans="1:4">
      <c r="A839" s="226" t="s">
        <v>1764</v>
      </c>
      <c r="B839" s="226">
        <v>780013</v>
      </c>
      <c r="C839" s="226" t="s">
        <v>486</v>
      </c>
      <c r="D839" s="226" t="s">
        <v>577</v>
      </c>
    </row>
    <row r="840" spans="1:4">
      <c r="A840" s="226" t="s">
        <v>1765</v>
      </c>
      <c r="B840" s="226">
        <v>780013</v>
      </c>
      <c r="C840" s="226" t="s">
        <v>486</v>
      </c>
      <c r="D840" s="226" t="s">
        <v>577</v>
      </c>
    </row>
    <row r="841" spans="1:4">
      <c r="A841" s="226" t="s">
        <v>1766</v>
      </c>
      <c r="B841" s="226" t="s">
        <v>486</v>
      </c>
      <c r="C841" s="226" t="s">
        <v>1767</v>
      </c>
      <c r="D841" s="226" t="s">
        <v>497</v>
      </c>
    </row>
    <row r="842" spans="1:4">
      <c r="A842" s="226" t="s">
        <v>1768</v>
      </c>
      <c r="B842" s="226" t="s">
        <v>486</v>
      </c>
      <c r="C842" s="226" t="s">
        <v>1769</v>
      </c>
      <c r="D842" s="226" t="s">
        <v>497</v>
      </c>
    </row>
    <row r="843" spans="1:4">
      <c r="A843" s="226" t="s">
        <v>1770</v>
      </c>
      <c r="B843" s="226">
        <v>540403</v>
      </c>
      <c r="C843" s="226" t="s">
        <v>1771</v>
      </c>
      <c r="D843" s="226" t="s">
        <v>349</v>
      </c>
    </row>
    <row r="844" spans="1:4">
      <c r="A844" s="226" t="s">
        <v>1772</v>
      </c>
      <c r="B844" s="226">
        <v>506390</v>
      </c>
      <c r="C844" s="226" t="s">
        <v>1773</v>
      </c>
      <c r="D844" s="226" t="s">
        <v>645</v>
      </c>
    </row>
    <row r="845" spans="1:4">
      <c r="A845" s="226" t="s">
        <v>1774</v>
      </c>
      <c r="B845" s="226">
        <v>506390</v>
      </c>
      <c r="C845" s="226" t="s">
        <v>1775</v>
      </c>
      <c r="D845" s="226" t="s">
        <v>645</v>
      </c>
    </row>
    <row r="846" spans="1:4">
      <c r="A846" s="226" t="s">
        <v>1776</v>
      </c>
      <c r="B846" s="226">
        <v>512213</v>
      </c>
      <c r="C846" s="226" t="s">
        <v>486</v>
      </c>
      <c r="D846" s="226" t="s">
        <v>508</v>
      </c>
    </row>
    <row r="847" spans="1:4">
      <c r="A847" s="226" t="s">
        <v>1777</v>
      </c>
      <c r="B847" s="226">
        <v>540310</v>
      </c>
      <c r="C847" s="226" t="s">
        <v>486</v>
      </c>
      <c r="D847" s="226" t="s">
        <v>501</v>
      </c>
    </row>
    <row r="848" spans="1:4">
      <c r="A848" s="226" t="s">
        <v>1778</v>
      </c>
      <c r="B848" s="226">
        <v>538433</v>
      </c>
      <c r="C848" s="226" t="s">
        <v>486</v>
      </c>
      <c r="D848" s="226" t="s">
        <v>470</v>
      </c>
    </row>
    <row r="849" spans="1:4">
      <c r="A849" s="226" t="s">
        <v>1779</v>
      </c>
      <c r="B849" s="226">
        <v>540481</v>
      </c>
      <c r="C849" s="226" t="s">
        <v>486</v>
      </c>
      <c r="D849" s="226" t="s">
        <v>470</v>
      </c>
    </row>
    <row r="850" spans="1:4">
      <c r="A850" s="226" t="s">
        <v>1780</v>
      </c>
      <c r="B850" s="226">
        <v>530839</v>
      </c>
      <c r="C850" s="226" t="s">
        <v>486</v>
      </c>
      <c r="D850" s="226" t="s">
        <v>579</v>
      </c>
    </row>
    <row r="851" spans="1:4">
      <c r="A851" s="226" t="s">
        <v>1781</v>
      </c>
      <c r="B851" s="226">
        <v>500147</v>
      </c>
      <c r="C851" s="226" t="s">
        <v>486</v>
      </c>
      <c r="D851" s="226" t="s">
        <v>494</v>
      </c>
    </row>
    <row r="852" spans="1:4">
      <c r="A852" s="226" t="s">
        <v>1782</v>
      </c>
      <c r="B852" s="226">
        <v>517330</v>
      </c>
      <c r="C852" s="226" t="s">
        <v>1783</v>
      </c>
      <c r="D852" s="226" t="s">
        <v>783</v>
      </c>
    </row>
    <row r="853" spans="1:4">
      <c r="A853" s="226" t="s">
        <v>1784</v>
      </c>
      <c r="B853" s="226" t="s">
        <v>486</v>
      </c>
      <c r="C853" s="226" t="s">
        <v>1785</v>
      </c>
      <c r="D853" s="226" t="s">
        <v>497</v>
      </c>
    </row>
    <row r="854" spans="1:4">
      <c r="A854" s="226" t="s">
        <v>1786</v>
      </c>
      <c r="B854" s="226">
        <v>512018</v>
      </c>
      <c r="C854" s="226" t="s">
        <v>486</v>
      </c>
      <c r="D854" s="226" t="s">
        <v>492</v>
      </c>
    </row>
    <row r="855" spans="1:4">
      <c r="A855" s="226" t="s">
        <v>1787</v>
      </c>
      <c r="B855" s="226">
        <v>533278</v>
      </c>
      <c r="C855" s="226" t="s">
        <v>1788</v>
      </c>
      <c r="D855" s="226" t="s">
        <v>1163</v>
      </c>
    </row>
    <row r="856" spans="1:4">
      <c r="A856" s="226" t="s">
        <v>1789</v>
      </c>
      <c r="B856" s="226">
        <v>533278</v>
      </c>
      <c r="C856" s="226" t="s">
        <v>1790</v>
      </c>
      <c r="D856" s="226" t="s">
        <v>1163</v>
      </c>
    </row>
    <row r="857" spans="1:4">
      <c r="A857" s="226" t="s">
        <v>1791</v>
      </c>
      <c r="B857" s="226">
        <v>501831</v>
      </c>
      <c r="C857" s="226" t="s">
        <v>486</v>
      </c>
      <c r="D857" s="226" t="s">
        <v>546</v>
      </c>
    </row>
    <row r="858" spans="1:4">
      <c r="A858" s="226" t="s">
        <v>1792</v>
      </c>
      <c r="B858" s="226">
        <v>520131</v>
      </c>
      <c r="C858" s="226" t="s">
        <v>486</v>
      </c>
      <c r="D858" s="226" t="s">
        <v>558</v>
      </c>
    </row>
    <row r="859" spans="1:4">
      <c r="A859" s="226" t="s">
        <v>1793</v>
      </c>
      <c r="B859" s="226">
        <v>508571</v>
      </c>
      <c r="C859" s="226" t="s">
        <v>486</v>
      </c>
      <c r="D859" s="226" t="s">
        <v>965</v>
      </c>
    </row>
    <row r="860" spans="1:4">
      <c r="A860" s="226" t="s">
        <v>1794</v>
      </c>
      <c r="B860" s="226">
        <v>513353</v>
      </c>
      <c r="C860" s="226" t="s">
        <v>486</v>
      </c>
      <c r="D860" s="226" t="s">
        <v>645</v>
      </c>
    </row>
    <row r="861" spans="1:4">
      <c r="A861" s="226" t="s">
        <v>1795</v>
      </c>
      <c r="B861" s="226">
        <v>540678</v>
      </c>
      <c r="C861" s="226" t="s">
        <v>1796</v>
      </c>
      <c r="D861" s="226" t="s">
        <v>1731</v>
      </c>
    </row>
    <row r="862" spans="1:4">
      <c r="A862" s="226" t="s">
        <v>1797</v>
      </c>
      <c r="B862" s="226">
        <v>539436</v>
      </c>
      <c r="C862" s="226" t="s">
        <v>1798</v>
      </c>
      <c r="D862" s="226" t="s">
        <v>974</v>
      </c>
    </row>
    <row r="863" spans="1:4">
      <c r="A863" s="226" t="s">
        <v>1799</v>
      </c>
      <c r="B863" s="226">
        <v>500830</v>
      </c>
      <c r="C863" s="226" t="s">
        <v>1800</v>
      </c>
      <c r="D863" s="226" t="s">
        <v>667</v>
      </c>
    </row>
    <row r="864" spans="1:4">
      <c r="A864" s="226" t="s">
        <v>1801</v>
      </c>
      <c r="B864" s="226">
        <v>500830</v>
      </c>
      <c r="C864" s="226" t="s">
        <v>1800</v>
      </c>
      <c r="D864" s="226" t="s">
        <v>667</v>
      </c>
    </row>
    <row r="865" spans="1:4">
      <c r="A865" s="226" t="s">
        <v>1802</v>
      </c>
      <c r="B865" s="226">
        <v>531210</v>
      </c>
      <c r="C865" s="226" t="s">
        <v>486</v>
      </c>
      <c r="D865" s="226" t="s">
        <v>524</v>
      </c>
    </row>
    <row r="866" spans="1:4">
      <c r="A866" s="226" t="s">
        <v>1803</v>
      </c>
      <c r="B866" s="226">
        <v>540023</v>
      </c>
      <c r="C866" s="226" t="s">
        <v>486</v>
      </c>
      <c r="D866" s="226" t="s">
        <v>1222</v>
      </c>
    </row>
    <row r="867" spans="1:4">
      <c r="A867" s="226" t="s">
        <v>1804</v>
      </c>
      <c r="B867" s="226">
        <v>524752</v>
      </c>
      <c r="C867" s="226" t="s">
        <v>486</v>
      </c>
      <c r="D867" s="226" t="s">
        <v>524</v>
      </c>
    </row>
    <row r="868" spans="1:4">
      <c r="A868" s="226" t="s">
        <v>1805</v>
      </c>
      <c r="B868" s="226">
        <v>534691</v>
      </c>
      <c r="C868" s="226" t="s">
        <v>486</v>
      </c>
      <c r="D868" s="226" t="s">
        <v>470</v>
      </c>
    </row>
    <row r="869" spans="1:4">
      <c r="A869" s="226" t="s">
        <v>1806</v>
      </c>
      <c r="B869" s="226">
        <v>535267</v>
      </c>
      <c r="C869" s="226" t="s">
        <v>486</v>
      </c>
      <c r="D869" s="226" t="s">
        <v>503</v>
      </c>
    </row>
    <row r="870" spans="1:4">
      <c r="A870" s="226" t="s">
        <v>1807</v>
      </c>
      <c r="B870" s="226">
        <v>531216</v>
      </c>
      <c r="C870" s="226" t="s">
        <v>486</v>
      </c>
      <c r="D870" s="226" t="s">
        <v>503</v>
      </c>
    </row>
    <row r="871" spans="1:4">
      <c r="A871" s="226" t="s">
        <v>1808</v>
      </c>
      <c r="B871" s="226">
        <v>533272</v>
      </c>
      <c r="C871" s="226" t="s">
        <v>1809</v>
      </c>
      <c r="D871" s="226" t="s">
        <v>564</v>
      </c>
    </row>
    <row r="872" spans="1:4">
      <c r="A872" s="226" t="s">
        <v>1810</v>
      </c>
      <c r="B872" s="226">
        <v>539986</v>
      </c>
      <c r="C872" s="226" t="s">
        <v>486</v>
      </c>
      <c r="D872" s="226" t="s">
        <v>680</v>
      </c>
    </row>
    <row r="873" spans="1:4">
      <c r="A873" s="226" t="s">
        <v>1811</v>
      </c>
      <c r="B873" s="226">
        <v>532342</v>
      </c>
      <c r="C873" s="226" t="s">
        <v>486</v>
      </c>
      <c r="D873" s="226" t="s">
        <v>473</v>
      </c>
    </row>
    <row r="874" spans="1:4">
      <c r="A874" s="226" t="s">
        <v>1812</v>
      </c>
      <c r="B874" s="226">
        <v>531041</v>
      </c>
      <c r="C874" s="226" t="s">
        <v>486</v>
      </c>
      <c r="D874" s="226" t="s">
        <v>508</v>
      </c>
    </row>
    <row r="875" spans="1:4">
      <c r="A875" s="226" t="s">
        <v>1813</v>
      </c>
      <c r="B875" s="226">
        <v>532456</v>
      </c>
      <c r="C875" s="226" t="s">
        <v>1814</v>
      </c>
      <c r="D875" s="226" t="s">
        <v>583</v>
      </c>
    </row>
    <row r="876" spans="1:4">
      <c r="A876" s="226" t="s">
        <v>1815</v>
      </c>
      <c r="B876" s="226">
        <v>532339</v>
      </c>
      <c r="C876" s="226" t="s">
        <v>1816</v>
      </c>
      <c r="D876" s="226" t="s">
        <v>970</v>
      </c>
    </row>
    <row r="877" spans="1:4">
      <c r="A877" s="226" t="s">
        <v>1817</v>
      </c>
      <c r="B877" s="226">
        <v>507833</v>
      </c>
      <c r="C877" s="226" t="s">
        <v>486</v>
      </c>
      <c r="D877" s="226" t="s">
        <v>810</v>
      </c>
    </row>
    <row r="878" spans="1:4">
      <c r="A878" s="226" t="s">
        <v>1818</v>
      </c>
      <c r="B878" s="226">
        <v>522231</v>
      </c>
      <c r="C878" s="226" t="s">
        <v>486</v>
      </c>
      <c r="D878" s="226" t="s">
        <v>883</v>
      </c>
    </row>
    <row r="879" spans="1:4">
      <c r="A879" s="226" t="s">
        <v>1819</v>
      </c>
      <c r="B879" s="226">
        <v>538965</v>
      </c>
      <c r="C879" s="226" t="s">
        <v>486</v>
      </c>
      <c r="D879" s="226" t="s">
        <v>524</v>
      </c>
    </row>
    <row r="880" spans="1:4">
      <c r="A880" s="226" t="s">
        <v>1820</v>
      </c>
      <c r="B880" s="226">
        <v>539266</v>
      </c>
      <c r="C880" s="226" t="s">
        <v>486</v>
      </c>
      <c r="D880" s="226" t="s">
        <v>506</v>
      </c>
    </row>
    <row r="881" spans="1:4">
      <c r="A881" s="226" t="s">
        <v>1821</v>
      </c>
      <c r="B881" s="226">
        <v>504340</v>
      </c>
      <c r="C881" s="226" t="s">
        <v>486</v>
      </c>
      <c r="D881" s="226" t="s">
        <v>470</v>
      </c>
    </row>
    <row r="882" spans="1:4">
      <c r="A882" s="226" t="s">
        <v>1822</v>
      </c>
      <c r="B882" s="226">
        <v>539991</v>
      </c>
      <c r="C882" s="226" t="s">
        <v>1823</v>
      </c>
      <c r="D882" s="226" t="s">
        <v>851</v>
      </c>
    </row>
    <row r="883" spans="1:4">
      <c r="A883" s="226" t="s">
        <v>1824</v>
      </c>
      <c r="B883" s="226">
        <v>526829</v>
      </c>
      <c r="C883" s="226" t="s">
        <v>486</v>
      </c>
      <c r="D883" s="226" t="s">
        <v>695</v>
      </c>
    </row>
    <row r="884" spans="1:4">
      <c r="A884" s="226" t="s">
        <v>1825</v>
      </c>
      <c r="B884" s="226">
        <v>526829</v>
      </c>
      <c r="C884" s="226" t="s">
        <v>1826</v>
      </c>
      <c r="D884" s="226" t="s">
        <v>695</v>
      </c>
    </row>
    <row r="885" spans="1:4">
      <c r="A885" s="226" t="s">
        <v>1827</v>
      </c>
      <c r="B885" s="226">
        <v>526829</v>
      </c>
      <c r="C885" s="226" t="s">
        <v>486</v>
      </c>
      <c r="D885" s="226" t="s">
        <v>695</v>
      </c>
    </row>
    <row r="886" spans="1:4">
      <c r="A886" s="226" t="s">
        <v>1828</v>
      </c>
      <c r="B886" s="226">
        <v>539091</v>
      </c>
      <c r="C886" s="226" t="s">
        <v>486</v>
      </c>
      <c r="D886" s="226" t="s">
        <v>506</v>
      </c>
    </row>
    <row r="887" spans="1:4">
      <c r="A887" s="226" t="s">
        <v>1829</v>
      </c>
      <c r="B887" s="226">
        <v>532902</v>
      </c>
      <c r="C887" s="226" t="s">
        <v>1830</v>
      </c>
      <c r="D887" s="226" t="s">
        <v>572</v>
      </c>
    </row>
    <row r="888" spans="1:4">
      <c r="A888" s="226" t="s">
        <v>1831</v>
      </c>
      <c r="B888" s="226" t="s">
        <v>486</v>
      </c>
      <c r="C888" s="226" t="s">
        <v>1832</v>
      </c>
      <c r="D888" s="226" t="s">
        <v>577</v>
      </c>
    </row>
    <row r="889" spans="1:4">
      <c r="A889" s="226" t="s">
        <v>1833</v>
      </c>
      <c r="B889" s="226">
        <v>531344</v>
      </c>
      <c r="C889" s="226" t="s">
        <v>1834</v>
      </c>
      <c r="D889" s="226" t="s">
        <v>608</v>
      </c>
    </row>
    <row r="890" spans="1:4">
      <c r="A890" s="226" t="s">
        <v>1835</v>
      </c>
      <c r="B890" s="226">
        <v>531344</v>
      </c>
      <c r="C890" s="226" t="s">
        <v>1834</v>
      </c>
      <c r="D890" s="226" t="s">
        <v>608</v>
      </c>
    </row>
    <row r="891" spans="1:4">
      <c r="A891" s="226" t="s">
        <v>1836</v>
      </c>
      <c r="B891" s="226">
        <v>540597</v>
      </c>
      <c r="C891" s="226" t="s">
        <v>486</v>
      </c>
      <c r="D891" s="226" t="s">
        <v>806</v>
      </c>
    </row>
    <row r="892" spans="1:4">
      <c r="A892" s="226" t="s">
        <v>1837</v>
      </c>
      <c r="B892" s="226">
        <v>531067</v>
      </c>
      <c r="C892" s="226" t="s">
        <v>486</v>
      </c>
      <c r="D892" s="226" t="s">
        <v>503</v>
      </c>
    </row>
    <row r="893" spans="1:4">
      <c r="A893" s="226" t="s">
        <v>1838</v>
      </c>
      <c r="B893" s="226">
        <v>531067</v>
      </c>
      <c r="C893" s="226" t="s">
        <v>486</v>
      </c>
      <c r="D893" s="226" t="s">
        <v>503</v>
      </c>
    </row>
    <row r="894" spans="1:4">
      <c r="A894" s="226" t="s">
        <v>1839</v>
      </c>
      <c r="B894" s="226">
        <v>506935</v>
      </c>
      <c r="C894" s="226" t="s">
        <v>486</v>
      </c>
      <c r="D894" s="226" t="s">
        <v>579</v>
      </c>
    </row>
    <row r="895" spans="1:4">
      <c r="A895" s="226" t="s">
        <v>1840</v>
      </c>
      <c r="B895" s="226">
        <v>531460</v>
      </c>
      <c r="C895" s="226" t="s">
        <v>486</v>
      </c>
      <c r="D895" s="226" t="s">
        <v>783</v>
      </c>
    </row>
    <row r="896" spans="1:4">
      <c r="A896" s="226" t="s">
        <v>1841</v>
      </c>
      <c r="B896" s="226">
        <v>523232</v>
      </c>
      <c r="C896" s="226" t="s">
        <v>486</v>
      </c>
      <c r="D896" s="226" t="s">
        <v>695</v>
      </c>
    </row>
    <row r="897" spans="1:4">
      <c r="A897" s="226" t="s">
        <v>1842</v>
      </c>
      <c r="B897" s="226">
        <v>538868</v>
      </c>
      <c r="C897" s="226" t="s">
        <v>486</v>
      </c>
      <c r="D897" s="226" t="s">
        <v>503</v>
      </c>
    </row>
    <row r="898" spans="1:4">
      <c r="A898" s="226" t="s">
        <v>1843</v>
      </c>
      <c r="B898" s="226" t="s">
        <v>486</v>
      </c>
      <c r="C898" s="226" t="s">
        <v>1844</v>
      </c>
      <c r="D898" s="226" t="s">
        <v>497</v>
      </c>
    </row>
    <row r="899" spans="1:4">
      <c r="A899" s="226" t="s">
        <v>1845</v>
      </c>
      <c r="B899" s="226">
        <v>522295</v>
      </c>
      <c r="C899" s="226" t="s">
        <v>1846</v>
      </c>
      <c r="D899" s="226" t="s">
        <v>680</v>
      </c>
    </row>
    <row r="900" spans="1:4">
      <c r="A900" s="226" t="s">
        <v>1847</v>
      </c>
      <c r="B900" s="226">
        <v>531556</v>
      </c>
      <c r="C900" s="226" t="s">
        <v>1848</v>
      </c>
      <c r="D900" s="226" t="s">
        <v>544</v>
      </c>
    </row>
    <row r="901" spans="1:4">
      <c r="A901" s="226" t="s">
        <v>1849</v>
      </c>
      <c r="B901" s="226">
        <v>524506</v>
      </c>
      <c r="C901" s="226" t="s">
        <v>486</v>
      </c>
      <c r="D901" s="226" t="s">
        <v>524</v>
      </c>
    </row>
    <row r="902" spans="1:4">
      <c r="A902" s="226" t="s">
        <v>1850</v>
      </c>
      <c r="B902" s="226">
        <v>530755</v>
      </c>
      <c r="C902" s="226" t="s">
        <v>1851</v>
      </c>
      <c r="D902" s="226" t="s">
        <v>1852</v>
      </c>
    </row>
    <row r="903" spans="1:4">
      <c r="A903" s="226" t="s">
        <v>1853</v>
      </c>
      <c r="B903" s="226">
        <v>532941</v>
      </c>
      <c r="C903" s="226" t="s">
        <v>1854</v>
      </c>
      <c r="D903" s="226" t="s">
        <v>783</v>
      </c>
    </row>
    <row r="904" spans="1:4">
      <c r="A904" s="226" t="s">
        <v>1855</v>
      </c>
      <c r="B904" s="226">
        <v>507543</v>
      </c>
      <c r="C904" s="226" t="s">
        <v>486</v>
      </c>
      <c r="D904" s="226" t="s">
        <v>734</v>
      </c>
    </row>
    <row r="905" spans="1:4">
      <c r="A905" s="226" t="s">
        <v>1856</v>
      </c>
      <c r="B905" s="226">
        <v>533167</v>
      </c>
      <c r="C905" s="226" t="s">
        <v>486</v>
      </c>
      <c r="D905" s="226" t="s">
        <v>883</v>
      </c>
    </row>
    <row r="906" spans="1:4">
      <c r="A906" s="226" t="s">
        <v>1857</v>
      </c>
      <c r="B906" s="226">
        <v>506395</v>
      </c>
      <c r="C906" s="226" t="s">
        <v>1858</v>
      </c>
      <c r="D906" s="226" t="s">
        <v>993</v>
      </c>
    </row>
    <row r="907" spans="1:4">
      <c r="A907" s="226" t="s">
        <v>1859</v>
      </c>
      <c r="B907" s="226">
        <v>526737</v>
      </c>
      <c r="C907" s="226" t="s">
        <v>486</v>
      </c>
      <c r="D907" s="226" t="s">
        <v>806</v>
      </c>
    </row>
    <row r="908" spans="1:4">
      <c r="A908" s="226" t="s">
        <v>1860</v>
      </c>
      <c r="B908" s="226">
        <v>540199</v>
      </c>
      <c r="C908" s="226" t="s">
        <v>486</v>
      </c>
      <c r="D908" s="226" t="s">
        <v>470</v>
      </c>
    </row>
    <row r="909" spans="1:4">
      <c r="A909" s="226" t="s">
        <v>1861</v>
      </c>
      <c r="B909" s="226">
        <v>532179</v>
      </c>
      <c r="C909" s="226" t="s">
        <v>1862</v>
      </c>
      <c r="D909" s="226" t="s">
        <v>803</v>
      </c>
    </row>
    <row r="910" spans="1:4">
      <c r="A910" s="226" t="s">
        <v>1863</v>
      </c>
      <c r="B910" s="226">
        <v>530859</v>
      </c>
      <c r="C910" s="226" t="s">
        <v>486</v>
      </c>
      <c r="D910" s="226" t="s">
        <v>480</v>
      </c>
    </row>
    <row r="911" spans="1:4">
      <c r="A911" s="226" t="s">
        <v>1864</v>
      </c>
      <c r="B911" s="226">
        <v>530545</v>
      </c>
      <c r="C911" s="226" t="s">
        <v>486</v>
      </c>
      <c r="D911" s="226" t="s">
        <v>346</v>
      </c>
    </row>
    <row r="912" spans="1:4">
      <c r="A912" s="226" t="s">
        <v>1865</v>
      </c>
      <c r="B912" s="226">
        <v>530545</v>
      </c>
      <c r="C912" s="226" t="s">
        <v>486</v>
      </c>
      <c r="D912" s="226" t="s">
        <v>346</v>
      </c>
    </row>
    <row r="913" spans="1:4">
      <c r="A913" s="226" t="s">
        <v>1866</v>
      </c>
      <c r="B913" s="226">
        <v>523100</v>
      </c>
      <c r="C913" s="226" t="s">
        <v>486</v>
      </c>
      <c r="D913" s="226" t="s">
        <v>518</v>
      </c>
    </row>
    <row r="914" spans="1:4">
      <c r="A914" s="226" t="s">
        <v>1867</v>
      </c>
      <c r="B914" s="226">
        <v>508814</v>
      </c>
      <c r="C914" s="226" t="s">
        <v>1868</v>
      </c>
      <c r="D914" s="226" t="s">
        <v>534</v>
      </c>
    </row>
    <row r="915" spans="1:4">
      <c r="A915" s="226" t="s">
        <v>1869</v>
      </c>
      <c r="B915" s="226">
        <v>538922</v>
      </c>
      <c r="C915" s="226" t="s">
        <v>486</v>
      </c>
      <c r="D915" s="226" t="s">
        <v>579</v>
      </c>
    </row>
    <row r="916" spans="1:4">
      <c r="A916" s="226" t="s">
        <v>1870</v>
      </c>
      <c r="B916" s="226">
        <v>526550</v>
      </c>
      <c r="C916" s="226" t="s">
        <v>1871</v>
      </c>
      <c r="D916" s="226" t="s">
        <v>686</v>
      </c>
    </row>
    <row r="917" spans="1:4">
      <c r="A917" s="226" t="s">
        <v>1872</v>
      </c>
      <c r="B917" s="226">
        <v>531624</v>
      </c>
      <c r="C917" s="226" t="s">
        <v>1873</v>
      </c>
      <c r="D917" s="226" t="s">
        <v>572</v>
      </c>
    </row>
    <row r="918" spans="1:4">
      <c r="A918" s="226" t="s">
        <v>1874</v>
      </c>
      <c r="B918" s="226">
        <v>523415</v>
      </c>
      <c r="C918" s="226" t="s">
        <v>486</v>
      </c>
      <c r="D918" s="226" t="s">
        <v>518</v>
      </c>
    </row>
    <row r="919" spans="1:4">
      <c r="A919" s="226" t="s">
        <v>1875</v>
      </c>
      <c r="B919" s="226">
        <v>534920</v>
      </c>
      <c r="C919" s="226" t="s">
        <v>486</v>
      </c>
      <c r="D919" s="226" t="s">
        <v>473</v>
      </c>
    </row>
    <row r="920" spans="1:4">
      <c r="A920" s="226" t="s">
        <v>1876</v>
      </c>
      <c r="B920" s="226">
        <v>533144</v>
      </c>
      <c r="C920" s="226" t="s">
        <v>1877</v>
      </c>
      <c r="D920" s="226" t="s">
        <v>1486</v>
      </c>
    </row>
    <row r="921" spans="1:4">
      <c r="A921" s="226" t="s">
        <v>1878</v>
      </c>
      <c r="B921" s="226">
        <v>542641</v>
      </c>
      <c r="C921" s="226" t="s">
        <v>1879</v>
      </c>
      <c r="D921" s="226" t="s">
        <v>503</v>
      </c>
    </row>
    <row r="922" spans="1:4">
      <c r="A922" s="226" t="s">
        <v>1880</v>
      </c>
      <c r="B922" s="226">
        <v>538770</v>
      </c>
      <c r="C922" s="226" t="s">
        <v>486</v>
      </c>
      <c r="D922" s="226" t="s">
        <v>572</v>
      </c>
    </row>
    <row r="923" spans="1:4">
      <c r="A923" s="226" t="s">
        <v>1881</v>
      </c>
      <c r="B923" s="226">
        <v>512093</v>
      </c>
      <c r="C923" s="226" t="s">
        <v>486</v>
      </c>
      <c r="D923" s="226" t="s">
        <v>579</v>
      </c>
    </row>
    <row r="924" spans="1:4">
      <c r="A924" s="226" t="s">
        <v>1882</v>
      </c>
      <c r="B924" s="226">
        <v>522001</v>
      </c>
      <c r="C924" s="226" t="s">
        <v>486</v>
      </c>
      <c r="D924" s="226" t="s">
        <v>564</v>
      </c>
    </row>
    <row r="925" spans="1:4">
      <c r="A925" s="226" t="s">
        <v>1883</v>
      </c>
      <c r="B925" s="226">
        <v>509472</v>
      </c>
      <c r="C925" s="226" t="s">
        <v>486</v>
      </c>
      <c r="D925" s="226" t="s">
        <v>508</v>
      </c>
    </row>
    <row r="926" spans="1:4">
      <c r="A926" s="226" t="s">
        <v>1884</v>
      </c>
      <c r="B926" s="226">
        <v>524388</v>
      </c>
      <c r="C926" s="226" t="s">
        <v>486</v>
      </c>
      <c r="D926" s="226" t="s">
        <v>810</v>
      </c>
    </row>
    <row r="927" spans="1:4">
      <c r="A927" s="226" t="s">
        <v>1885</v>
      </c>
      <c r="B927" s="226">
        <v>539527</v>
      </c>
      <c r="C927" s="226" t="s">
        <v>486</v>
      </c>
      <c r="D927" s="226" t="s">
        <v>1403</v>
      </c>
    </row>
    <row r="928" spans="1:4">
      <c r="A928" s="226" t="s">
        <v>1886</v>
      </c>
      <c r="B928" s="226">
        <v>532392</v>
      </c>
      <c r="C928" s="226" t="s">
        <v>1887</v>
      </c>
      <c r="D928" s="226" t="s">
        <v>489</v>
      </c>
    </row>
    <row r="929" spans="1:4">
      <c r="A929" s="226" t="s">
        <v>1888</v>
      </c>
      <c r="B929" s="226" t="s">
        <v>486</v>
      </c>
      <c r="C929" s="226" t="s">
        <v>1889</v>
      </c>
      <c r="D929" s="226" t="s">
        <v>497</v>
      </c>
    </row>
    <row r="930" spans="1:4">
      <c r="A930" s="226" t="s">
        <v>1890</v>
      </c>
      <c r="B930" s="226">
        <v>541770</v>
      </c>
      <c r="C930" s="226" t="s">
        <v>1891</v>
      </c>
      <c r="D930" s="226" t="s">
        <v>503</v>
      </c>
    </row>
    <row r="931" spans="1:4">
      <c r="A931" s="226" t="s">
        <v>1892</v>
      </c>
      <c r="B931" s="226">
        <v>539131</v>
      </c>
      <c r="C931" s="226" t="s">
        <v>486</v>
      </c>
      <c r="D931" s="226" t="s">
        <v>506</v>
      </c>
    </row>
    <row r="932" spans="1:4">
      <c r="A932" s="226" t="s">
        <v>1893</v>
      </c>
      <c r="B932" s="226">
        <v>512379</v>
      </c>
      <c r="C932" s="226" t="s">
        <v>486</v>
      </c>
      <c r="D932" s="226" t="s">
        <v>579</v>
      </c>
    </row>
    <row r="933" spans="1:4">
      <c r="A933" s="226" t="s">
        <v>1894</v>
      </c>
      <c r="B933" s="226">
        <v>511413</v>
      </c>
      <c r="C933" s="226" t="s">
        <v>1895</v>
      </c>
      <c r="D933" s="226" t="s">
        <v>503</v>
      </c>
    </row>
    <row r="934" spans="1:4">
      <c r="A934" s="226" t="s">
        <v>1896</v>
      </c>
      <c r="B934" s="226">
        <v>526269</v>
      </c>
      <c r="C934" s="226" t="s">
        <v>486</v>
      </c>
      <c r="D934" s="226" t="s">
        <v>645</v>
      </c>
    </row>
    <row r="935" spans="1:4">
      <c r="A935" s="226" t="s">
        <v>1897</v>
      </c>
      <c r="B935" s="226">
        <v>526977</v>
      </c>
      <c r="C935" s="226" t="s">
        <v>486</v>
      </c>
      <c r="D935" s="226" t="s">
        <v>808</v>
      </c>
    </row>
    <row r="936" spans="1:4">
      <c r="A936" s="226" t="s">
        <v>1898</v>
      </c>
      <c r="B936" s="226">
        <v>500092</v>
      </c>
      <c r="C936" s="226" t="s">
        <v>1899</v>
      </c>
      <c r="D936" s="226" t="s">
        <v>470</v>
      </c>
    </row>
    <row r="937" spans="1:4">
      <c r="A937" s="226" t="s">
        <v>1900</v>
      </c>
      <c r="B937" s="226">
        <v>539876</v>
      </c>
      <c r="C937" s="226" t="s">
        <v>1901</v>
      </c>
      <c r="D937" s="226" t="s">
        <v>1248</v>
      </c>
    </row>
    <row r="938" spans="1:4">
      <c r="A938" s="226" t="s">
        <v>1902</v>
      </c>
      <c r="B938" s="226" t="s">
        <v>486</v>
      </c>
      <c r="C938" s="226" t="s">
        <v>1903</v>
      </c>
      <c r="D938" s="226" t="s">
        <v>497</v>
      </c>
    </row>
    <row r="939" spans="1:4">
      <c r="A939" s="226" t="s">
        <v>1904</v>
      </c>
      <c r="B939" s="226">
        <v>538521</v>
      </c>
      <c r="C939" s="226" t="s">
        <v>486</v>
      </c>
      <c r="D939" s="226" t="s">
        <v>1486</v>
      </c>
    </row>
    <row r="940" spans="1:4">
      <c r="A940" s="226" t="s">
        <v>1905</v>
      </c>
      <c r="B940" s="226">
        <v>540903</v>
      </c>
      <c r="C940" s="226" t="s">
        <v>486</v>
      </c>
      <c r="D940" s="226" t="s">
        <v>570</v>
      </c>
    </row>
    <row r="941" spans="1:4">
      <c r="A941" s="226" t="s">
        <v>1906</v>
      </c>
      <c r="B941" s="226">
        <v>530067</v>
      </c>
      <c r="C941" s="226" t="s">
        <v>486</v>
      </c>
      <c r="D941" s="226" t="s">
        <v>503</v>
      </c>
    </row>
    <row r="942" spans="1:4">
      <c r="A942" s="226" t="s">
        <v>1907</v>
      </c>
      <c r="B942" s="226">
        <v>526027</v>
      </c>
      <c r="C942" s="226" t="s">
        <v>1908</v>
      </c>
      <c r="D942" s="226" t="s">
        <v>560</v>
      </c>
    </row>
    <row r="943" spans="1:4">
      <c r="A943" s="226" t="s">
        <v>1909</v>
      </c>
      <c r="B943" s="226">
        <v>511710</v>
      </c>
      <c r="C943" s="226" t="s">
        <v>486</v>
      </c>
      <c r="D943" s="226" t="s">
        <v>503</v>
      </c>
    </row>
    <row r="944" spans="1:4">
      <c r="A944" s="226" t="s">
        <v>1910</v>
      </c>
      <c r="B944" s="226">
        <v>500480</v>
      </c>
      <c r="C944" s="226" t="s">
        <v>1911</v>
      </c>
      <c r="D944" s="226" t="s">
        <v>494</v>
      </c>
    </row>
    <row r="945" spans="1:4">
      <c r="A945" s="226" t="s">
        <v>1912</v>
      </c>
      <c r="B945" s="226">
        <v>500480</v>
      </c>
      <c r="C945" s="226" t="s">
        <v>1911</v>
      </c>
      <c r="D945" s="226" t="s">
        <v>494</v>
      </c>
    </row>
    <row r="946" spans="1:4">
      <c r="A946" s="226" t="s">
        <v>1913</v>
      </c>
      <c r="B946" s="226">
        <v>530843</v>
      </c>
      <c r="C946" s="226" t="s">
        <v>1914</v>
      </c>
      <c r="D946" s="226" t="s">
        <v>667</v>
      </c>
    </row>
    <row r="947" spans="1:4">
      <c r="A947" s="226" t="s">
        <v>1915</v>
      </c>
      <c r="B947" s="226">
        <v>532332</v>
      </c>
      <c r="C947" s="226" t="s">
        <v>1916</v>
      </c>
      <c r="D947" s="226" t="s">
        <v>579</v>
      </c>
    </row>
    <row r="948" spans="1:4">
      <c r="A948" s="226" t="s">
        <v>1917</v>
      </c>
      <c r="B948" s="226">
        <v>531472</v>
      </c>
      <c r="C948" s="226" t="s">
        <v>486</v>
      </c>
      <c r="D948" s="226" t="s">
        <v>783</v>
      </c>
    </row>
    <row r="949" spans="1:4">
      <c r="A949" s="226" t="s">
        <v>1918</v>
      </c>
      <c r="B949" s="226">
        <v>532640</v>
      </c>
      <c r="C949" s="226" t="s">
        <v>1919</v>
      </c>
      <c r="D949" s="226" t="s">
        <v>1009</v>
      </c>
    </row>
    <row r="950" spans="1:4">
      <c r="A950" s="226" t="s">
        <v>1920</v>
      </c>
      <c r="B950" s="226">
        <v>532640</v>
      </c>
      <c r="C950" s="226" t="s">
        <v>1919</v>
      </c>
      <c r="D950" s="226" t="s">
        <v>1009</v>
      </c>
    </row>
    <row r="951" spans="1:4">
      <c r="A951" s="226" t="s">
        <v>1921</v>
      </c>
      <c r="B951" s="226">
        <v>532271</v>
      </c>
      <c r="C951" s="226" t="s">
        <v>486</v>
      </c>
      <c r="D951" s="226" t="s">
        <v>579</v>
      </c>
    </row>
    <row r="952" spans="1:4">
      <c r="A952" s="226" t="s">
        <v>1922</v>
      </c>
      <c r="B952" s="226">
        <v>532173</v>
      </c>
      <c r="C952" s="226" t="s">
        <v>1923</v>
      </c>
      <c r="D952" s="226" t="s">
        <v>579</v>
      </c>
    </row>
    <row r="953" spans="1:4">
      <c r="A953" s="226" t="s">
        <v>1924</v>
      </c>
      <c r="B953" s="226">
        <v>532175</v>
      </c>
      <c r="C953" s="226" t="s">
        <v>1925</v>
      </c>
      <c r="D953" s="226" t="s">
        <v>473</v>
      </c>
    </row>
    <row r="954" spans="1:4">
      <c r="A954" s="226" t="s">
        <v>1926</v>
      </c>
      <c r="B954" s="226">
        <v>533151</v>
      </c>
      <c r="C954" s="226" t="s">
        <v>1927</v>
      </c>
      <c r="D954" s="226" t="s">
        <v>1009</v>
      </c>
    </row>
    <row r="955" spans="1:4">
      <c r="A955" s="226" t="s">
        <v>1928</v>
      </c>
      <c r="B955" s="226">
        <v>533160</v>
      </c>
      <c r="C955" s="226" t="s">
        <v>1929</v>
      </c>
      <c r="D955" s="226" t="s">
        <v>572</v>
      </c>
    </row>
    <row r="956" spans="1:4">
      <c r="A956" s="226" t="s">
        <v>1930</v>
      </c>
      <c r="B956" s="226" t="s">
        <v>486</v>
      </c>
      <c r="C956" s="226" t="s">
        <v>1931</v>
      </c>
      <c r="D956" s="226" t="s">
        <v>497</v>
      </c>
    </row>
    <row r="957" spans="1:4">
      <c r="A957" s="226" t="s">
        <v>1932</v>
      </c>
      <c r="B957" s="226" t="s">
        <v>486</v>
      </c>
      <c r="C957" s="226" t="s">
        <v>1933</v>
      </c>
      <c r="D957" s="226" t="s">
        <v>497</v>
      </c>
    </row>
    <row r="958" spans="1:4">
      <c r="A958" s="226" t="s">
        <v>1934</v>
      </c>
      <c r="B958" s="226">
        <v>517514</v>
      </c>
      <c r="C958" s="226" t="s">
        <v>486</v>
      </c>
      <c r="D958" s="226" t="s">
        <v>670</v>
      </c>
    </row>
    <row r="959" spans="1:4">
      <c r="A959" s="226" t="s">
        <v>1935</v>
      </c>
      <c r="B959" s="226">
        <v>517514</v>
      </c>
      <c r="C959" s="226" t="s">
        <v>486</v>
      </c>
      <c r="D959" s="226" t="s">
        <v>670</v>
      </c>
    </row>
    <row r="960" spans="1:4">
      <c r="A960" s="226" t="s">
        <v>1936</v>
      </c>
      <c r="B960" s="226">
        <v>500096</v>
      </c>
      <c r="C960" s="226" t="s">
        <v>1937</v>
      </c>
      <c r="D960" s="226" t="s">
        <v>667</v>
      </c>
    </row>
    <row r="961" spans="1:4">
      <c r="A961" s="226" t="s">
        <v>1938</v>
      </c>
      <c r="B961" s="226">
        <v>500096</v>
      </c>
      <c r="C961" s="226" t="s">
        <v>1937</v>
      </c>
      <c r="D961" s="226" t="s">
        <v>667</v>
      </c>
    </row>
    <row r="962" spans="1:4">
      <c r="A962" s="226" t="s">
        <v>1939</v>
      </c>
      <c r="B962" s="226">
        <v>526821</v>
      </c>
      <c r="C962" s="226" t="s">
        <v>486</v>
      </c>
      <c r="D962" s="226" t="s">
        <v>645</v>
      </c>
    </row>
    <row r="963" spans="1:4">
      <c r="A963" s="226" t="s">
        <v>1940</v>
      </c>
      <c r="B963" s="226">
        <v>530825</v>
      </c>
      <c r="C963" s="226" t="s">
        <v>486</v>
      </c>
      <c r="D963" s="226" t="s">
        <v>645</v>
      </c>
    </row>
    <row r="964" spans="1:4">
      <c r="A964" s="226" t="s">
        <v>1941</v>
      </c>
      <c r="B964" s="226">
        <v>530825</v>
      </c>
      <c r="C964" s="226" t="s">
        <v>486</v>
      </c>
      <c r="D964" s="226" t="s">
        <v>645</v>
      </c>
    </row>
    <row r="965" spans="1:4">
      <c r="A965" s="226" t="s">
        <v>1942</v>
      </c>
      <c r="B965" s="226">
        <v>501148</v>
      </c>
      <c r="C965" s="226" t="s">
        <v>486</v>
      </c>
      <c r="D965" s="226" t="s">
        <v>506</v>
      </c>
    </row>
    <row r="966" spans="1:4">
      <c r="A966" s="226" t="s">
        <v>1943</v>
      </c>
      <c r="B966" s="226">
        <v>542216</v>
      </c>
      <c r="C966" s="226" t="s">
        <v>1944</v>
      </c>
      <c r="D966" s="226" t="s">
        <v>1945</v>
      </c>
    </row>
    <row r="967" spans="1:4">
      <c r="A967" s="226" t="s">
        <v>1946</v>
      </c>
      <c r="B967" s="226">
        <v>500097</v>
      </c>
      <c r="C967" s="226" t="s">
        <v>1947</v>
      </c>
      <c r="D967" s="226" t="s">
        <v>1184</v>
      </c>
    </row>
    <row r="968" spans="1:4">
      <c r="A968" s="226" t="s">
        <v>1948</v>
      </c>
      <c r="B968" s="226">
        <v>539900</v>
      </c>
      <c r="C968" s="226" t="s">
        <v>486</v>
      </c>
      <c r="D968" s="226" t="s">
        <v>508</v>
      </c>
    </row>
    <row r="969" spans="1:4">
      <c r="A969" s="226" t="s">
        <v>1949</v>
      </c>
      <c r="B969" s="226">
        <v>521220</v>
      </c>
      <c r="C969" s="226" t="s">
        <v>1950</v>
      </c>
      <c r="D969" s="226" t="s">
        <v>501</v>
      </c>
    </row>
    <row r="970" spans="1:4">
      <c r="A970" s="226" t="s">
        <v>1951</v>
      </c>
      <c r="B970" s="226" t="s">
        <v>486</v>
      </c>
      <c r="C970" s="226" t="s">
        <v>1952</v>
      </c>
      <c r="D970" s="226" t="s">
        <v>497</v>
      </c>
    </row>
    <row r="971" spans="1:4">
      <c r="A971" s="226" t="s">
        <v>1953</v>
      </c>
      <c r="B971" s="226">
        <v>532329</v>
      </c>
      <c r="C971" s="226" t="s">
        <v>486</v>
      </c>
      <c r="D971" s="226" t="s">
        <v>579</v>
      </c>
    </row>
    <row r="972" spans="1:4">
      <c r="A972" s="226" t="s">
        <v>1954</v>
      </c>
      <c r="B972" s="226">
        <v>532329</v>
      </c>
      <c r="C972" s="226" t="s">
        <v>486</v>
      </c>
      <c r="D972" s="226" t="s">
        <v>579</v>
      </c>
    </row>
    <row r="973" spans="1:4">
      <c r="A973" s="226" t="s">
        <v>1955</v>
      </c>
      <c r="B973" s="226">
        <v>540361</v>
      </c>
      <c r="C973" s="226" t="s">
        <v>486</v>
      </c>
      <c r="D973" s="226" t="s">
        <v>508</v>
      </c>
    </row>
    <row r="974" spans="1:4">
      <c r="A974" s="226" t="s">
        <v>1956</v>
      </c>
      <c r="B974" s="226">
        <v>539770</v>
      </c>
      <c r="C974" s="226" t="s">
        <v>486</v>
      </c>
      <c r="D974" s="226" t="s">
        <v>470</v>
      </c>
    </row>
    <row r="975" spans="1:4">
      <c r="A975" s="226" t="s">
        <v>1957</v>
      </c>
      <c r="B975" s="226">
        <v>539884</v>
      </c>
      <c r="C975" s="226" t="s">
        <v>486</v>
      </c>
      <c r="D975" s="226" t="s">
        <v>599</v>
      </c>
    </row>
    <row r="976" spans="1:4">
      <c r="A976" s="226" t="s">
        <v>1958</v>
      </c>
      <c r="B976" s="226">
        <v>532528</v>
      </c>
      <c r="C976" s="226" t="s">
        <v>1959</v>
      </c>
      <c r="D976" s="226" t="s">
        <v>579</v>
      </c>
    </row>
    <row r="977" spans="1:4">
      <c r="A977" s="226" t="s">
        <v>1960</v>
      </c>
      <c r="B977" s="226">
        <v>530171</v>
      </c>
      <c r="C977" s="226" t="s">
        <v>486</v>
      </c>
      <c r="D977" s="226" t="s">
        <v>470</v>
      </c>
    </row>
    <row r="978" spans="1:4">
      <c r="A978" s="226" t="s">
        <v>1961</v>
      </c>
      <c r="B978" s="226">
        <v>530393</v>
      </c>
      <c r="C978" s="226" t="s">
        <v>1962</v>
      </c>
      <c r="D978" s="226" t="s">
        <v>470</v>
      </c>
    </row>
    <row r="979" spans="1:4">
      <c r="A979" s="226" t="s">
        <v>1963</v>
      </c>
      <c r="B979" s="226">
        <v>532772</v>
      </c>
      <c r="C979" s="226" t="s">
        <v>1964</v>
      </c>
      <c r="D979" s="226" t="s">
        <v>803</v>
      </c>
    </row>
    <row r="980" spans="1:4">
      <c r="A980" s="226" t="s">
        <v>1965</v>
      </c>
      <c r="B980" s="226">
        <v>511611</v>
      </c>
      <c r="C980" s="226" t="s">
        <v>1966</v>
      </c>
      <c r="D980" s="226" t="s">
        <v>503</v>
      </c>
    </row>
    <row r="981" spans="1:4">
      <c r="A981" s="226" t="s">
        <v>1967</v>
      </c>
      <c r="B981" s="226">
        <v>502820</v>
      </c>
      <c r="C981" s="226" t="s">
        <v>1968</v>
      </c>
      <c r="D981" s="226" t="s">
        <v>501</v>
      </c>
    </row>
    <row r="982" spans="1:4">
      <c r="A982" s="226" t="s">
        <v>1969</v>
      </c>
      <c r="B982" s="226">
        <v>523369</v>
      </c>
      <c r="C982" s="226" t="s">
        <v>486</v>
      </c>
      <c r="D982" s="226" t="s">
        <v>1184</v>
      </c>
    </row>
    <row r="983" spans="1:4">
      <c r="A983" s="226" t="s">
        <v>1970</v>
      </c>
      <c r="B983" s="226">
        <v>523367</v>
      </c>
      <c r="C983" s="226" t="s">
        <v>1971</v>
      </c>
      <c r="D983" s="226" t="s">
        <v>346</v>
      </c>
    </row>
    <row r="984" spans="1:4">
      <c r="A984" s="226" t="s">
        <v>1972</v>
      </c>
      <c r="B984" s="226">
        <v>500117</v>
      </c>
      <c r="C984" s="226" t="s">
        <v>1973</v>
      </c>
      <c r="D984" s="226" t="s">
        <v>699</v>
      </c>
    </row>
    <row r="985" spans="1:4">
      <c r="A985" s="226" t="s">
        <v>1974</v>
      </c>
      <c r="B985" s="226">
        <v>590031</v>
      </c>
      <c r="C985" s="226" t="s">
        <v>1975</v>
      </c>
      <c r="D985" s="226" t="s">
        <v>670</v>
      </c>
    </row>
    <row r="986" spans="1:4">
      <c r="A986" s="226" t="s">
        <v>1976</v>
      </c>
      <c r="B986" s="226">
        <v>590031</v>
      </c>
      <c r="C986" s="226" t="s">
        <v>1975</v>
      </c>
      <c r="D986" s="226" t="s">
        <v>670</v>
      </c>
    </row>
    <row r="987" spans="1:4">
      <c r="A987" s="226" t="s">
        <v>1977</v>
      </c>
      <c r="B987" s="226" t="s">
        <v>486</v>
      </c>
      <c r="C987" s="226" t="s">
        <v>1978</v>
      </c>
      <c r="D987" s="226" t="s">
        <v>497</v>
      </c>
    </row>
    <row r="988" spans="1:4">
      <c r="A988" s="226" t="s">
        <v>1979</v>
      </c>
      <c r="B988" s="226">
        <v>505703</v>
      </c>
      <c r="C988" s="226" t="s">
        <v>486</v>
      </c>
      <c r="D988" s="226" t="s">
        <v>494</v>
      </c>
    </row>
    <row r="989" spans="1:4">
      <c r="A989" s="226" t="s">
        <v>1980</v>
      </c>
      <c r="B989" s="226">
        <v>502137</v>
      </c>
      <c r="C989" s="226" t="s">
        <v>1981</v>
      </c>
      <c r="D989" s="226" t="s">
        <v>499</v>
      </c>
    </row>
    <row r="990" spans="1:4">
      <c r="A990" s="226" t="s">
        <v>1982</v>
      </c>
      <c r="B990" s="226">
        <v>512068</v>
      </c>
      <c r="C990" s="226" t="s">
        <v>486</v>
      </c>
      <c r="D990" s="226" t="s">
        <v>467</v>
      </c>
    </row>
    <row r="991" spans="1:4">
      <c r="A991" s="226" t="s">
        <v>1983</v>
      </c>
      <c r="B991" s="226">
        <v>542248</v>
      </c>
      <c r="C991" s="226" t="s">
        <v>1984</v>
      </c>
      <c r="D991" s="226" t="s">
        <v>674</v>
      </c>
    </row>
    <row r="992" spans="1:4">
      <c r="A992" s="226" t="s">
        <v>1985</v>
      </c>
      <c r="B992" s="226">
        <v>531989</v>
      </c>
      <c r="C992" s="226" t="s">
        <v>486</v>
      </c>
      <c r="D992" s="226" t="s">
        <v>680</v>
      </c>
    </row>
    <row r="993" spans="1:4">
      <c r="A993" s="226" t="s">
        <v>1986</v>
      </c>
      <c r="B993" s="226">
        <v>539190</v>
      </c>
      <c r="C993" s="226" t="s">
        <v>486</v>
      </c>
      <c r="D993" s="226" t="s">
        <v>503</v>
      </c>
    </row>
    <row r="994" spans="1:4">
      <c r="A994" s="226" t="s">
        <v>1987</v>
      </c>
      <c r="B994" s="226">
        <v>531227</v>
      </c>
      <c r="C994" s="226" t="s">
        <v>486</v>
      </c>
      <c r="D994" s="226" t="s">
        <v>534</v>
      </c>
    </row>
    <row r="995" spans="1:4">
      <c r="A995" s="226" t="s">
        <v>1988</v>
      </c>
      <c r="B995" s="226">
        <v>539405</v>
      </c>
      <c r="C995" s="226" t="s">
        <v>486</v>
      </c>
      <c r="D995" s="226" t="s">
        <v>599</v>
      </c>
    </row>
    <row r="996" spans="1:4">
      <c r="A996" s="226" t="s">
        <v>1989</v>
      </c>
      <c r="B996" s="226">
        <v>539559</v>
      </c>
      <c r="C996" s="226" t="s">
        <v>486</v>
      </c>
      <c r="D996" s="226" t="s">
        <v>599</v>
      </c>
    </row>
    <row r="997" spans="1:4">
      <c r="A997" s="226" t="s">
        <v>1990</v>
      </c>
      <c r="B997" s="226">
        <v>539559</v>
      </c>
      <c r="C997" s="226" t="s">
        <v>486</v>
      </c>
      <c r="D997" s="226" t="s">
        <v>599</v>
      </c>
    </row>
    <row r="998" spans="1:4">
      <c r="A998" s="226" t="s">
        <v>1991</v>
      </c>
      <c r="B998" s="226">
        <v>532760</v>
      </c>
      <c r="C998" s="226" t="s">
        <v>1992</v>
      </c>
      <c r="D998" s="226" t="s">
        <v>616</v>
      </c>
    </row>
    <row r="999" spans="1:4">
      <c r="A999" s="226" t="s">
        <v>1993</v>
      </c>
      <c r="B999" s="226">
        <v>541778</v>
      </c>
      <c r="C999" s="226" t="s">
        <v>486</v>
      </c>
      <c r="D999" s="226" t="s">
        <v>645</v>
      </c>
    </row>
    <row r="1000" spans="1:4">
      <c r="A1000" s="226" t="s">
        <v>1994</v>
      </c>
      <c r="B1000" s="226">
        <v>500645</v>
      </c>
      <c r="C1000" s="226" t="s">
        <v>1995</v>
      </c>
      <c r="D1000" s="226" t="s">
        <v>534</v>
      </c>
    </row>
    <row r="1001" spans="1:4">
      <c r="A1001" s="226" t="s">
        <v>1996</v>
      </c>
      <c r="B1001" s="226">
        <v>506401</v>
      </c>
      <c r="C1001" s="226" t="s">
        <v>1997</v>
      </c>
      <c r="D1001" s="226" t="s">
        <v>534</v>
      </c>
    </row>
    <row r="1002" spans="1:4">
      <c r="A1002" s="226" t="s">
        <v>1998</v>
      </c>
      <c r="B1002" s="226">
        <v>514030</v>
      </c>
      <c r="C1002" s="226" t="s">
        <v>486</v>
      </c>
      <c r="D1002" s="226" t="s">
        <v>501</v>
      </c>
    </row>
    <row r="1003" spans="1:4">
      <c r="A1003" s="226" t="s">
        <v>1999</v>
      </c>
      <c r="B1003" s="226">
        <v>539455</v>
      </c>
      <c r="C1003" s="226" t="s">
        <v>486</v>
      </c>
      <c r="D1003" s="226" t="s">
        <v>518</v>
      </c>
    </row>
    <row r="1004" spans="1:4">
      <c r="A1004" s="226" t="s">
        <v>2000</v>
      </c>
      <c r="B1004" s="226">
        <v>780006</v>
      </c>
      <c r="C1004" s="226" t="s">
        <v>486</v>
      </c>
      <c r="D1004" s="226" t="s">
        <v>577</v>
      </c>
    </row>
    <row r="1005" spans="1:4">
      <c r="A1005" s="226" t="s">
        <v>2001</v>
      </c>
      <c r="B1005" s="226">
        <v>532848</v>
      </c>
      <c r="C1005" s="226" t="s">
        <v>2002</v>
      </c>
      <c r="D1005" s="226" t="s">
        <v>906</v>
      </c>
    </row>
    <row r="1006" spans="1:4">
      <c r="A1006" s="226" t="s">
        <v>2003</v>
      </c>
      <c r="B1006" s="226">
        <v>539596</v>
      </c>
      <c r="C1006" s="226" t="s">
        <v>486</v>
      </c>
      <c r="D1006" s="226" t="s">
        <v>470</v>
      </c>
    </row>
    <row r="1007" spans="1:4">
      <c r="A1007" s="226" t="s">
        <v>2004</v>
      </c>
      <c r="B1007" s="226">
        <v>504286</v>
      </c>
      <c r="C1007" s="226" t="s">
        <v>2005</v>
      </c>
      <c r="D1007" s="226" t="s">
        <v>783</v>
      </c>
    </row>
    <row r="1008" spans="1:4">
      <c r="A1008" s="226" t="s">
        <v>2006</v>
      </c>
      <c r="B1008" s="226">
        <v>504240</v>
      </c>
      <c r="C1008" s="226" t="s">
        <v>486</v>
      </c>
      <c r="D1008" s="226" t="s">
        <v>783</v>
      </c>
    </row>
    <row r="1009" spans="1:4">
      <c r="A1009" s="226" t="s">
        <v>2007</v>
      </c>
      <c r="B1009" s="226">
        <v>504256</v>
      </c>
      <c r="C1009" s="226" t="s">
        <v>486</v>
      </c>
      <c r="D1009" s="226" t="s">
        <v>1027</v>
      </c>
    </row>
    <row r="1010" spans="1:4">
      <c r="A1010" s="226" t="s">
        <v>2008</v>
      </c>
      <c r="B1010" s="226">
        <v>533137</v>
      </c>
      <c r="C1010" s="226" t="s">
        <v>2009</v>
      </c>
      <c r="D1010" s="226" t="s">
        <v>1222</v>
      </c>
    </row>
    <row r="1011" spans="1:4">
      <c r="A1011" s="226" t="s">
        <v>2010</v>
      </c>
      <c r="B1011" s="226">
        <v>532121</v>
      </c>
      <c r="C1011" s="226" t="s">
        <v>2011</v>
      </c>
      <c r="D1011" s="226" t="s">
        <v>803</v>
      </c>
    </row>
    <row r="1012" spans="1:4">
      <c r="A1012" s="226" t="s">
        <v>2012</v>
      </c>
      <c r="B1012" s="226">
        <v>537536</v>
      </c>
      <c r="C1012" s="226" t="s">
        <v>486</v>
      </c>
      <c r="D1012" s="226" t="s">
        <v>524</v>
      </c>
    </row>
    <row r="1013" spans="1:4">
      <c r="A1013" s="226" t="s">
        <v>2013</v>
      </c>
      <c r="B1013" s="226">
        <v>531521</v>
      </c>
      <c r="C1013" s="226" t="s">
        <v>486</v>
      </c>
      <c r="D1013" s="226" t="s">
        <v>524</v>
      </c>
    </row>
    <row r="1014" spans="1:4">
      <c r="A1014" s="226" t="s">
        <v>2014</v>
      </c>
      <c r="B1014" s="226" t="s">
        <v>486</v>
      </c>
      <c r="C1014" s="226" t="s">
        <v>2015</v>
      </c>
      <c r="D1014" s="226" t="s">
        <v>497</v>
      </c>
    </row>
    <row r="1015" spans="1:4">
      <c r="A1015" s="226" t="s">
        <v>2016</v>
      </c>
      <c r="B1015" s="226">
        <v>539197</v>
      </c>
      <c r="C1015" s="226" t="s">
        <v>486</v>
      </c>
      <c r="D1015" s="226" t="s">
        <v>508</v>
      </c>
    </row>
    <row r="1016" spans="1:4">
      <c r="A1016" s="226" t="s">
        <v>2017</v>
      </c>
      <c r="B1016" s="226">
        <v>539197</v>
      </c>
      <c r="C1016" s="226" t="s">
        <v>486</v>
      </c>
      <c r="D1016" s="226" t="s">
        <v>508</v>
      </c>
    </row>
    <row r="1017" spans="1:4">
      <c r="A1017" s="226" t="s">
        <v>2018</v>
      </c>
      <c r="B1017" s="226">
        <v>531585</v>
      </c>
      <c r="C1017" s="226" t="s">
        <v>486</v>
      </c>
      <c r="D1017" s="226" t="s">
        <v>508</v>
      </c>
    </row>
    <row r="1018" spans="1:4">
      <c r="A1018" s="226" t="s">
        <v>2019</v>
      </c>
      <c r="B1018" s="226">
        <v>512445</v>
      </c>
      <c r="C1018" s="226" t="s">
        <v>486</v>
      </c>
      <c r="D1018" s="226" t="s">
        <v>470</v>
      </c>
    </row>
    <row r="1019" spans="1:4">
      <c r="A1019" s="226" t="s">
        <v>2020</v>
      </c>
      <c r="B1019" s="226">
        <v>530765</v>
      </c>
      <c r="C1019" s="226" t="s">
        <v>486</v>
      </c>
      <c r="D1019" s="226" t="s">
        <v>503</v>
      </c>
    </row>
    <row r="1020" spans="1:4">
      <c r="A1020" s="226" t="s">
        <v>2021</v>
      </c>
      <c r="B1020" s="226">
        <v>542002</v>
      </c>
      <c r="C1020" s="226" t="s">
        <v>486</v>
      </c>
      <c r="D1020" s="226" t="s">
        <v>572</v>
      </c>
    </row>
    <row r="1021" spans="1:4">
      <c r="A1021" s="226" t="s">
        <v>2022</v>
      </c>
      <c r="B1021" s="226">
        <v>511072</v>
      </c>
      <c r="C1021" s="226" t="s">
        <v>2023</v>
      </c>
      <c r="D1021" s="226" t="s">
        <v>544</v>
      </c>
    </row>
    <row r="1022" spans="1:4">
      <c r="A1022" s="226" t="s">
        <v>2024</v>
      </c>
      <c r="B1022" s="226">
        <v>519588</v>
      </c>
      <c r="C1022" s="226" t="s">
        <v>2025</v>
      </c>
      <c r="D1022" s="226" t="s">
        <v>546</v>
      </c>
    </row>
    <row r="1023" spans="1:4">
      <c r="A1023" s="226" t="s">
        <v>2026</v>
      </c>
      <c r="B1023" s="226">
        <v>538715</v>
      </c>
      <c r="C1023" s="226" t="s">
        <v>486</v>
      </c>
      <c r="D1023" s="226" t="s">
        <v>605</v>
      </c>
    </row>
    <row r="1024" spans="1:4">
      <c r="A1024" s="226" t="s">
        <v>2027</v>
      </c>
      <c r="B1024" s="226">
        <v>500119</v>
      </c>
      <c r="C1024" s="226" t="s">
        <v>2028</v>
      </c>
      <c r="D1024" s="226" t="s">
        <v>1184</v>
      </c>
    </row>
    <row r="1025" spans="1:4">
      <c r="A1025" s="226" t="s">
        <v>2029</v>
      </c>
      <c r="B1025" s="226">
        <v>531923</v>
      </c>
      <c r="C1025" s="226" t="s">
        <v>486</v>
      </c>
      <c r="D1025" s="226" t="s">
        <v>1184</v>
      </c>
    </row>
    <row r="1026" spans="1:4">
      <c r="A1026" s="226" t="s">
        <v>2030</v>
      </c>
      <c r="B1026" s="226">
        <v>531198</v>
      </c>
      <c r="C1026" s="226" t="s">
        <v>486</v>
      </c>
      <c r="D1026" s="226" t="s">
        <v>686</v>
      </c>
    </row>
    <row r="1027" spans="1:4">
      <c r="A1027" s="226" t="s">
        <v>2031</v>
      </c>
      <c r="B1027" s="226">
        <v>521216</v>
      </c>
      <c r="C1027" s="226" t="s">
        <v>486</v>
      </c>
      <c r="D1027" s="226" t="s">
        <v>501</v>
      </c>
    </row>
    <row r="1028" spans="1:4">
      <c r="A1028" s="226" t="s">
        <v>2032</v>
      </c>
      <c r="B1028" s="226">
        <v>542679</v>
      </c>
      <c r="C1028" s="226" t="s">
        <v>2033</v>
      </c>
      <c r="D1028" s="226" t="s">
        <v>783</v>
      </c>
    </row>
    <row r="1029" spans="1:4">
      <c r="A1029" s="226" t="s">
        <v>2034</v>
      </c>
      <c r="B1029" s="226">
        <v>532180</v>
      </c>
      <c r="C1029" s="226" t="s">
        <v>2035</v>
      </c>
      <c r="D1029" s="226" t="s">
        <v>803</v>
      </c>
    </row>
    <row r="1030" spans="1:4">
      <c r="A1030" s="226" t="s">
        <v>2036</v>
      </c>
      <c r="B1030" s="226">
        <v>512485</v>
      </c>
      <c r="C1030" s="226" t="s">
        <v>486</v>
      </c>
      <c r="D1030" s="226" t="s">
        <v>508</v>
      </c>
    </row>
    <row r="1031" spans="1:4">
      <c r="A1031" s="226" t="s">
        <v>2037</v>
      </c>
      <c r="B1031" s="226">
        <v>521151</v>
      </c>
      <c r="C1031" s="226" t="s">
        <v>486</v>
      </c>
      <c r="D1031" s="226" t="s">
        <v>501</v>
      </c>
    </row>
    <row r="1032" spans="1:4">
      <c r="A1032" s="226" t="s">
        <v>2038</v>
      </c>
      <c r="B1032" s="226">
        <v>503637</v>
      </c>
      <c r="C1032" s="226" t="s">
        <v>486</v>
      </c>
      <c r="D1032" s="226" t="s">
        <v>470</v>
      </c>
    </row>
    <row r="1033" spans="1:4">
      <c r="A1033" s="226" t="s">
        <v>2039</v>
      </c>
      <c r="B1033" s="226">
        <v>507717</v>
      </c>
      <c r="C1033" s="226" t="s">
        <v>2040</v>
      </c>
      <c r="D1033" s="226" t="s">
        <v>629</v>
      </c>
    </row>
    <row r="1034" spans="1:4">
      <c r="A1034" s="226" t="s">
        <v>2041</v>
      </c>
      <c r="B1034" s="226">
        <v>538446</v>
      </c>
      <c r="C1034" s="226" t="s">
        <v>486</v>
      </c>
      <c r="D1034" s="226" t="s">
        <v>470</v>
      </c>
    </row>
    <row r="1035" spans="1:4">
      <c r="A1035" s="226" t="s">
        <v>2042</v>
      </c>
      <c r="B1035" s="226" t="s">
        <v>486</v>
      </c>
      <c r="C1035" s="226" t="s">
        <v>2043</v>
      </c>
      <c r="D1035" s="226" t="s">
        <v>497</v>
      </c>
    </row>
    <row r="1036" spans="1:4">
      <c r="A1036" s="226" t="s">
        <v>2044</v>
      </c>
      <c r="B1036" s="226">
        <v>531043</v>
      </c>
      <c r="C1036" s="226" t="s">
        <v>486</v>
      </c>
      <c r="D1036" s="226" t="s">
        <v>674</v>
      </c>
    </row>
    <row r="1037" spans="1:4">
      <c r="A1037" s="226" t="s">
        <v>2045</v>
      </c>
      <c r="B1037" s="226">
        <v>540268</v>
      </c>
      <c r="C1037" s="226" t="s">
        <v>486</v>
      </c>
      <c r="D1037" s="226" t="s">
        <v>470</v>
      </c>
    </row>
    <row r="1038" spans="1:4">
      <c r="A1038" s="226" t="s">
        <v>2046</v>
      </c>
      <c r="B1038" s="226">
        <v>506405</v>
      </c>
      <c r="C1038" s="226" t="s">
        <v>486</v>
      </c>
      <c r="D1038" s="226" t="s">
        <v>645</v>
      </c>
    </row>
    <row r="1039" spans="1:4">
      <c r="A1039" s="226" t="s">
        <v>2047</v>
      </c>
      <c r="B1039" s="226">
        <v>511451</v>
      </c>
      <c r="C1039" s="226" t="s">
        <v>486</v>
      </c>
      <c r="D1039" s="226" t="s">
        <v>503</v>
      </c>
    </row>
    <row r="1040" spans="1:4">
      <c r="A1040" s="226" t="s">
        <v>2048</v>
      </c>
      <c r="B1040" s="226">
        <v>507442</v>
      </c>
      <c r="C1040" s="226" t="s">
        <v>2049</v>
      </c>
      <c r="D1040" s="226" t="s">
        <v>1184</v>
      </c>
    </row>
    <row r="1041" spans="1:4">
      <c r="A1041" s="226" t="s">
        <v>2050</v>
      </c>
      <c r="B1041" s="226">
        <v>501945</v>
      </c>
      <c r="C1041" s="226" t="s">
        <v>486</v>
      </c>
      <c r="D1041" s="226" t="s">
        <v>503</v>
      </c>
    </row>
    <row r="1042" spans="1:4">
      <c r="A1042" s="226" t="s">
        <v>2051</v>
      </c>
      <c r="B1042" s="226">
        <v>526971</v>
      </c>
      <c r="C1042" s="226" t="s">
        <v>486</v>
      </c>
      <c r="D1042" s="226" t="s">
        <v>508</v>
      </c>
    </row>
    <row r="1043" spans="1:4">
      <c r="A1043" s="226" t="s">
        <v>2052</v>
      </c>
      <c r="B1043" s="226">
        <v>531306</v>
      </c>
      <c r="C1043" s="226" t="s">
        <v>486</v>
      </c>
      <c r="D1043" s="226" t="s">
        <v>494</v>
      </c>
    </row>
    <row r="1044" spans="1:4">
      <c r="A1044" s="226" t="s">
        <v>2053</v>
      </c>
      <c r="B1044" s="226">
        <v>531306</v>
      </c>
      <c r="C1044" s="226" t="s">
        <v>486</v>
      </c>
      <c r="D1044" s="226" t="s">
        <v>494</v>
      </c>
    </row>
    <row r="1045" spans="1:4">
      <c r="A1045" s="226" t="s">
        <v>2054</v>
      </c>
      <c r="B1045" s="226">
        <v>541302</v>
      </c>
      <c r="C1045" s="226" t="s">
        <v>486</v>
      </c>
      <c r="D1045" s="226" t="s">
        <v>883</v>
      </c>
    </row>
    <row r="1046" spans="1:4">
      <c r="A1046" s="226" t="s">
        <v>2055</v>
      </c>
      <c r="B1046" s="226">
        <v>507886</v>
      </c>
      <c r="C1046" s="226" t="s">
        <v>486</v>
      </c>
      <c r="D1046" s="226" t="s">
        <v>572</v>
      </c>
    </row>
    <row r="1047" spans="1:4">
      <c r="A1047" s="226" t="s">
        <v>2056</v>
      </c>
      <c r="B1047" s="226">
        <v>540695</v>
      </c>
      <c r="C1047" s="226" t="s">
        <v>486</v>
      </c>
      <c r="D1047" s="226" t="s">
        <v>508</v>
      </c>
    </row>
    <row r="1048" spans="1:4">
      <c r="A1048" s="226" t="s">
        <v>2057</v>
      </c>
      <c r="B1048" s="226">
        <v>531237</v>
      </c>
      <c r="C1048" s="226" t="s">
        <v>486</v>
      </c>
      <c r="D1048" s="226" t="s">
        <v>503</v>
      </c>
    </row>
    <row r="1049" spans="1:4">
      <c r="A1049" s="226" t="s">
        <v>2058</v>
      </c>
      <c r="B1049" s="226">
        <v>533336</v>
      </c>
      <c r="C1049" s="226" t="s">
        <v>2059</v>
      </c>
      <c r="D1049" s="226" t="s">
        <v>506</v>
      </c>
    </row>
    <row r="1050" spans="1:4">
      <c r="A1050" s="226" t="s">
        <v>2060</v>
      </c>
      <c r="B1050" s="226">
        <v>523736</v>
      </c>
      <c r="C1050" s="226" t="s">
        <v>2061</v>
      </c>
      <c r="D1050" s="226" t="s">
        <v>862</v>
      </c>
    </row>
    <row r="1051" spans="1:4">
      <c r="A1051" s="226" t="s">
        <v>2062</v>
      </c>
      <c r="B1051" s="226">
        <v>538902</v>
      </c>
      <c r="C1051" s="226" t="s">
        <v>2063</v>
      </c>
      <c r="D1051" s="226" t="s">
        <v>892</v>
      </c>
    </row>
    <row r="1052" spans="1:4">
      <c r="A1052" s="226" t="s">
        <v>2064</v>
      </c>
      <c r="B1052" s="226" t="s">
        <v>486</v>
      </c>
      <c r="C1052" s="226" t="s">
        <v>2065</v>
      </c>
      <c r="D1052" s="226" t="s">
        <v>892</v>
      </c>
    </row>
    <row r="1053" spans="1:4">
      <c r="A1053" s="226" t="s">
        <v>2066</v>
      </c>
      <c r="B1053" s="226">
        <v>508860</v>
      </c>
      <c r="C1053" s="226" t="s">
        <v>486</v>
      </c>
      <c r="D1053" s="226" t="s">
        <v>883</v>
      </c>
    </row>
    <row r="1054" spans="1:4">
      <c r="A1054" s="226" t="s">
        <v>2067</v>
      </c>
      <c r="B1054" s="226">
        <v>500120</v>
      </c>
      <c r="C1054" s="226" t="s">
        <v>486</v>
      </c>
      <c r="D1054" s="226" t="s">
        <v>534</v>
      </c>
    </row>
    <row r="1055" spans="1:4">
      <c r="A1055" s="226" t="s">
        <v>2068</v>
      </c>
      <c r="B1055" s="226">
        <v>522163</v>
      </c>
      <c r="C1055" s="226" t="s">
        <v>2069</v>
      </c>
      <c r="D1055" s="226" t="s">
        <v>783</v>
      </c>
    </row>
    <row r="1056" spans="1:4">
      <c r="A1056" s="226" t="s">
        <v>2070</v>
      </c>
      <c r="B1056" s="226">
        <v>530959</v>
      </c>
      <c r="C1056" s="226" t="s">
        <v>486</v>
      </c>
      <c r="D1056" s="226" t="s">
        <v>892</v>
      </c>
    </row>
    <row r="1057" spans="1:4">
      <c r="A1057" s="226" t="s">
        <v>2071</v>
      </c>
      <c r="B1057" s="226">
        <v>500089</v>
      </c>
      <c r="C1057" s="226" t="s">
        <v>2072</v>
      </c>
      <c r="D1057" s="226" t="s">
        <v>645</v>
      </c>
    </row>
    <row r="1058" spans="1:4">
      <c r="A1058" s="226" t="s">
        <v>2073</v>
      </c>
      <c r="B1058" s="226">
        <v>500089</v>
      </c>
      <c r="C1058" s="226" t="s">
        <v>2072</v>
      </c>
      <c r="D1058" s="226" t="s">
        <v>645</v>
      </c>
    </row>
    <row r="1059" spans="1:4">
      <c r="A1059" s="226" t="s">
        <v>2074</v>
      </c>
      <c r="B1059" s="226">
        <v>540811</v>
      </c>
      <c r="C1059" s="226" t="s">
        <v>486</v>
      </c>
      <c r="D1059" s="226" t="s">
        <v>508</v>
      </c>
    </row>
    <row r="1060" spans="1:4">
      <c r="A1060" s="226" t="s">
        <v>2075</v>
      </c>
      <c r="B1060" s="226">
        <v>542685</v>
      </c>
      <c r="C1060" s="226" t="s">
        <v>2076</v>
      </c>
      <c r="D1060" s="226" t="s">
        <v>1009</v>
      </c>
    </row>
    <row r="1061" spans="1:4">
      <c r="A1061" s="226" t="s">
        <v>2077</v>
      </c>
      <c r="B1061" s="226">
        <v>539979</v>
      </c>
      <c r="C1061" s="226" t="s">
        <v>2078</v>
      </c>
      <c r="D1061" s="226" t="s">
        <v>501</v>
      </c>
    </row>
    <row r="1062" spans="1:4">
      <c r="A1062" s="226" t="s">
        <v>2079</v>
      </c>
      <c r="B1062" s="226">
        <v>540151</v>
      </c>
      <c r="C1062" s="226" t="s">
        <v>486</v>
      </c>
      <c r="D1062" s="226" t="s">
        <v>489</v>
      </c>
    </row>
    <row r="1063" spans="1:4">
      <c r="A1063" s="226" t="s">
        <v>2080</v>
      </c>
      <c r="B1063" s="226">
        <v>542155</v>
      </c>
      <c r="C1063" s="226" t="s">
        <v>2081</v>
      </c>
      <c r="D1063" s="226" t="s">
        <v>851</v>
      </c>
    </row>
    <row r="1064" spans="1:4">
      <c r="A1064" s="226" t="s">
        <v>2082</v>
      </c>
      <c r="B1064" s="226">
        <v>506414</v>
      </c>
      <c r="C1064" s="226" t="s">
        <v>486</v>
      </c>
      <c r="D1064" s="226" t="s">
        <v>524</v>
      </c>
    </row>
    <row r="1065" spans="1:4">
      <c r="A1065" s="226" t="s">
        <v>2083</v>
      </c>
      <c r="B1065" s="226">
        <v>531153</v>
      </c>
      <c r="C1065" s="226" t="s">
        <v>486</v>
      </c>
      <c r="D1065" s="226" t="s">
        <v>734</v>
      </c>
    </row>
    <row r="1066" spans="1:4">
      <c r="A1066" s="226" t="s">
        <v>2084</v>
      </c>
      <c r="B1066" s="226">
        <v>540789</v>
      </c>
      <c r="C1066" s="226" t="s">
        <v>2085</v>
      </c>
      <c r="D1066" s="226" t="s">
        <v>2086</v>
      </c>
    </row>
    <row r="1067" spans="1:4">
      <c r="A1067" s="226" t="s">
        <v>2087</v>
      </c>
      <c r="B1067" s="226">
        <v>540047</v>
      </c>
      <c r="C1067" s="226" t="s">
        <v>2088</v>
      </c>
      <c r="D1067" s="226" t="s">
        <v>1080</v>
      </c>
    </row>
    <row r="1068" spans="1:4">
      <c r="A1068" s="226" t="s">
        <v>2089</v>
      </c>
      <c r="B1068" s="226">
        <v>526927</v>
      </c>
      <c r="C1068" s="226" t="s">
        <v>486</v>
      </c>
      <c r="D1068" s="226" t="s">
        <v>579</v>
      </c>
    </row>
    <row r="1069" spans="1:4">
      <c r="A1069" s="226" t="s">
        <v>2090</v>
      </c>
      <c r="B1069" s="226">
        <v>500068</v>
      </c>
      <c r="C1069" s="226" t="s">
        <v>486</v>
      </c>
      <c r="D1069" s="226" t="s">
        <v>494</v>
      </c>
    </row>
    <row r="1070" spans="1:4">
      <c r="A1070" s="226" t="s">
        <v>2091</v>
      </c>
      <c r="B1070" s="226">
        <v>500068</v>
      </c>
      <c r="C1070" s="226" t="s">
        <v>486</v>
      </c>
      <c r="D1070" s="226" t="s">
        <v>494</v>
      </c>
    </row>
    <row r="1071" spans="1:4">
      <c r="A1071" s="226" t="s">
        <v>2092</v>
      </c>
      <c r="B1071" s="226">
        <v>532839</v>
      </c>
      <c r="C1071" s="226" t="s">
        <v>2093</v>
      </c>
      <c r="D1071" s="226" t="s">
        <v>1222</v>
      </c>
    </row>
    <row r="1072" spans="1:4">
      <c r="A1072" s="226" t="s">
        <v>2094</v>
      </c>
      <c r="B1072" s="226">
        <v>532839</v>
      </c>
      <c r="C1072" s="226" t="s">
        <v>2093</v>
      </c>
      <c r="D1072" s="226" t="s">
        <v>1222</v>
      </c>
    </row>
    <row r="1073" spans="1:4">
      <c r="A1073" s="226" t="s">
        <v>2095</v>
      </c>
      <c r="B1073" s="226">
        <v>531553</v>
      </c>
      <c r="C1073" s="226" t="s">
        <v>486</v>
      </c>
      <c r="D1073" s="226" t="s">
        <v>906</v>
      </c>
    </row>
    <row r="1074" spans="1:4">
      <c r="A1074" s="226" t="s">
        <v>2096</v>
      </c>
      <c r="B1074" s="226">
        <v>540701</v>
      </c>
      <c r="C1074" s="226" t="s">
        <v>2097</v>
      </c>
      <c r="D1074" s="226" t="s">
        <v>524</v>
      </c>
    </row>
    <row r="1075" spans="1:4">
      <c r="A1075" s="226" t="s">
        <v>2098</v>
      </c>
      <c r="B1075" s="226">
        <v>538432</v>
      </c>
      <c r="C1075" s="226" t="s">
        <v>486</v>
      </c>
      <c r="D1075" s="226" t="s">
        <v>508</v>
      </c>
    </row>
    <row r="1076" spans="1:4">
      <c r="A1076" s="226" t="s">
        <v>2099</v>
      </c>
      <c r="B1076" s="226">
        <v>532488</v>
      </c>
      <c r="C1076" s="226" t="s">
        <v>2100</v>
      </c>
      <c r="D1076" s="226" t="s">
        <v>524</v>
      </c>
    </row>
    <row r="1077" spans="1:4">
      <c r="A1077" s="226" t="s">
        <v>2101</v>
      </c>
      <c r="B1077" s="226">
        <v>526285</v>
      </c>
      <c r="C1077" s="226" t="s">
        <v>486</v>
      </c>
      <c r="D1077" s="226" t="s">
        <v>734</v>
      </c>
    </row>
    <row r="1078" spans="1:4">
      <c r="A1078" s="226" t="s">
        <v>2102</v>
      </c>
      <c r="B1078" s="226">
        <v>526315</v>
      </c>
      <c r="C1078" s="226" t="s">
        <v>486</v>
      </c>
      <c r="D1078" s="226" t="s">
        <v>1013</v>
      </c>
    </row>
    <row r="1079" spans="1:4">
      <c r="A1079" s="226" t="s">
        <v>2103</v>
      </c>
      <c r="B1079" s="226">
        <v>540699</v>
      </c>
      <c r="C1079" s="226" t="s">
        <v>2104</v>
      </c>
      <c r="D1079" s="226" t="s">
        <v>854</v>
      </c>
    </row>
    <row r="1080" spans="1:4">
      <c r="A1080" s="226" t="s">
        <v>2105</v>
      </c>
      <c r="B1080" s="226">
        <v>540699</v>
      </c>
      <c r="C1080" s="226" t="s">
        <v>2104</v>
      </c>
      <c r="D1080" s="226" t="s">
        <v>854</v>
      </c>
    </row>
    <row r="1081" spans="1:4">
      <c r="A1081" s="226" t="s">
        <v>2106</v>
      </c>
      <c r="B1081" s="226">
        <v>532868</v>
      </c>
      <c r="C1081" s="226" t="s">
        <v>2107</v>
      </c>
      <c r="D1081" s="226" t="s">
        <v>572</v>
      </c>
    </row>
    <row r="1082" spans="1:4">
      <c r="A1082" s="226" t="s">
        <v>2108</v>
      </c>
      <c r="B1082" s="226">
        <v>533146</v>
      </c>
      <c r="C1082" s="226" t="s">
        <v>2109</v>
      </c>
      <c r="D1082" s="226" t="s">
        <v>2110</v>
      </c>
    </row>
    <row r="1083" spans="1:4">
      <c r="A1083" s="226" t="s">
        <v>2111</v>
      </c>
      <c r="B1083" s="226">
        <v>533146</v>
      </c>
      <c r="C1083" s="226" t="s">
        <v>2112</v>
      </c>
      <c r="D1083" s="226" t="s">
        <v>2110</v>
      </c>
    </row>
    <row r="1084" spans="1:4">
      <c r="A1084" s="226" t="s">
        <v>2113</v>
      </c>
      <c r="B1084" s="226">
        <v>505526</v>
      </c>
      <c r="C1084" s="226" t="s">
        <v>486</v>
      </c>
      <c r="D1084" s="226" t="s">
        <v>506</v>
      </c>
    </row>
    <row r="1085" spans="1:4">
      <c r="A1085" s="226" t="s">
        <v>2114</v>
      </c>
      <c r="B1085" s="226">
        <v>542013</v>
      </c>
      <c r="C1085" s="226" t="s">
        <v>486</v>
      </c>
      <c r="D1085" s="226" t="s">
        <v>965</v>
      </c>
    </row>
    <row r="1086" spans="1:4">
      <c r="A1086" s="226" t="s">
        <v>2115</v>
      </c>
      <c r="B1086" s="226">
        <v>541403</v>
      </c>
      <c r="C1086" s="226" t="s">
        <v>2116</v>
      </c>
      <c r="D1086" s="226" t="s">
        <v>599</v>
      </c>
    </row>
    <row r="1087" spans="1:4">
      <c r="A1087" s="226" t="s">
        <v>2117</v>
      </c>
      <c r="B1087" s="226">
        <v>526504</v>
      </c>
      <c r="C1087" s="226" t="s">
        <v>486</v>
      </c>
      <c r="D1087" s="226" t="s">
        <v>674</v>
      </c>
    </row>
    <row r="1088" spans="1:4">
      <c r="A1088" s="226" t="s">
        <v>2118</v>
      </c>
      <c r="B1088" s="226">
        <v>522261</v>
      </c>
      <c r="C1088" s="226" t="s">
        <v>2119</v>
      </c>
      <c r="D1088" s="226" t="s">
        <v>826</v>
      </c>
    </row>
    <row r="1089" spans="1:4">
      <c r="A1089" s="226" t="s">
        <v>2120</v>
      </c>
      <c r="B1089" s="226">
        <v>522261</v>
      </c>
      <c r="C1089" s="226" t="s">
        <v>2119</v>
      </c>
      <c r="D1089" s="226" t="s">
        <v>826</v>
      </c>
    </row>
    <row r="1090" spans="1:4">
      <c r="A1090" s="226" t="s">
        <v>2121</v>
      </c>
      <c r="B1090" s="226">
        <v>512519</v>
      </c>
      <c r="C1090" s="226" t="s">
        <v>2122</v>
      </c>
      <c r="D1090" s="226" t="s">
        <v>501</v>
      </c>
    </row>
    <row r="1091" spans="1:4">
      <c r="A1091" s="226" t="s">
        <v>2123</v>
      </c>
      <c r="B1091" s="226" t="s">
        <v>486</v>
      </c>
      <c r="C1091" s="226" t="s">
        <v>2124</v>
      </c>
      <c r="D1091" s="226" t="s">
        <v>577</v>
      </c>
    </row>
    <row r="1092" spans="1:4">
      <c r="A1092" s="226" t="s">
        <v>2125</v>
      </c>
      <c r="B1092" s="226">
        <v>533176</v>
      </c>
      <c r="C1092" s="226" t="s">
        <v>2126</v>
      </c>
      <c r="D1092" s="226" t="s">
        <v>489</v>
      </c>
    </row>
    <row r="1093" spans="1:4">
      <c r="A1093" s="226" t="s">
        <v>2127</v>
      </c>
      <c r="B1093" s="226">
        <v>526783</v>
      </c>
      <c r="C1093" s="226" t="s">
        <v>486</v>
      </c>
      <c r="D1093" s="226" t="s">
        <v>674</v>
      </c>
    </row>
    <row r="1094" spans="1:4">
      <c r="A1094" s="226" t="s">
        <v>2128</v>
      </c>
      <c r="B1094" s="226">
        <v>539267</v>
      </c>
      <c r="C1094" s="226" t="s">
        <v>486</v>
      </c>
      <c r="D1094" s="226" t="s">
        <v>508</v>
      </c>
    </row>
    <row r="1095" spans="1:4">
      <c r="A1095" s="226" t="s">
        <v>2129</v>
      </c>
      <c r="B1095" s="226">
        <v>539524</v>
      </c>
      <c r="C1095" s="226" t="s">
        <v>2130</v>
      </c>
      <c r="D1095" s="226" t="s">
        <v>674</v>
      </c>
    </row>
    <row r="1096" spans="1:4">
      <c r="A1096" s="226" t="s">
        <v>2131</v>
      </c>
      <c r="B1096" s="226">
        <v>541299</v>
      </c>
      <c r="C1096" s="226" t="s">
        <v>486</v>
      </c>
      <c r="D1096" s="226" t="s">
        <v>674</v>
      </c>
    </row>
    <row r="1097" spans="1:4">
      <c r="A1097" s="226" t="s">
        <v>2132</v>
      </c>
      <c r="B1097" s="226">
        <v>500124</v>
      </c>
      <c r="C1097" s="226" t="s">
        <v>2133</v>
      </c>
      <c r="D1097" s="226" t="s">
        <v>524</v>
      </c>
    </row>
    <row r="1098" spans="1:4">
      <c r="A1098" s="226" t="s">
        <v>2134</v>
      </c>
      <c r="B1098" s="226">
        <v>540144</v>
      </c>
      <c r="C1098" s="226" t="s">
        <v>486</v>
      </c>
      <c r="D1098" s="226" t="s">
        <v>570</v>
      </c>
    </row>
    <row r="1099" spans="1:4">
      <c r="A1099" s="226" t="s">
        <v>2135</v>
      </c>
      <c r="B1099" s="226">
        <v>523618</v>
      </c>
      <c r="C1099" s="226" t="s">
        <v>2136</v>
      </c>
      <c r="D1099" s="226" t="s">
        <v>1731</v>
      </c>
    </row>
    <row r="1100" spans="1:4">
      <c r="A1100" s="226" t="s">
        <v>2137</v>
      </c>
      <c r="B1100" s="226">
        <v>523618</v>
      </c>
      <c r="C1100" s="226" t="s">
        <v>2136</v>
      </c>
      <c r="D1100" s="226" t="s">
        <v>1731</v>
      </c>
    </row>
    <row r="1101" spans="1:4">
      <c r="A1101" s="226" t="s">
        <v>2138</v>
      </c>
      <c r="B1101" s="226">
        <v>534674</v>
      </c>
      <c r="C1101" s="226" t="s">
        <v>2139</v>
      </c>
      <c r="D1101" s="226" t="s">
        <v>508</v>
      </c>
    </row>
    <row r="1102" spans="1:4">
      <c r="A1102" s="226" t="s">
        <v>2140</v>
      </c>
      <c r="B1102" s="226">
        <v>511634</v>
      </c>
      <c r="C1102" s="226" t="s">
        <v>486</v>
      </c>
      <c r="D1102" s="226" t="s">
        <v>883</v>
      </c>
    </row>
    <row r="1103" spans="1:4">
      <c r="A1103" s="226" t="s">
        <v>2141</v>
      </c>
      <c r="B1103" s="226">
        <v>531471</v>
      </c>
      <c r="C1103" s="226" t="s">
        <v>486</v>
      </c>
      <c r="D1103" s="226" t="s">
        <v>826</v>
      </c>
    </row>
    <row r="1104" spans="1:4">
      <c r="A1104" s="226" t="s">
        <v>2142</v>
      </c>
      <c r="B1104" s="226">
        <v>504908</v>
      </c>
      <c r="C1104" s="226" t="s">
        <v>486</v>
      </c>
      <c r="D1104" s="226" t="s">
        <v>840</v>
      </c>
    </row>
    <row r="1105" spans="1:4">
      <c r="A1105" s="226" t="s">
        <v>2143</v>
      </c>
      <c r="B1105" s="226">
        <v>526355</v>
      </c>
      <c r="C1105" s="226" t="s">
        <v>486</v>
      </c>
      <c r="D1105" s="226" t="s">
        <v>605</v>
      </c>
    </row>
    <row r="1106" spans="1:4">
      <c r="A1106" s="226" t="s">
        <v>2144</v>
      </c>
      <c r="B1106" s="226">
        <v>517437</v>
      </c>
      <c r="C1106" s="226" t="s">
        <v>486</v>
      </c>
      <c r="D1106" s="226" t="s">
        <v>605</v>
      </c>
    </row>
    <row r="1107" spans="1:4">
      <c r="A1107" s="226" t="s">
        <v>2145</v>
      </c>
      <c r="B1107" s="226">
        <v>532610</v>
      </c>
      <c r="C1107" s="226" t="s">
        <v>2146</v>
      </c>
      <c r="D1107" s="226" t="s">
        <v>1184</v>
      </c>
    </row>
    <row r="1108" spans="1:4">
      <c r="A1108" s="226" t="s">
        <v>2147</v>
      </c>
      <c r="B1108" s="226">
        <v>538608</v>
      </c>
      <c r="C1108" s="226" t="s">
        <v>2148</v>
      </c>
      <c r="D1108" s="226" t="s">
        <v>851</v>
      </c>
    </row>
    <row r="1109" spans="1:4">
      <c r="A1109" s="226" t="s">
        <v>2149</v>
      </c>
      <c r="B1109" s="226">
        <v>532365</v>
      </c>
      <c r="C1109" s="226" t="s">
        <v>2150</v>
      </c>
      <c r="D1109" s="226" t="s">
        <v>473</v>
      </c>
    </row>
    <row r="1110" spans="1:4">
      <c r="A1110" s="226" t="s">
        <v>2151</v>
      </c>
      <c r="B1110" s="226">
        <v>505242</v>
      </c>
      <c r="C1110" s="226" t="s">
        <v>2152</v>
      </c>
      <c r="D1110" s="226" t="s">
        <v>494</v>
      </c>
    </row>
    <row r="1111" spans="1:4">
      <c r="A1111" s="226" t="s">
        <v>2153</v>
      </c>
      <c r="B1111" s="226">
        <v>539681</v>
      </c>
      <c r="C1111" s="226" t="s">
        <v>486</v>
      </c>
      <c r="D1111" s="226" t="s">
        <v>503</v>
      </c>
    </row>
    <row r="1112" spans="1:4">
      <c r="A1112" s="226" t="s">
        <v>2154</v>
      </c>
      <c r="B1112" s="226">
        <v>540795</v>
      </c>
      <c r="C1112" s="226" t="s">
        <v>486</v>
      </c>
      <c r="D1112" s="226" t="s">
        <v>783</v>
      </c>
    </row>
    <row r="1113" spans="1:4">
      <c r="A1113" s="226" t="s">
        <v>2155</v>
      </c>
      <c r="B1113" s="226">
        <v>524818</v>
      </c>
      <c r="C1113" s="226" t="s">
        <v>486</v>
      </c>
      <c r="D1113" s="226" t="s">
        <v>645</v>
      </c>
    </row>
    <row r="1114" spans="1:4">
      <c r="A1114" s="226" t="s">
        <v>2156</v>
      </c>
      <c r="B1114" s="226">
        <v>530779</v>
      </c>
      <c r="C1114" s="226" t="s">
        <v>486</v>
      </c>
      <c r="D1114" s="226" t="s">
        <v>503</v>
      </c>
    </row>
    <row r="1115" spans="1:4">
      <c r="A1115" s="226" t="s">
        <v>2157</v>
      </c>
      <c r="B1115" s="226">
        <v>517238</v>
      </c>
      <c r="C1115" s="226" t="s">
        <v>486</v>
      </c>
      <c r="D1115" s="226" t="s">
        <v>1027</v>
      </c>
    </row>
    <row r="1116" spans="1:4">
      <c r="A1116" s="226" t="s">
        <v>2158</v>
      </c>
      <c r="B1116" s="226">
        <v>532707</v>
      </c>
      <c r="C1116" s="226" t="s">
        <v>2159</v>
      </c>
      <c r="D1116" s="226" t="s">
        <v>645</v>
      </c>
    </row>
    <row r="1117" spans="1:4">
      <c r="A1117" s="226" t="s">
        <v>2160</v>
      </c>
      <c r="B1117" s="226">
        <v>531533</v>
      </c>
      <c r="C1117" s="226" t="s">
        <v>486</v>
      </c>
      <c r="D1117" s="226" t="s">
        <v>473</v>
      </c>
    </row>
    <row r="1118" spans="1:4">
      <c r="A1118" s="226" t="s">
        <v>2161</v>
      </c>
      <c r="B1118" s="226" t="s">
        <v>486</v>
      </c>
      <c r="C1118" s="226" t="s">
        <v>2162</v>
      </c>
      <c r="D1118" s="226" t="s">
        <v>497</v>
      </c>
    </row>
    <row r="1119" spans="1:4">
      <c r="A1119" s="226" t="s">
        <v>2163</v>
      </c>
      <c r="B1119" s="226">
        <v>507917</v>
      </c>
      <c r="C1119" s="226" t="s">
        <v>486</v>
      </c>
      <c r="D1119" s="226" t="s">
        <v>572</v>
      </c>
    </row>
    <row r="1120" spans="1:4">
      <c r="A1120" s="226" t="s">
        <v>2164</v>
      </c>
      <c r="B1120" s="226">
        <v>520081</v>
      </c>
      <c r="C1120" s="226" t="s">
        <v>486</v>
      </c>
      <c r="D1120" s="226" t="s">
        <v>518</v>
      </c>
    </row>
    <row r="1121" spans="1:4">
      <c r="A1121" s="226" t="s">
        <v>2165</v>
      </c>
      <c r="B1121" s="226">
        <v>541053</v>
      </c>
      <c r="C1121" s="226" t="s">
        <v>486</v>
      </c>
      <c r="D1121" s="226" t="s">
        <v>470</v>
      </c>
    </row>
    <row r="1122" spans="1:4">
      <c r="A1122" s="226" t="s">
        <v>2166</v>
      </c>
      <c r="B1122" s="226">
        <v>590022</v>
      </c>
      <c r="C1122" s="226" t="s">
        <v>2167</v>
      </c>
      <c r="D1122" s="226" t="s">
        <v>501</v>
      </c>
    </row>
    <row r="1123" spans="1:4">
      <c r="A1123" s="226" t="s">
        <v>2168</v>
      </c>
      <c r="B1123" s="226">
        <v>531346</v>
      </c>
      <c r="C1123" s="226" t="s">
        <v>486</v>
      </c>
      <c r="D1123" s="226" t="s">
        <v>965</v>
      </c>
    </row>
    <row r="1124" spans="1:4">
      <c r="A1124" s="226" t="s">
        <v>2169</v>
      </c>
      <c r="B1124" s="226">
        <v>532751</v>
      </c>
      <c r="C1124" s="226" t="s">
        <v>2170</v>
      </c>
      <c r="D1124" s="226" t="s">
        <v>783</v>
      </c>
    </row>
    <row r="1125" spans="1:4">
      <c r="A1125" s="226" t="s">
        <v>2171</v>
      </c>
      <c r="B1125" s="226" t="s">
        <v>486</v>
      </c>
      <c r="C1125" s="226" t="s">
        <v>2172</v>
      </c>
      <c r="D1125" s="226" t="s">
        <v>577</v>
      </c>
    </row>
    <row r="1126" spans="1:4">
      <c r="A1126" s="226" t="s">
        <v>2173</v>
      </c>
      <c r="B1126" s="226">
        <v>532927</v>
      </c>
      <c r="C1126" s="226" t="s">
        <v>2174</v>
      </c>
      <c r="D1126" s="226" t="s">
        <v>815</v>
      </c>
    </row>
    <row r="1127" spans="1:4">
      <c r="A1127" s="226" t="s">
        <v>2175</v>
      </c>
      <c r="B1127" s="226">
        <v>534839</v>
      </c>
      <c r="C1127" s="226" t="s">
        <v>486</v>
      </c>
      <c r="D1127" s="226" t="s">
        <v>683</v>
      </c>
    </row>
    <row r="1128" spans="1:4">
      <c r="A1128" s="226" t="s">
        <v>2176</v>
      </c>
      <c r="B1128" s="226">
        <v>530643</v>
      </c>
      <c r="C1128" s="226" t="s">
        <v>486</v>
      </c>
      <c r="D1128" s="226" t="s">
        <v>1027</v>
      </c>
    </row>
    <row r="1129" spans="1:4">
      <c r="A1129" s="226" t="s">
        <v>2177</v>
      </c>
      <c r="B1129" s="226">
        <v>523732</v>
      </c>
      <c r="C1129" s="226" t="s">
        <v>486</v>
      </c>
      <c r="D1129" s="226" t="s">
        <v>980</v>
      </c>
    </row>
    <row r="1130" spans="1:4">
      <c r="A1130" s="226" t="s">
        <v>2178</v>
      </c>
      <c r="B1130" s="226">
        <v>538708</v>
      </c>
      <c r="C1130" s="226" t="s">
        <v>486</v>
      </c>
      <c r="D1130" s="226" t="s">
        <v>503</v>
      </c>
    </row>
    <row r="1131" spans="1:4">
      <c r="A1131" s="226" t="s">
        <v>2179</v>
      </c>
      <c r="B1131" s="226">
        <v>538708</v>
      </c>
      <c r="C1131" s="226" t="s">
        <v>486</v>
      </c>
      <c r="D1131" s="226" t="s">
        <v>503</v>
      </c>
    </row>
    <row r="1132" spans="1:4">
      <c r="A1132" s="226" t="s">
        <v>2180</v>
      </c>
      <c r="B1132" s="226">
        <v>526703</v>
      </c>
      <c r="C1132" s="226" t="s">
        <v>486</v>
      </c>
      <c r="D1132" s="226" t="s">
        <v>605</v>
      </c>
    </row>
    <row r="1133" spans="1:4">
      <c r="A1133" s="226" t="s">
        <v>2181</v>
      </c>
      <c r="B1133" s="226">
        <v>540063</v>
      </c>
      <c r="C1133" s="226" t="s">
        <v>486</v>
      </c>
      <c r="D1133" s="226" t="s">
        <v>473</v>
      </c>
    </row>
    <row r="1134" spans="1:4">
      <c r="A1134" s="226" t="s">
        <v>2182</v>
      </c>
      <c r="B1134" s="226">
        <v>532922</v>
      </c>
      <c r="C1134" s="226" t="s">
        <v>2183</v>
      </c>
      <c r="D1134" s="226" t="s">
        <v>470</v>
      </c>
    </row>
    <row r="1135" spans="1:4">
      <c r="A1135" s="226" t="s">
        <v>2184</v>
      </c>
      <c r="B1135" s="226">
        <v>532696</v>
      </c>
      <c r="C1135" s="226" t="s">
        <v>2185</v>
      </c>
      <c r="D1135" s="226" t="s">
        <v>349</v>
      </c>
    </row>
    <row r="1136" spans="1:4">
      <c r="A1136" s="226" t="s">
        <v>2186</v>
      </c>
      <c r="B1136" s="226">
        <v>526483</v>
      </c>
      <c r="C1136" s="226" t="s">
        <v>486</v>
      </c>
      <c r="D1136" s="226" t="s">
        <v>1722</v>
      </c>
    </row>
    <row r="1137" spans="1:4">
      <c r="A1137" s="226" t="s">
        <v>2187</v>
      </c>
      <c r="B1137" s="226">
        <v>535694</v>
      </c>
      <c r="C1137" s="226" t="s">
        <v>486</v>
      </c>
      <c r="D1137" s="226" t="s">
        <v>508</v>
      </c>
    </row>
    <row r="1138" spans="1:4">
      <c r="A1138" s="226" t="s">
        <v>2188</v>
      </c>
      <c r="B1138" s="226">
        <v>505200</v>
      </c>
      <c r="C1138" s="226" t="s">
        <v>2189</v>
      </c>
      <c r="D1138" s="226" t="s">
        <v>1143</v>
      </c>
    </row>
    <row r="1139" spans="1:4">
      <c r="A1139" s="226" t="s">
        <v>2190</v>
      </c>
      <c r="B1139" s="226">
        <v>500125</v>
      </c>
      <c r="C1139" s="226" t="s">
        <v>2191</v>
      </c>
      <c r="D1139" s="226" t="s">
        <v>1184</v>
      </c>
    </row>
    <row r="1140" spans="1:4">
      <c r="A1140" s="226" t="s">
        <v>2192</v>
      </c>
      <c r="B1140" s="226">
        <v>500125</v>
      </c>
      <c r="C1140" s="226" t="s">
        <v>2191</v>
      </c>
      <c r="D1140" s="226" t="s">
        <v>1184</v>
      </c>
    </row>
    <row r="1141" spans="1:4">
      <c r="A1141" s="226" t="s">
        <v>2193</v>
      </c>
      <c r="B1141" s="226">
        <v>523127</v>
      </c>
      <c r="C1141" s="226" t="s">
        <v>2194</v>
      </c>
      <c r="D1141" s="226" t="s">
        <v>686</v>
      </c>
    </row>
    <row r="1142" spans="1:4">
      <c r="A1142" s="226" t="s">
        <v>2195</v>
      </c>
      <c r="B1142" s="226">
        <v>500840</v>
      </c>
      <c r="C1142" s="226" t="s">
        <v>2196</v>
      </c>
      <c r="D1142" s="226" t="s">
        <v>686</v>
      </c>
    </row>
    <row r="1143" spans="1:4">
      <c r="A1143" s="226" t="s">
        <v>2197</v>
      </c>
      <c r="B1143" s="226">
        <v>523708</v>
      </c>
      <c r="C1143" s="226" t="s">
        <v>2198</v>
      </c>
      <c r="D1143" s="226" t="s">
        <v>494</v>
      </c>
    </row>
    <row r="1144" spans="1:4">
      <c r="A1144" s="226" t="s">
        <v>2199</v>
      </c>
      <c r="B1144" s="226">
        <v>523708</v>
      </c>
      <c r="C1144" s="226" t="s">
        <v>2198</v>
      </c>
      <c r="D1144" s="226" t="s">
        <v>494</v>
      </c>
    </row>
    <row r="1145" spans="1:4">
      <c r="A1145" s="226" t="s">
        <v>2200</v>
      </c>
      <c r="B1145" s="226">
        <v>538653</v>
      </c>
      <c r="C1145" s="226" t="s">
        <v>2201</v>
      </c>
      <c r="D1145" s="226" t="s">
        <v>851</v>
      </c>
    </row>
    <row r="1146" spans="1:4">
      <c r="A1146" s="226" t="s">
        <v>2202</v>
      </c>
      <c r="B1146" s="226">
        <v>530581</v>
      </c>
      <c r="C1146" s="226" t="s">
        <v>486</v>
      </c>
      <c r="D1146" s="226" t="s">
        <v>906</v>
      </c>
    </row>
    <row r="1147" spans="1:4">
      <c r="A1147" s="226" t="s">
        <v>2203</v>
      </c>
      <c r="B1147" s="226">
        <v>532820</v>
      </c>
      <c r="C1147" s="226" t="s">
        <v>2204</v>
      </c>
      <c r="D1147" s="226" t="s">
        <v>501</v>
      </c>
    </row>
    <row r="1148" spans="1:4">
      <c r="A1148" s="226" t="s">
        <v>2205</v>
      </c>
      <c r="B1148" s="226">
        <v>513452</v>
      </c>
      <c r="C1148" s="226" t="s">
        <v>486</v>
      </c>
      <c r="D1148" s="226" t="s">
        <v>518</v>
      </c>
    </row>
    <row r="1149" spans="1:4">
      <c r="A1149" s="226" t="s">
        <v>2206</v>
      </c>
      <c r="B1149" s="226">
        <v>500123</v>
      </c>
      <c r="C1149" s="226" t="s">
        <v>486</v>
      </c>
      <c r="D1149" s="226" t="s">
        <v>534</v>
      </c>
    </row>
    <row r="1150" spans="1:4">
      <c r="A1150" s="226" t="s">
        <v>2207</v>
      </c>
      <c r="B1150" s="226">
        <v>500123</v>
      </c>
      <c r="C1150" s="226" t="s">
        <v>486</v>
      </c>
      <c r="D1150" s="226" t="s">
        <v>534</v>
      </c>
    </row>
    <row r="1151" spans="1:4">
      <c r="A1151" s="226" t="s">
        <v>2208</v>
      </c>
      <c r="B1151" s="226">
        <v>503681</v>
      </c>
      <c r="C1151" s="226" t="s">
        <v>486</v>
      </c>
      <c r="D1151" s="226" t="s">
        <v>906</v>
      </c>
    </row>
    <row r="1152" spans="1:4">
      <c r="A1152" s="226" t="s">
        <v>2209</v>
      </c>
      <c r="B1152" s="226">
        <v>523329</v>
      </c>
      <c r="C1152" s="226" t="s">
        <v>486</v>
      </c>
      <c r="D1152" s="226" t="s">
        <v>572</v>
      </c>
    </row>
    <row r="1153" spans="1:4">
      <c r="A1153" s="226" t="s">
        <v>2210</v>
      </c>
      <c r="B1153" s="226">
        <v>505700</v>
      </c>
      <c r="C1153" s="226" t="s">
        <v>2211</v>
      </c>
      <c r="D1153" s="226" t="s">
        <v>494</v>
      </c>
    </row>
    <row r="1154" spans="1:4">
      <c r="A1154" s="226" t="s">
        <v>2212</v>
      </c>
      <c r="B1154" s="226">
        <v>500128</v>
      </c>
      <c r="C1154" s="226" t="s">
        <v>2213</v>
      </c>
      <c r="D1154" s="226" t="s">
        <v>883</v>
      </c>
    </row>
    <row r="1155" spans="1:4">
      <c r="A1155" s="226" t="s">
        <v>2214</v>
      </c>
      <c r="B1155" s="226">
        <v>533264</v>
      </c>
      <c r="C1155" s="226" t="s">
        <v>2215</v>
      </c>
      <c r="D1155" s="226" t="s">
        <v>883</v>
      </c>
    </row>
    <row r="1156" spans="1:4">
      <c r="A1156" s="226" t="s">
        <v>2216</v>
      </c>
      <c r="B1156" s="226">
        <v>526608</v>
      </c>
      <c r="C1156" s="226" t="s">
        <v>2217</v>
      </c>
      <c r="D1156" s="226" t="s">
        <v>808</v>
      </c>
    </row>
    <row r="1157" spans="1:4">
      <c r="A1157" s="226" t="s">
        <v>2218</v>
      </c>
      <c r="B1157" s="226">
        <v>526608</v>
      </c>
      <c r="C1157" s="226" t="s">
        <v>2217</v>
      </c>
      <c r="D1157" s="226" t="s">
        <v>808</v>
      </c>
    </row>
    <row r="1158" spans="1:4">
      <c r="A1158" s="226" t="s">
        <v>2219</v>
      </c>
      <c r="B1158" s="226">
        <v>526473</v>
      </c>
      <c r="C1158" s="226" t="s">
        <v>486</v>
      </c>
      <c r="D1158" s="226" t="s">
        <v>683</v>
      </c>
    </row>
    <row r="1159" spans="1:4">
      <c r="A1159" s="226" t="s">
        <v>2220</v>
      </c>
      <c r="B1159" s="226">
        <v>526473</v>
      </c>
      <c r="C1159" s="226" t="s">
        <v>486</v>
      </c>
      <c r="D1159" s="226" t="s">
        <v>683</v>
      </c>
    </row>
    <row r="1160" spans="1:4">
      <c r="A1160" s="226" t="s">
        <v>2221</v>
      </c>
      <c r="B1160" s="226">
        <v>526705</v>
      </c>
      <c r="C1160" s="226" t="s">
        <v>486</v>
      </c>
      <c r="D1160" s="226" t="s">
        <v>508</v>
      </c>
    </row>
    <row r="1161" spans="1:4">
      <c r="A1161" s="226" t="s">
        <v>2222</v>
      </c>
      <c r="B1161" s="226">
        <v>522074</v>
      </c>
      <c r="C1161" s="226" t="s">
        <v>2223</v>
      </c>
      <c r="D1161" s="226" t="s">
        <v>494</v>
      </c>
    </row>
    <row r="1162" spans="1:4">
      <c r="A1162" s="226" t="s">
        <v>2224</v>
      </c>
      <c r="B1162" s="226" t="s">
        <v>486</v>
      </c>
      <c r="C1162" s="226" t="s">
        <v>2225</v>
      </c>
      <c r="D1162" s="226" t="s">
        <v>577</v>
      </c>
    </row>
    <row r="1163" spans="1:4">
      <c r="A1163" s="226" t="s">
        <v>2226</v>
      </c>
      <c r="B1163" s="226">
        <v>531278</v>
      </c>
      <c r="C1163" s="226" t="s">
        <v>486</v>
      </c>
      <c r="D1163" s="226" t="s">
        <v>470</v>
      </c>
    </row>
    <row r="1164" spans="1:4">
      <c r="A1164" s="226" t="s">
        <v>2227</v>
      </c>
      <c r="B1164" s="226">
        <v>517477</v>
      </c>
      <c r="C1164" s="226" t="s">
        <v>486</v>
      </c>
      <c r="D1164" s="226" t="s">
        <v>579</v>
      </c>
    </row>
    <row r="1165" spans="1:4">
      <c r="A1165" s="226" t="s">
        <v>2228</v>
      </c>
      <c r="B1165" s="226">
        <v>504000</v>
      </c>
      <c r="C1165" s="226" t="s">
        <v>486</v>
      </c>
      <c r="D1165" s="226" t="s">
        <v>783</v>
      </c>
    </row>
    <row r="1166" spans="1:4">
      <c r="A1166" s="226" t="s">
        <v>2229</v>
      </c>
      <c r="B1166" s="226">
        <v>522027</v>
      </c>
      <c r="C1166" s="226" t="s">
        <v>486</v>
      </c>
      <c r="D1166" s="226" t="s">
        <v>494</v>
      </c>
    </row>
    <row r="1167" spans="1:4">
      <c r="A1167" s="226" t="s">
        <v>2230</v>
      </c>
      <c r="B1167" s="226">
        <v>522027</v>
      </c>
      <c r="C1167" s="226" t="s">
        <v>486</v>
      </c>
      <c r="D1167" s="226" t="s">
        <v>494</v>
      </c>
    </row>
    <row r="1168" spans="1:4">
      <c r="A1168" s="226" t="s">
        <v>2231</v>
      </c>
      <c r="B1168" s="226">
        <v>531162</v>
      </c>
      <c r="C1168" s="226" t="s">
        <v>2232</v>
      </c>
      <c r="D1168" s="226" t="s">
        <v>667</v>
      </c>
    </row>
    <row r="1169" spans="1:4">
      <c r="A1169" s="226" t="s">
        <v>2233</v>
      </c>
      <c r="B1169" s="226" t="s">
        <v>486</v>
      </c>
      <c r="C1169" s="226" t="s">
        <v>2234</v>
      </c>
      <c r="D1169" s="226" t="s">
        <v>667</v>
      </c>
    </row>
    <row r="1170" spans="1:4">
      <c r="A1170" s="226" t="s">
        <v>2235</v>
      </c>
      <c r="B1170" s="226">
        <v>533208</v>
      </c>
      <c r="C1170" s="226" t="s">
        <v>486</v>
      </c>
      <c r="D1170" s="226" t="s">
        <v>480</v>
      </c>
    </row>
    <row r="1171" spans="1:4">
      <c r="A1171" s="226" t="s">
        <v>2236</v>
      </c>
      <c r="B1171" s="226">
        <v>533218</v>
      </c>
      <c r="C1171" s="226" t="s">
        <v>2237</v>
      </c>
      <c r="D1171" s="226" t="s">
        <v>572</v>
      </c>
    </row>
    <row r="1172" spans="1:4">
      <c r="A1172" s="226" t="s">
        <v>2238</v>
      </c>
      <c r="B1172" s="226">
        <v>542602</v>
      </c>
      <c r="C1172" s="226" t="s">
        <v>2239</v>
      </c>
      <c r="D1172" s="226" t="s">
        <v>506</v>
      </c>
    </row>
    <row r="1173" spans="1:4">
      <c r="A1173" s="226" t="s">
        <v>2240</v>
      </c>
      <c r="B1173" s="226">
        <v>504008</v>
      </c>
      <c r="C1173" s="226" t="s">
        <v>2241</v>
      </c>
      <c r="D1173" s="226" t="s">
        <v>529</v>
      </c>
    </row>
    <row r="1174" spans="1:4">
      <c r="A1174" s="226" t="s">
        <v>2242</v>
      </c>
      <c r="B1174" s="226">
        <v>538882</v>
      </c>
      <c r="C1174" s="226" t="s">
        <v>486</v>
      </c>
      <c r="D1174" s="226" t="s">
        <v>470</v>
      </c>
    </row>
    <row r="1175" spans="1:4">
      <c r="A1175" s="226" t="s">
        <v>2243</v>
      </c>
      <c r="B1175" s="226">
        <v>507265</v>
      </c>
      <c r="C1175" s="226" t="s">
        <v>486</v>
      </c>
      <c r="D1175" s="226" t="s">
        <v>663</v>
      </c>
    </row>
    <row r="1176" spans="1:4">
      <c r="A1176" s="226" t="s">
        <v>2244</v>
      </c>
      <c r="B1176" s="226">
        <v>530333</v>
      </c>
      <c r="C1176" s="226" t="s">
        <v>486</v>
      </c>
      <c r="D1176" s="226" t="s">
        <v>783</v>
      </c>
    </row>
    <row r="1177" spans="1:4">
      <c r="A1177" s="226" t="s">
        <v>2245</v>
      </c>
      <c r="B1177" s="226">
        <v>532737</v>
      </c>
      <c r="C1177" s="226" t="s">
        <v>2246</v>
      </c>
      <c r="D1177" s="226" t="s">
        <v>470</v>
      </c>
    </row>
    <row r="1178" spans="1:4">
      <c r="A1178" s="226" t="s">
        <v>2247</v>
      </c>
      <c r="B1178" s="226" t="s">
        <v>486</v>
      </c>
      <c r="C1178" s="226" t="s">
        <v>2248</v>
      </c>
      <c r="D1178" s="226" t="s">
        <v>497</v>
      </c>
    </row>
    <row r="1179" spans="1:4">
      <c r="A1179" s="226" t="s">
        <v>2249</v>
      </c>
      <c r="B1179" s="226">
        <v>533161</v>
      </c>
      <c r="C1179" s="226" t="s">
        <v>2250</v>
      </c>
      <c r="D1179" s="226" t="s">
        <v>680</v>
      </c>
    </row>
    <row r="1180" spans="1:4">
      <c r="A1180" s="226" t="s">
        <v>2251</v>
      </c>
      <c r="B1180" s="226">
        <v>524768</v>
      </c>
      <c r="C1180" s="226" t="s">
        <v>486</v>
      </c>
      <c r="D1180" s="226" t="s">
        <v>534</v>
      </c>
    </row>
    <row r="1181" spans="1:4">
      <c r="A1181" s="226" t="s">
        <v>2252</v>
      </c>
      <c r="B1181" s="226">
        <v>532038</v>
      </c>
      <c r="C1181" s="226" t="s">
        <v>486</v>
      </c>
      <c r="D1181" s="226" t="s">
        <v>508</v>
      </c>
    </row>
    <row r="1182" spans="1:4">
      <c r="A1182" s="226" t="s">
        <v>2253</v>
      </c>
      <c r="B1182" s="226">
        <v>532920</v>
      </c>
      <c r="C1182" s="226" t="s">
        <v>2254</v>
      </c>
      <c r="D1182" s="226" t="s">
        <v>1117</v>
      </c>
    </row>
    <row r="1183" spans="1:4">
      <c r="A1183" s="226" t="s">
        <v>2255</v>
      </c>
      <c r="B1183" s="226">
        <v>500132</v>
      </c>
      <c r="C1183" s="226" t="s">
        <v>486</v>
      </c>
      <c r="D1183" s="226" t="s">
        <v>1184</v>
      </c>
    </row>
    <row r="1184" spans="1:4">
      <c r="A1184" s="226" t="s">
        <v>2256</v>
      </c>
      <c r="B1184" s="226">
        <v>509525</v>
      </c>
      <c r="C1184" s="226" t="s">
        <v>486</v>
      </c>
      <c r="D1184" s="226" t="s">
        <v>346</v>
      </c>
    </row>
    <row r="1185" spans="1:4">
      <c r="A1185" s="226" t="s">
        <v>2257</v>
      </c>
      <c r="B1185" s="226">
        <v>504351</v>
      </c>
      <c r="C1185" s="226" t="s">
        <v>486</v>
      </c>
      <c r="D1185" s="226" t="s">
        <v>473</v>
      </c>
    </row>
    <row r="1186" spans="1:4">
      <c r="A1186" s="226" t="s">
        <v>2258</v>
      </c>
      <c r="B1186" s="226">
        <v>504351</v>
      </c>
      <c r="C1186" s="226" t="s">
        <v>486</v>
      </c>
      <c r="D1186" s="226" t="s">
        <v>473</v>
      </c>
    </row>
    <row r="1187" spans="1:4">
      <c r="A1187" s="226" t="s">
        <v>2259</v>
      </c>
      <c r="B1187" s="226">
        <v>512441</v>
      </c>
      <c r="C1187" s="226" t="s">
        <v>486</v>
      </c>
      <c r="D1187" s="226" t="s">
        <v>906</v>
      </c>
    </row>
    <row r="1188" spans="1:4">
      <c r="A1188" s="226" t="s">
        <v>2260</v>
      </c>
      <c r="B1188" s="226">
        <v>538684</v>
      </c>
      <c r="C1188" s="226" t="s">
        <v>486</v>
      </c>
      <c r="D1188" s="226" t="s">
        <v>489</v>
      </c>
    </row>
    <row r="1189" spans="1:4">
      <c r="A1189" s="226" t="s">
        <v>2261</v>
      </c>
      <c r="B1189" s="226">
        <v>540153</v>
      </c>
      <c r="C1189" s="226" t="s">
        <v>2262</v>
      </c>
      <c r="D1189" s="226" t="s">
        <v>1143</v>
      </c>
    </row>
    <row r="1190" spans="1:4">
      <c r="A1190" s="226" t="s">
        <v>2263</v>
      </c>
      <c r="B1190" s="226">
        <v>532219</v>
      </c>
      <c r="C1190" s="226" t="s">
        <v>2264</v>
      </c>
      <c r="D1190" s="226" t="s">
        <v>624</v>
      </c>
    </row>
    <row r="1191" spans="1:4">
      <c r="A1191" s="226" t="s">
        <v>2265</v>
      </c>
      <c r="B1191" s="226">
        <v>532178</v>
      </c>
      <c r="C1191" s="226" t="s">
        <v>2266</v>
      </c>
      <c r="D1191" s="226" t="s">
        <v>570</v>
      </c>
    </row>
    <row r="1192" spans="1:4">
      <c r="A1192" s="226" t="s">
        <v>2267</v>
      </c>
      <c r="B1192" s="226">
        <v>532178</v>
      </c>
      <c r="C1192" s="226" t="s">
        <v>2266</v>
      </c>
      <c r="D1192" s="226" t="s">
        <v>570</v>
      </c>
    </row>
    <row r="1193" spans="1:4">
      <c r="A1193" s="226" t="s">
        <v>2268</v>
      </c>
      <c r="B1193" s="226">
        <v>533477</v>
      </c>
      <c r="C1193" s="226" t="s">
        <v>486</v>
      </c>
      <c r="D1193" s="226" t="s">
        <v>840</v>
      </c>
    </row>
    <row r="1194" spans="1:4">
      <c r="A1194" s="226" t="s">
        <v>2269</v>
      </c>
      <c r="B1194" s="226">
        <v>533477</v>
      </c>
      <c r="C1194" s="226" t="s">
        <v>486</v>
      </c>
      <c r="D1194" s="226" t="s">
        <v>840</v>
      </c>
    </row>
    <row r="1195" spans="1:4">
      <c r="A1195" s="226" t="s">
        <v>2270</v>
      </c>
      <c r="B1195" s="226">
        <v>526574</v>
      </c>
      <c r="C1195" s="226" t="s">
        <v>486</v>
      </c>
      <c r="D1195" s="226" t="s">
        <v>508</v>
      </c>
    </row>
    <row r="1196" spans="1:4">
      <c r="A1196" s="226" t="s">
        <v>2271</v>
      </c>
      <c r="B1196" s="226">
        <v>532700</v>
      </c>
      <c r="C1196" s="226" t="s">
        <v>2272</v>
      </c>
      <c r="D1196" s="226" t="s">
        <v>1222</v>
      </c>
    </row>
    <row r="1197" spans="1:4">
      <c r="A1197" s="226" t="s">
        <v>2273</v>
      </c>
      <c r="B1197" s="226">
        <v>532700</v>
      </c>
      <c r="C1197" s="226" t="s">
        <v>2272</v>
      </c>
      <c r="D1197" s="226" t="s">
        <v>1222</v>
      </c>
    </row>
    <row r="1198" spans="1:4">
      <c r="A1198" s="226" t="s">
        <v>2274</v>
      </c>
      <c r="B1198" s="226">
        <v>500246</v>
      </c>
      <c r="C1198" s="226" t="s">
        <v>486</v>
      </c>
      <c r="D1198" s="226" t="s">
        <v>494</v>
      </c>
    </row>
    <row r="1199" spans="1:4">
      <c r="A1199" s="226" t="s">
        <v>2275</v>
      </c>
      <c r="B1199" s="226">
        <v>532658</v>
      </c>
      <c r="C1199" s="226" t="s">
        <v>2276</v>
      </c>
      <c r="D1199" s="226" t="s">
        <v>783</v>
      </c>
    </row>
    <row r="1200" spans="1:4">
      <c r="A1200" s="226" t="s">
        <v>2277</v>
      </c>
      <c r="B1200" s="226">
        <v>523754</v>
      </c>
      <c r="C1200" s="226" t="s">
        <v>486</v>
      </c>
      <c r="D1200" s="226" t="s">
        <v>605</v>
      </c>
    </row>
    <row r="1201" spans="1:4">
      <c r="A1201" s="226" t="s">
        <v>2278</v>
      </c>
      <c r="B1201" s="226">
        <v>530407</v>
      </c>
      <c r="C1201" s="226" t="s">
        <v>486</v>
      </c>
      <c r="D1201" s="226" t="s">
        <v>503</v>
      </c>
    </row>
    <row r="1202" spans="1:4">
      <c r="A1202" s="226" t="s">
        <v>2279</v>
      </c>
      <c r="B1202" s="226">
        <v>531155</v>
      </c>
      <c r="C1202" s="226" t="s">
        <v>486</v>
      </c>
      <c r="D1202" s="226" t="s">
        <v>524</v>
      </c>
    </row>
    <row r="1203" spans="1:4">
      <c r="A1203" s="226" t="s">
        <v>2280</v>
      </c>
      <c r="B1203" s="226">
        <v>539844</v>
      </c>
      <c r="C1203" s="226" t="s">
        <v>2281</v>
      </c>
      <c r="D1203" s="226" t="s">
        <v>651</v>
      </c>
    </row>
    <row r="1204" spans="1:4">
      <c r="A1204" s="226" t="s">
        <v>2282</v>
      </c>
      <c r="B1204" s="226">
        <v>540596</v>
      </c>
      <c r="C1204" s="226" t="s">
        <v>2283</v>
      </c>
      <c r="D1204" s="226" t="s">
        <v>524</v>
      </c>
    </row>
    <row r="1205" spans="1:4">
      <c r="A1205" s="226" t="s">
        <v>2284</v>
      </c>
      <c r="B1205" s="226">
        <v>533261</v>
      </c>
      <c r="C1205" s="226" t="s">
        <v>2285</v>
      </c>
      <c r="D1205" s="226" t="s">
        <v>489</v>
      </c>
    </row>
    <row r="1206" spans="1:4">
      <c r="A1206" s="226" t="s">
        <v>2286</v>
      </c>
      <c r="B1206" s="226">
        <v>530909</v>
      </c>
      <c r="C1206" s="226" t="s">
        <v>486</v>
      </c>
      <c r="D1206" s="226" t="s">
        <v>906</v>
      </c>
    </row>
    <row r="1207" spans="1:4">
      <c r="A1207" s="226" t="s">
        <v>2287</v>
      </c>
      <c r="B1207" s="226">
        <v>531502</v>
      </c>
      <c r="C1207" s="226" t="s">
        <v>486</v>
      </c>
      <c r="D1207" s="226" t="s">
        <v>906</v>
      </c>
    </row>
    <row r="1208" spans="1:4">
      <c r="A1208" s="226" t="s">
        <v>2288</v>
      </c>
      <c r="B1208" s="226">
        <v>531502</v>
      </c>
      <c r="C1208" s="226" t="s">
        <v>486</v>
      </c>
      <c r="D1208" s="226" t="s">
        <v>906</v>
      </c>
    </row>
    <row r="1209" spans="1:4">
      <c r="A1209" s="226" t="s">
        <v>2289</v>
      </c>
      <c r="B1209" s="226">
        <v>500133</v>
      </c>
      <c r="C1209" s="226" t="s">
        <v>2290</v>
      </c>
      <c r="D1209" s="226" t="s">
        <v>670</v>
      </c>
    </row>
    <row r="1210" spans="1:4">
      <c r="A1210" s="226" t="s">
        <v>2291</v>
      </c>
      <c r="B1210" s="226">
        <v>500133</v>
      </c>
      <c r="C1210" s="226" t="s">
        <v>2292</v>
      </c>
      <c r="D1210" s="226" t="s">
        <v>670</v>
      </c>
    </row>
    <row r="1211" spans="1:4">
      <c r="A1211" s="226" t="s">
        <v>2293</v>
      </c>
      <c r="B1211" s="226">
        <v>540455</v>
      </c>
      <c r="C1211" s="226" t="s">
        <v>486</v>
      </c>
      <c r="D1211" s="226" t="s">
        <v>470</v>
      </c>
    </row>
    <row r="1212" spans="1:4">
      <c r="A1212" s="226" t="s">
        <v>2294</v>
      </c>
      <c r="B1212" s="226">
        <v>511716</v>
      </c>
      <c r="C1212" s="226" t="s">
        <v>486</v>
      </c>
      <c r="D1212" s="226" t="s">
        <v>503</v>
      </c>
    </row>
    <row r="1213" spans="1:4">
      <c r="A1213" s="226" t="s">
        <v>2295</v>
      </c>
      <c r="B1213" s="226">
        <v>500495</v>
      </c>
      <c r="C1213" s="226" t="s">
        <v>2296</v>
      </c>
      <c r="D1213" s="226" t="s">
        <v>564</v>
      </c>
    </row>
    <row r="1214" spans="1:4">
      <c r="A1214" s="226" t="s">
        <v>2297</v>
      </c>
      <c r="B1214" s="226">
        <v>531259</v>
      </c>
      <c r="C1214" s="226" t="s">
        <v>486</v>
      </c>
      <c r="D1214" s="226" t="s">
        <v>2086</v>
      </c>
    </row>
    <row r="1215" spans="1:4">
      <c r="A1215" s="226" t="s">
        <v>2298</v>
      </c>
      <c r="B1215" s="226">
        <v>514118</v>
      </c>
      <c r="C1215" s="226" t="s">
        <v>486</v>
      </c>
      <c r="D1215" s="226" t="s">
        <v>501</v>
      </c>
    </row>
    <row r="1216" spans="1:4">
      <c r="A1216" s="226" t="s">
        <v>2299</v>
      </c>
      <c r="B1216" s="226">
        <v>514118</v>
      </c>
      <c r="C1216" s="226" t="s">
        <v>486</v>
      </c>
      <c r="D1216" s="226" t="s">
        <v>501</v>
      </c>
    </row>
    <row r="1217" spans="1:4">
      <c r="A1217" s="226" t="s">
        <v>2300</v>
      </c>
      <c r="B1217" s="226">
        <v>532787</v>
      </c>
      <c r="C1217" s="226" t="s">
        <v>2301</v>
      </c>
      <c r="D1217" s="226" t="s">
        <v>368</v>
      </c>
    </row>
    <row r="1218" spans="1:4">
      <c r="A1218" s="226" t="s">
        <v>2302</v>
      </c>
      <c r="B1218" s="226">
        <v>533149</v>
      </c>
      <c r="C1218" s="226" t="s">
        <v>486</v>
      </c>
      <c r="D1218" s="226" t="s">
        <v>470</v>
      </c>
    </row>
    <row r="1219" spans="1:4">
      <c r="A1219" s="226" t="s">
        <v>2303</v>
      </c>
      <c r="B1219" s="226">
        <v>533704</v>
      </c>
      <c r="C1219" s="226" t="s">
        <v>2304</v>
      </c>
      <c r="D1219" s="226" t="s">
        <v>1731</v>
      </c>
    </row>
    <row r="1220" spans="1:4">
      <c r="A1220" s="226" t="s">
        <v>2305</v>
      </c>
      <c r="B1220" s="226">
        <v>500135</v>
      </c>
      <c r="C1220" s="226" t="s">
        <v>2306</v>
      </c>
      <c r="D1220" s="226" t="s">
        <v>680</v>
      </c>
    </row>
    <row r="1221" spans="1:4">
      <c r="A1221" s="226" t="s">
        <v>2307</v>
      </c>
      <c r="B1221" s="226">
        <v>534927</v>
      </c>
      <c r="C1221" s="226" t="s">
        <v>486</v>
      </c>
      <c r="D1221" s="226" t="s">
        <v>683</v>
      </c>
    </row>
    <row r="1222" spans="1:4">
      <c r="A1222" s="226" t="s">
        <v>2308</v>
      </c>
      <c r="B1222" s="226">
        <v>500136</v>
      </c>
      <c r="C1222" s="226" t="s">
        <v>2309</v>
      </c>
      <c r="D1222" s="226" t="s">
        <v>534</v>
      </c>
    </row>
    <row r="1223" spans="1:4">
      <c r="A1223" s="226" t="s">
        <v>2310</v>
      </c>
      <c r="B1223" s="226">
        <v>537707</v>
      </c>
      <c r="C1223" s="226" t="s">
        <v>486</v>
      </c>
      <c r="D1223" s="226" t="s">
        <v>572</v>
      </c>
    </row>
    <row r="1224" spans="1:4">
      <c r="A1224" s="226" t="s">
        <v>2311</v>
      </c>
      <c r="B1224" s="226">
        <v>521137</v>
      </c>
      <c r="C1224" s="226" t="s">
        <v>486</v>
      </c>
      <c r="D1224" s="226" t="s">
        <v>501</v>
      </c>
    </row>
    <row r="1225" spans="1:4">
      <c r="A1225" s="226" t="s">
        <v>2312</v>
      </c>
      <c r="B1225" s="226">
        <v>530929</v>
      </c>
      <c r="C1225" s="226" t="s">
        <v>486</v>
      </c>
      <c r="D1225" s="226" t="s">
        <v>508</v>
      </c>
    </row>
    <row r="1226" spans="1:4">
      <c r="A1226" s="226" t="s">
        <v>2313</v>
      </c>
      <c r="B1226" s="226">
        <v>532823</v>
      </c>
      <c r="C1226" s="226" t="s">
        <v>2314</v>
      </c>
      <c r="D1226" s="226" t="s">
        <v>762</v>
      </c>
    </row>
    <row r="1227" spans="1:4">
      <c r="A1227" s="226" t="s">
        <v>2315</v>
      </c>
      <c r="B1227" s="226" t="s">
        <v>486</v>
      </c>
      <c r="C1227" s="226" t="s">
        <v>2316</v>
      </c>
      <c r="D1227" s="226" t="s">
        <v>497</v>
      </c>
    </row>
    <row r="1228" spans="1:4">
      <c r="A1228" s="226" t="s">
        <v>2317</v>
      </c>
      <c r="B1228" s="226">
        <v>533109</v>
      </c>
      <c r="C1228" s="226" t="s">
        <v>2318</v>
      </c>
      <c r="D1228" s="226" t="s">
        <v>583</v>
      </c>
    </row>
    <row r="1229" spans="1:4">
      <c r="A1229" s="226" t="s">
        <v>2319</v>
      </c>
      <c r="B1229" s="226">
        <v>521014</v>
      </c>
      <c r="C1229" s="226" t="s">
        <v>486</v>
      </c>
      <c r="D1229" s="226" t="s">
        <v>501</v>
      </c>
    </row>
    <row r="1230" spans="1:4">
      <c r="A1230" s="226" t="s">
        <v>2320</v>
      </c>
      <c r="B1230" s="226" t="s">
        <v>486</v>
      </c>
      <c r="C1230" s="226" t="s">
        <v>2321</v>
      </c>
      <c r="D1230" s="226" t="s">
        <v>501</v>
      </c>
    </row>
    <row r="1231" spans="1:4">
      <c r="A1231" s="226" t="s">
        <v>2322</v>
      </c>
      <c r="B1231" s="226">
        <v>542668</v>
      </c>
      <c r="C1231" s="226" t="s">
        <v>2323</v>
      </c>
      <c r="D1231" s="226" t="s">
        <v>906</v>
      </c>
    </row>
    <row r="1232" spans="1:4">
      <c r="A1232" s="226" t="s">
        <v>2324</v>
      </c>
      <c r="B1232" s="226">
        <v>531508</v>
      </c>
      <c r="C1232" s="226" t="s">
        <v>2325</v>
      </c>
      <c r="D1232" s="226" t="s">
        <v>1031</v>
      </c>
    </row>
    <row r="1233" spans="1:4">
      <c r="A1233" s="226" t="s">
        <v>2326</v>
      </c>
      <c r="B1233" s="226">
        <v>531508</v>
      </c>
      <c r="C1233" s="226" t="s">
        <v>2325</v>
      </c>
      <c r="D1233" s="226" t="s">
        <v>1031</v>
      </c>
    </row>
    <row r="1234" spans="1:4">
      <c r="A1234" s="226" t="s">
        <v>2327</v>
      </c>
      <c r="B1234" s="226">
        <v>508906</v>
      </c>
      <c r="C1234" s="226" t="s">
        <v>2328</v>
      </c>
      <c r="D1234" s="226" t="s">
        <v>499</v>
      </c>
    </row>
    <row r="1235" spans="1:4">
      <c r="A1235" s="226" t="s">
        <v>2329</v>
      </c>
      <c r="B1235" s="226">
        <v>532684</v>
      </c>
      <c r="C1235" s="226" t="s">
        <v>2330</v>
      </c>
      <c r="D1235" s="226" t="s">
        <v>1403</v>
      </c>
    </row>
    <row r="1236" spans="1:4">
      <c r="A1236" s="226" t="s">
        <v>2331</v>
      </c>
      <c r="B1236" s="226">
        <v>524790</v>
      </c>
      <c r="C1236" s="226" t="s">
        <v>486</v>
      </c>
      <c r="D1236" s="226" t="s">
        <v>524</v>
      </c>
    </row>
    <row r="1237" spans="1:4">
      <c r="A1237" s="226" t="s">
        <v>2332</v>
      </c>
      <c r="B1237" s="226">
        <v>514060</v>
      </c>
      <c r="C1237" s="226" t="s">
        <v>486</v>
      </c>
      <c r="D1237" s="226" t="s">
        <v>501</v>
      </c>
    </row>
    <row r="1238" spans="1:4">
      <c r="A1238" s="226" t="s">
        <v>2333</v>
      </c>
      <c r="B1238" s="226">
        <v>514358</v>
      </c>
      <c r="C1238" s="226" t="s">
        <v>486</v>
      </c>
      <c r="D1238" s="226" t="s">
        <v>501</v>
      </c>
    </row>
    <row r="1239" spans="1:4">
      <c r="A1239" s="226" t="s">
        <v>2334</v>
      </c>
      <c r="B1239" s="226">
        <v>532511</v>
      </c>
      <c r="C1239" s="226" t="s">
        <v>2335</v>
      </c>
      <c r="D1239" s="226" t="s">
        <v>629</v>
      </c>
    </row>
    <row r="1240" spans="1:4">
      <c r="A1240" s="226" t="s">
        <v>2336</v>
      </c>
      <c r="B1240" s="226">
        <v>500650</v>
      </c>
      <c r="C1240" s="226" t="s">
        <v>2337</v>
      </c>
      <c r="D1240" s="226" t="s">
        <v>645</v>
      </c>
    </row>
    <row r="1241" spans="1:4">
      <c r="A1241" s="226" t="s">
        <v>2338</v>
      </c>
      <c r="B1241" s="226">
        <v>533090</v>
      </c>
      <c r="C1241" s="226" t="s">
        <v>2339</v>
      </c>
      <c r="D1241" s="226" t="s">
        <v>815</v>
      </c>
    </row>
    <row r="1242" spans="1:4">
      <c r="A1242" s="226" t="s">
        <v>2340</v>
      </c>
      <c r="B1242" s="226">
        <v>500086</v>
      </c>
      <c r="C1242" s="226" t="s">
        <v>2341</v>
      </c>
      <c r="D1242" s="226" t="s">
        <v>840</v>
      </c>
    </row>
    <row r="1243" spans="1:4">
      <c r="A1243" s="226" t="s">
        <v>2342</v>
      </c>
      <c r="B1243" s="226" t="s">
        <v>486</v>
      </c>
      <c r="C1243" s="226" t="s">
        <v>2343</v>
      </c>
      <c r="D1243" s="226" t="s">
        <v>840</v>
      </c>
    </row>
    <row r="1244" spans="1:4">
      <c r="A1244" s="226" t="s">
        <v>2344</v>
      </c>
      <c r="B1244" s="226">
        <v>530571</v>
      </c>
      <c r="C1244" s="226" t="s">
        <v>486</v>
      </c>
      <c r="D1244" s="226" t="s">
        <v>906</v>
      </c>
    </row>
    <row r="1245" spans="1:4">
      <c r="A1245" s="226" t="s">
        <v>2345</v>
      </c>
      <c r="B1245" s="226">
        <v>526614</v>
      </c>
      <c r="C1245" s="226" t="s">
        <v>486</v>
      </c>
      <c r="D1245" s="226" t="s">
        <v>1403</v>
      </c>
    </row>
    <row r="1246" spans="1:4">
      <c r="A1246" s="226" t="s">
        <v>2346</v>
      </c>
      <c r="B1246" s="226">
        <v>539552</v>
      </c>
      <c r="C1246" s="226" t="s">
        <v>486</v>
      </c>
      <c r="D1246" s="226" t="s">
        <v>503</v>
      </c>
    </row>
    <row r="1247" spans="1:4">
      <c r="A1247" s="226" t="s">
        <v>2347</v>
      </c>
      <c r="B1247" s="226">
        <v>532656</v>
      </c>
      <c r="C1247" s="226" t="s">
        <v>486</v>
      </c>
      <c r="D1247" s="226" t="s">
        <v>518</v>
      </c>
    </row>
    <row r="1248" spans="1:4">
      <c r="A1248" s="226" t="s">
        <v>2348</v>
      </c>
      <c r="B1248" s="226">
        <v>514474</v>
      </c>
      <c r="C1248" s="226" t="s">
        <v>486</v>
      </c>
      <c r="D1248" s="226" t="s">
        <v>501</v>
      </c>
    </row>
    <row r="1249" spans="1:4">
      <c r="A1249" s="226" t="s">
        <v>2349</v>
      </c>
      <c r="B1249" s="226">
        <v>530117</v>
      </c>
      <c r="C1249" s="226" t="s">
        <v>2350</v>
      </c>
      <c r="D1249" s="226" t="s">
        <v>645</v>
      </c>
    </row>
    <row r="1250" spans="1:4">
      <c r="A1250" s="226" t="s">
        <v>2351</v>
      </c>
      <c r="B1250" s="226">
        <v>530079</v>
      </c>
      <c r="C1250" s="226" t="s">
        <v>486</v>
      </c>
      <c r="D1250" s="226" t="s">
        <v>501</v>
      </c>
    </row>
    <row r="1251" spans="1:4">
      <c r="A1251" s="226" t="s">
        <v>2352</v>
      </c>
      <c r="B1251" s="226">
        <v>532666</v>
      </c>
      <c r="C1251" s="226" t="s">
        <v>2353</v>
      </c>
      <c r="D1251" s="226" t="s">
        <v>473</v>
      </c>
    </row>
    <row r="1252" spans="1:4">
      <c r="A1252" s="226" t="s">
        <v>2354</v>
      </c>
      <c r="B1252" s="226">
        <v>531599</v>
      </c>
      <c r="C1252" s="226" t="s">
        <v>2355</v>
      </c>
      <c r="D1252" s="226" t="s">
        <v>524</v>
      </c>
    </row>
    <row r="1253" spans="1:4">
      <c r="A1253" s="226" t="s">
        <v>2356</v>
      </c>
      <c r="B1253" s="226">
        <v>505744</v>
      </c>
      <c r="C1253" s="226" t="s">
        <v>2357</v>
      </c>
      <c r="D1253" s="226" t="s">
        <v>840</v>
      </c>
    </row>
    <row r="1254" spans="1:4">
      <c r="A1254" s="226" t="s">
        <v>2358</v>
      </c>
      <c r="B1254" s="226">
        <v>505744</v>
      </c>
      <c r="C1254" s="226" t="s">
        <v>2357</v>
      </c>
      <c r="D1254" s="226" t="s">
        <v>840</v>
      </c>
    </row>
    <row r="1255" spans="1:4">
      <c r="A1255" s="226" t="s">
        <v>2359</v>
      </c>
      <c r="B1255" s="226" t="s">
        <v>486</v>
      </c>
      <c r="C1255" s="226" t="s">
        <v>2360</v>
      </c>
      <c r="D1255" s="226" t="s">
        <v>497</v>
      </c>
    </row>
    <row r="1256" spans="1:4">
      <c r="A1256" s="226" t="s">
        <v>2361</v>
      </c>
      <c r="B1256" s="226">
        <v>526689</v>
      </c>
      <c r="C1256" s="226" t="s">
        <v>486</v>
      </c>
      <c r="D1256" s="226" t="s">
        <v>605</v>
      </c>
    </row>
    <row r="1257" spans="1:4">
      <c r="A1257" s="226" t="s">
        <v>2362</v>
      </c>
      <c r="B1257" s="226">
        <v>500141</v>
      </c>
      <c r="C1257" s="226" t="s">
        <v>486</v>
      </c>
      <c r="D1257" s="226" t="s">
        <v>518</v>
      </c>
    </row>
    <row r="1258" spans="1:4">
      <c r="A1258" s="226" t="s">
        <v>2363</v>
      </c>
      <c r="B1258" s="226">
        <v>590024</v>
      </c>
      <c r="C1258" s="226" t="s">
        <v>2364</v>
      </c>
      <c r="D1258" s="226" t="s">
        <v>993</v>
      </c>
    </row>
    <row r="1259" spans="1:4">
      <c r="A1259" s="226" t="s">
        <v>2365</v>
      </c>
      <c r="B1259" s="226">
        <v>533896</v>
      </c>
      <c r="C1259" s="226" t="s">
        <v>486</v>
      </c>
      <c r="D1259" s="226" t="s">
        <v>524</v>
      </c>
    </row>
    <row r="1260" spans="1:4">
      <c r="A1260" s="226" t="s">
        <v>2366</v>
      </c>
      <c r="B1260" s="226">
        <v>500142</v>
      </c>
      <c r="C1260" s="226" t="s">
        <v>486</v>
      </c>
      <c r="D1260" s="226" t="s">
        <v>503</v>
      </c>
    </row>
    <row r="1261" spans="1:4">
      <c r="A1261" s="226" t="s">
        <v>2367</v>
      </c>
      <c r="B1261" s="226">
        <v>507910</v>
      </c>
      <c r="C1261" s="226" t="s">
        <v>486</v>
      </c>
      <c r="D1261" s="226" t="s">
        <v>605</v>
      </c>
    </row>
    <row r="1262" spans="1:4">
      <c r="A1262" s="226" t="s">
        <v>2368</v>
      </c>
      <c r="B1262" s="226">
        <v>507910</v>
      </c>
      <c r="C1262" s="226" t="s">
        <v>486</v>
      </c>
      <c r="D1262" s="226" t="s">
        <v>605</v>
      </c>
    </row>
    <row r="1263" spans="1:4">
      <c r="A1263" s="226" t="s">
        <v>2369</v>
      </c>
      <c r="B1263" s="226">
        <v>532768</v>
      </c>
      <c r="C1263" s="226" t="s">
        <v>2370</v>
      </c>
      <c r="D1263" s="226" t="s">
        <v>840</v>
      </c>
    </row>
    <row r="1264" spans="1:4">
      <c r="A1264" s="226" t="s">
        <v>2371</v>
      </c>
      <c r="B1264" s="226">
        <v>526227</v>
      </c>
      <c r="C1264" s="226" t="s">
        <v>2372</v>
      </c>
      <c r="D1264" s="226" t="s">
        <v>501</v>
      </c>
    </row>
    <row r="1265" spans="1:4">
      <c r="A1265" s="226" t="s">
        <v>2373</v>
      </c>
      <c r="B1265" s="226">
        <v>532022</v>
      </c>
      <c r="C1265" s="226" t="s">
        <v>486</v>
      </c>
      <c r="D1265" s="226" t="s">
        <v>501</v>
      </c>
    </row>
    <row r="1266" spans="1:4">
      <c r="A1266" s="226" t="s">
        <v>2374</v>
      </c>
      <c r="B1266" s="226">
        <v>526227</v>
      </c>
      <c r="C1266" s="226" t="s">
        <v>2372</v>
      </c>
      <c r="D1266" s="226" t="s">
        <v>501</v>
      </c>
    </row>
    <row r="1267" spans="1:4">
      <c r="A1267" s="226" t="s">
        <v>2375</v>
      </c>
      <c r="B1267" s="226">
        <v>539098</v>
      </c>
      <c r="C1267" s="226" t="s">
        <v>486</v>
      </c>
      <c r="D1267" s="226" t="s">
        <v>511</v>
      </c>
    </row>
    <row r="1268" spans="1:4">
      <c r="A1268" s="226" t="s">
        <v>2376</v>
      </c>
      <c r="B1268" s="226">
        <v>541557</v>
      </c>
      <c r="C1268" s="226" t="s">
        <v>2377</v>
      </c>
      <c r="D1268" s="226" t="s">
        <v>645</v>
      </c>
    </row>
    <row r="1269" spans="1:4">
      <c r="A1269" s="226" t="s">
        <v>2378</v>
      </c>
      <c r="B1269" s="226">
        <v>517264</v>
      </c>
      <c r="C1269" s="226" t="s">
        <v>2379</v>
      </c>
      <c r="D1269" s="226" t="s">
        <v>1027</v>
      </c>
    </row>
    <row r="1270" spans="1:4">
      <c r="A1270" s="226" t="s">
        <v>2380</v>
      </c>
      <c r="B1270" s="226">
        <v>533333</v>
      </c>
      <c r="C1270" s="226" t="s">
        <v>2381</v>
      </c>
      <c r="D1270" s="226" t="s">
        <v>645</v>
      </c>
    </row>
    <row r="1271" spans="1:4">
      <c r="A1271" s="226" t="s">
        <v>2382</v>
      </c>
      <c r="B1271" s="226">
        <v>508954</v>
      </c>
      <c r="C1271" s="226" t="s">
        <v>486</v>
      </c>
      <c r="D1271" s="226" t="s">
        <v>503</v>
      </c>
    </row>
    <row r="1272" spans="1:4">
      <c r="A1272" s="226" t="s">
        <v>2383</v>
      </c>
      <c r="B1272" s="226">
        <v>500144</v>
      </c>
      <c r="C1272" s="226" t="s">
        <v>2384</v>
      </c>
      <c r="D1272" s="226" t="s">
        <v>783</v>
      </c>
    </row>
    <row r="1273" spans="1:4">
      <c r="A1273" s="226" t="s">
        <v>2385</v>
      </c>
      <c r="B1273" s="226">
        <v>500940</v>
      </c>
      <c r="C1273" s="226" t="s">
        <v>2386</v>
      </c>
      <c r="D1273" s="226" t="s">
        <v>605</v>
      </c>
    </row>
    <row r="1274" spans="1:4">
      <c r="A1274" s="226" t="s">
        <v>2387</v>
      </c>
      <c r="B1274" s="226">
        <v>511122</v>
      </c>
      <c r="C1274" s="226" t="s">
        <v>486</v>
      </c>
      <c r="D1274" s="226" t="s">
        <v>503</v>
      </c>
    </row>
    <row r="1275" spans="1:4">
      <c r="A1275" s="226" t="s">
        <v>2388</v>
      </c>
      <c r="B1275" s="226">
        <v>511122</v>
      </c>
      <c r="C1275" s="226" t="s">
        <v>486</v>
      </c>
      <c r="D1275" s="226" t="s">
        <v>503</v>
      </c>
    </row>
    <row r="1276" spans="1:4">
      <c r="A1276" s="226" t="s">
        <v>2389</v>
      </c>
      <c r="B1276" s="226">
        <v>532379</v>
      </c>
      <c r="C1276" s="226" t="s">
        <v>486</v>
      </c>
      <c r="D1276" s="226" t="s">
        <v>579</v>
      </c>
    </row>
    <row r="1277" spans="1:4">
      <c r="A1277" s="226" t="s">
        <v>2390</v>
      </c>
      <c r="B1277" s="226">
        <v>532809</v>
      </c>
      <c r="C1277" s="226" t="s">
        <v>2391</v>
      </c>
      <c r="D1277" s="226" t="s">
        <v>815</v>
      </c>
    </row>
    <row r="1278" spans="1:4">
      <c r="A1278" s="226" t="s">
        <v>2392</v>
      </c>
      <c r="B1278" s="226">
        <v>524743</v>
      </c>
      <c r="C1278" s="226" t="s">
        <v>486</v>
      </c>
      <c r="D1278" s="226" t="s">
        <v>534</v>
      </c>
    </row>
    <row r="1279" spans="1:4">
      <c r="A1279" s="226" t="s">
        <v>2393</v>
      </c>
      <c r="B1279" s="226" t="s">
        <v>486</v>
      </c>
      <c r="C1279" s="226" t="s">
        <v>2394</v>
      </c>
      <c r="D1279" s="226" t="s">
        <v>497</v>
      </c>
    </row>
    <row r="1280" spans="1:4">
      <c r="A1280" s="226" t="s">
        <v>2395</v>
      </c>
      <c r="B1280" s="226">
        <v>530885</v>
      </c>
      <c r="C1280" s="226" t="s">
        <v>486</v>
      </c>
      <c r="D1280" s="226" t="s">
        <v>473</v>
      </c>
    </row>
    <row r="1281" spans="1:4">
      <c r="A1281" s="226" t="s">
        <v>2396</v>
      </c>
      <c r="B1281" s="226">
        <v>536751</v>
      </c>
      <c r="C1281" s="226" t="s">
        <v>486</v>
      </c>
      <c r="D1281" s="226" t="s">
        <v>470</v>
      </c>
    </row>
    <row r="1282" spans="1:4">
      <c r="A1282" s="226" t="s">
        <v>2397</v>
      </c>
      <c r="B1282" s="226">
        <v>523672</v>
      </c>
      <c r="C1282" s="226" t="s">
        <v>486</v>
      </c>
      <c r="D1282" s="226" t="s">
        <v>683</v>
      </c>
    </row>
    <row r="1283" spans="1:4">
      <c r="A1283" s="226" t="s">
        <v>2398</v>
      </c>
      <c r="B1283" s="226">
        <v>533638</v>
      </c>
      <c r="C1283" s="226" t="s">
        <v>2399</v>
      </c>
      <c r="D1283" s="226" t="s">
        <v>605</v>
      </c>
    </row>
    <row r="1284" spans="1:4">
      <c r="A1284" s="226" t="s">
        <v>2400</v>
      </c>
      <c r="B1284" s="226">
        <v>540267</v>
      </c>
      <c r="C1284" s="226" t="s">
        <v>486</v>
      </c>
      <c r="D1284" s="226" t="s">
        <v>508</v>
      </c>
    </row>
    <row r="1285" spans="1:4">
      <c r="A1285" s="226" t="s">
        <v>2401</v>
      </c>
      <c r="B1285" s="226">
        <v>530705</v>
      </c>
      <c r="C1285" s="226" t="s">
        <v>486</v>
      </c>
      <c r="D1285" s="226" t="s">
        <v>501</v>
      </c>
    </row>
    <row r="1286" spans="1:4">
      <c r="A1286" s="226" t="s">
        <v>2402</v>
      </c>
      <c r="B1286" s="226">
        <v>532518</v>
      </c>
      <c r="C1286" s="226" t="s">
        <v>486</v>
      </c>
      <c r="D1286" s="226" t="s">
        <v>506</v>
      </c>
    </row>
    <row r="1287" spans="1:4">
      <c r="A1287" s="226" t="s">
        <v>2403</v>
      </c>
      <c r="B1287" s="226">
        <v>522017</v>
      </c>
      <c r="C1287" s="226" t="s">
        <v>486</v>
      </c>
      <c r="D1287" s="226" t="s">
        <v>783</v>
      </c>
    </row>
    <row r="1288" spans="1:4">
      <c r="A1288" s="226" t="s">
        <v>2404</v>
      </c>
      <c r="B1288" s="226">
        <v>534757</v>
      </c>
      <c r="C1288" s="226" t="s">
        <v>486</v>
      </c>
      <c r="D1288" s="226" t="s">
        <v>503</v>
      </c>
    </row>
    <row r="1289" spans="1:4">
      <c r="A1289" s="226" t="s">
        <v>2405</v>
      </c>
      <c r="B1289" s="226" t="s">
        <v>486</v>
      </c>
      <c r="C1289" s="226" t="s">
        <v>2406</v>
      </c>
      <c r="D1289" s="226" t="s">
        <v>497</v>
      </c>
    </row>
    <row r="1290" spans="1:4">
      <c r="A1290" s="226" t="s">
        <v>2407</v>
      </c>
      <c r="B1290" s="226">
        <v>540945</v>
      </c>
      <c r="C1290" s="226" t="s">
        <v>486</v>
      </c>
      <c r="D1290" s="226" t="s">
        <v>570</v>
      </c>
    </row>
    <row r="1291" spans="1:4">
      <c r="A1291" s="226" t="s">
        <v>2408</v>
      </c>
      <c r="B1291" s="226">
        <v>503831</v>
      </c>
      <c r="C1291" s="226" t="s">
        <v>486</v>
      </c>
      <c r="D1291" s="226" t="s">
        <v>686</v>
      </c>
    </row>
    <row r="1292" spans="1:4">
      <c r="A1292" s="226" t="s">
        <v>2409</v>
      </c>
      <c r="B1292" s="226">
        <v>507552</v>
      </c>
      <c r="C1292" s="226" t="s">
        <v>486</v>
      </c>
      <c r="D1292" s="226" t="s">
        <v>566</v>
      </c>
    </row>
    <row r="1293" spans="1:4">
      <c r="A1293" s="226" t="s">
        <v>2410</v>
      </c>
      <c r="B1293" s="226">
        <v>502865</v>
      </c>
      <c r="C1293" s="226" t="s">
        <v>486</v>
      </c>
      <c r="D1293" s="226" t="s">
        <v>494</v>
      </c>
    </row>
    <row r="1294" spans="1:4">
      <c r="A1294" s="226" t="s">
        <v>2411</v>
      </c>
      <c r="B1294" s="226">
        <v>500033</v>
      </c>
      <c r="C1294" s="226" t="s">
        <v>486</v>
      </c>
      <c r="D1294" s="226" t="s">
        <v>2412</v>
      </c>
    </row>
    <row r="1295" spans="1:4">
      <c r="A1295" s="226" t="s">
        <v>2413</v>
      </c>
      <c r="B1295" s="226">
        <v>532843</v>
      </c>
      <c r="C1295" s="226" t="s">
        <v>2414</v>
      </c>
      <c r="D1295" s="226" t="s">
        <v>955</v>
      </c>
    </row>
    <row r="1296" spans="1:4">
      <c r="A1296" s="226" t="s">
        <v>2415</v>
      </c>
      <c r="B1296" s="226">
        <v>523696</v>
      </c>
      <c r="C1296" s="226" t="s">
        <v>486</v>
      </c>
      <c r="D1296" s="226" t="s">
        <v>674</v>
      </c>
    </row>
    <row r="1297" spans="1:4">
      <c r="A1297" s="226" t="s">
        <v>2416</v>
      </c>
      <c r="B1297" s="226">
        <v>530213</v>
      </c>
      <c r="C1297" s="226" t="s">
        <v>486</v>
      </c>
      <c r="D1297" s="226" t="s">
        <v>508</v>
      </c>
    </row>
    <row r="1298" spans="1:4">
      <c r="A1298" s="226" t="s">
        <v>2417</v>
      </c>
      <c r="B1298" s="226">
        <v>500150</v>
      </c>
      <c r="C1298" s="226" t="s">
        <v>2418</v>
      </c>
      <c r="D1298" s="226" t="s">
        <v>534</v>
      </c>
    </row>
    <row r="1299" spans="1:4">
      <c r="A1299" s="226" t="s">
        <v>2419</v>
      </c>
      <c r="B1299" s="226">
        <v>500150</v>
      </c>
      <c r="C1299" s="226" t="s">
        <v>2418</v>
      </c>
      <c r="D1299" s="226" t="s">
        <v>534</v>
      </c>
    </row>
    <row r="1300" spans="1:4">
      <c r="A1300" s="226" t="s">
        <v>2420</v>
      </c>
      <c r="B1300" s="226">
        <v>513579</v>
      </c>
      <c r="C1300" s="226" t="s">
        <v>486</v>
      </c>
      <c r="D1300" s="226" t="s">
        <v>1163</v>
      </c>
    </row>
    <row r="1301" spans="1:4">
      <c r="A1301" s="226" t="s">
        <v>2421</v>
      </c>
      <c r="B1301" s="226" t="s">
        <v>486</v>
      </c>
      <c r="C1301" s="226" t="s">
        <v>2422</v>
      </c>
      <c r="D1301" s="226" t="s">
        <v>497</v>
      </c>
    </row>
    <row r="1302" spans="1:4">
      <c r="A1302" s="226" t="s">
        <v>2423</v>
      </c>
      <c r="B1302" s="226">
        <v>532403</v>
      </c>
      <c r="C1302" s="226" t="s">
        <v>486</v>
      </c>
      <c r="D1302" s="226" t="s">
        <v>579</v>
      </c>
    </row>
    <row r="1303" spans="1:4">
      <c r="A1303" s="226" t="s">
        <v>2424</v>
      </c>
      <c r="B1303" s="226">
        <v>540190</v>
      </c>
      <c r="C1303" s="226" t="s">
        <v>486</v>
      </c>
      <c r="D1303" s="226" t="s">
        <v>508</v>
      </c>
    </row>
    <row r="1304" spans="1:4">
      <c r="A1304" s="226" t="s">
        <v>2425</v>
      </c>
      <c r="B1304" s="226">
        <v>539839</v>
      </c>
      <c r="C1304" s="226" t="s">
        <v>486</v>
      </c>
      <c r="D1304" s="226" t="s">
        <v>503</v>
      </c>
    </row>
    <row r="1305" spans="1:4">
      <c r="A1305" s="226" t="s">
        <v>2426</v>
      </c>
      <c r="B1305" s="226">
        <v>539032</v>
      </c>
      <c r="C1305" s="226" t="s">
        <v>2427</v>
      </c>
      <c r="D1305" s="226" t="s">
        <v>851</v>
      </c>
    </row>
    <row r="1306" spans="1:4">
      <c r="A1306" s="226" t="s">
        <v>2428</v>
      </c>
      <c r="B1306" s="226">
        <v>539730</v>
      </c>
      <c r="C1306" s="226" t="s">
        <v>486</v>
      </c>
      <c r="D1306" s="226" t="s">
        <v>524</v>
      </c>
    </row>
    <row r="1307" spans="1:4">
      <c r="A1307" s="226" t="s">
        <v>2429</v>
      </c>
      <c r="B1307" s="226">
        <v>530077</v>
      </c>
      <c r="C1307" s="226" t="s">
        <v>486</v>
      </c>
      <c r="D1307" s="226" t="s">
        <v>683</v>
      </c>
    </row>
    <row r="1308" spans="1:4">
      <c r="A1308" s="226" t="s">
        <v>2430</v>
      </c>
      <c r="B1308" s="226">
        <v>508980</v>
      </c>
      <c r="C1308" s="226" t="s">
        <v>486</v>
      </c>
      <c r="D1308" s="226" t="s">
        <v>906</v>
      </c>
    </row>
    <row r="1309" spans="1:4">
      <c r="A1309" s="226" t="s">
        <v>2431</v>
      </c>
      <c r="B1309" s="226">
        <v>522195</v>
      </c>
      <c r="C1309" s="226" t="s">
        <v>486</v>
      </c>
      <c r="D1309" s="226" t="s">
        <v>840</v>
      </c>
    </row>
    <row r="1310" spans="1:4">
      <c r="A1310" s="226" t="s">
        <v>2432</v>
      </c>
      <c r="B1310" s="226">
        <v>521167</v>
      </c>
      <c r="C1310" s="226" t="s">
        <v>2433</v>
      </c>
      <c r="D1310" s="226" t="s">
        <v>1041</v>
      </c>
    </row>
    <row r="1311" spans="1:4">
      <c r="A1311" s="226" t="s">
        <v>2434</v>
      </c>
      <c r="B1311" s="226">
        <v>532042</v>
      </c>
      <c r="C1311" s="226" t="s">
        <v>486</v>
      </c>
      <c r="D1311" s="226" t="s">
        <v>558</v>
      </c>
    </row>
    <row r="1312" spans="1:4">
      <c r="A1312" s="226" t="s">
        <v>2435</v>
      </c>
      <c r="B1312" s="226">
        <v>533213</v>
      </c>
      <c r="C1312" s="226" t="s">
        <v>486</v>
      </c>
      <c r="D1312" s="226" t="s">
        <v>470</v>
      </c>
    </row>
    <row r="1313" spans="1:4">
      <c r="A1313" s="226" t="s">
        <v>2436</v>
      </c>
      <c r="B1313" s="226">
        <v>538568</v>
      </c>
      <c r="C1313" s="226" t="s">
        <v>486</v>
      </c>
      <c r="D1313" s="226" t="s">
        <v>508</v>
      </c>
    </row>
    <row r="1314" spans="1:4">
      <c r="A1314" s="226" t="s">
        <v>2437</v>
      </c>
      <c r="B1314" s="226">
        <v>539169</v>
      </c>
      <c r="C1314" s="226" t="s">
        <v>486</v>
      </c>
      <c r="D1314" s="226" t="s">
        <v>473</v>
      </c>
    </row>
    <row r="1315" spans="1:4">
      <c r="A1315" s="226" t="s">
        <v>2438</v>
      </c>
      <c r="B1315" s="226">
        <v>533400</v>
      </c>
      <c r="C1315" s="226" t="s">
        <v>2439</v>
      </c>
      <c r="D1315" s="226" t="s">
        <v>546</v>
      </c>
    </row>
    <row r="1316" spans="1:4">
      <c r="A1316" s="226" t="s">
        <v>2440</v>
      </c>
      <c r="B1316" s="226">
        <v>523574</v>
      </c>
      <c r="C1316" s="226" t="s">
        <v>2441</v>
      </c>
      <c r="D1316" s="226" t="s">
        <v>654</v>
      </c>
    </row>
    <row r="1317" spans="1:4">
      <c r="A1317" s="226" t="s">
        <v>2440</v>
      </c>
      <c r="B1317" s="226">
        <v>570002</v>
      </c>
      <c r="C1317" s="226" t="s">
        <v>2442</v>
      </c>
      <c r="D1317" s="226" t="s">
        <v>654</v>
      </c>
    </row>
    <row r="1318" spans="1:4">
      <c r="A1318" s="226" t="s">
        <v>2443</v>
      </c>
      <c r="B1318" s="226">
        <v>536507</v>
      </c>
      <c r="C1318" s="226" t="s">
        <v>2444</v>
      </c>
      <c r="D1318" s="226" t="s">
        <v>654</v>
      </c>
    </row>
    <row r="1319" spans="1:4">
      <c r="A1319" s="226" t="s">
        <v>2445</v>
      </c>
      <c r="B1319" s="226">
        <v>533296</v>
      </c>
      <c r="C1319" s="226" t="s">
        <v>2446</v>
      </c>
      <c r="D1319" s="226" t="s">
        <v>654</v>
      </c>
    </row>
    <row r="1320" spans="1:4">
      <c r="A1320" s="226" t="s">
        <v>2447</v>
      </c>
      <c r="B1320" s="226">
        <v>540064</v>
      </c>
      <c r="C1320" s="226" t="s">
        <v>2448</v>
      </c>
      <c r="D1320" s="226" t="s">
        <v>654</v>
      </c>
    </row>
    <row r="1321" spans="1:4">
      <c r="A1321" s="226" t="s">
        <v>2449</v>
      </c>
      <c r="B1321" s="226">
        <v>540798</v>
      </c>
      <c r="C1321" s="226" t="s">
        <v>2450</v>
      </c>
      <c r="D1321" s="226" t="s">
        <v>806</v>
      </c>
    </row>
    <row r="1322" spans="1:4">
      <c r="A1322" s="226" t="s">
        <v>2451</v>
      </c>
      <c r="B1322" s="226">
        <v>523113</v>
      </c>
      <c r="C1322" s="226" t="s">
        <v>486</v>
      </c>
      <c r="D1322" s="226" t="s">
        <v>503</v>
      </c>
    </row>
    <row r="1323" spans="1:4">
      <c r="A1323" s="226" t="s">
        <v>2452</v>
      </c>
      <c r="B1323" s="226">
        <v>534063</v>
      </c>
      <c r="C1323" s="226" t="s">
        <v>486</v>
      </c>
      <c r="D1323" s="226" t="s">
        <v>470</v>
      </c>
    </row>
    <row r="1324" spans="1:4">
      <c r="A1324" s="226" t="s">
        <v>2453</v>
      </c>
      <c r="B1324" s="226">
        <v>504346</v>
      </c>
      <c r="C1324" s="226" t="s">
        <v>486</v>
      </c>
      <c r="D1324" s="226" t="s">
        <v>470</v>
      </c>
    </row>
    <row r="1325" spans="1:4">
      <c r="A1325" s="226" t="s">
        <v>2454</v>
      </c>
      <c r="B1325" s="226">
        <v>505250</v>
      </c>
      <c r="C1325" s="226" t="s">
        <v>486</v>
      </c>
      <c r="D1325" s="226" t="s">
        <v>494</v>
      </c>
    </row>
    <row r="1326" spans="1:4">
      <c r="A1326" s="226" t="s">
        <v>2455</v>
      </c>
      <c r="B1326" s="226">
        <v>540614</v>
      </c>
      <c r="C1326" s="226" t="s">
        <v>486</v>
      </c>
      <c r="D1326" s="226" t="s">
        <v>529</v>
      </c>
    </row>
    <row r="1327" spans="1:4">
      <c r="A1327" s="226" t="s">
        <v>2456</v>
      </c>
      <c r="B1327" s="226">
        <v>531758</v>
      </c>
      <c r="C1327" s="226" t="s">
        <v>486</v>
      </c>
      <c r="D1327" s="226" t="s">
        <v>503</v>
      </c>
    </row>
    <row r="1328" spans="1:4">
      <c r="A1328" s="226" t="s">
        <v>2457</v>
      </c>
      <c r="B1328" s="226">
        <v>513059</v>
      </c>
      <c r="C1328" s="226" t="s">
        <v>486</v>
      </c>
      <c r="D1328" s="226" t="s">
        <v>840</v>
      </c>
    </row>
    <row r="1329" spans="1:4">
      <c r="A1329" s="226" t="s">
        <v>2458</v>
      </c>
      <c r="B1329" s="226">
        <v>542666</v>
      </c>
      <c r="C1329" s="226" t="s">
        <v>2459</v>
      </c>
      <c r="D1329" s="226" t="s">
        <v>2460</v>
      </c>
    </row>
    <row r="1330" spans="1:4">
      <c r="A1330" s="226" t="s">
        <v>2461</v>
      </c>
      <c r="B1330" s="226">
        <v>505714</v>
      </c>
      <c r="C1330" s="226" t="s">
        <v>2462</v>
      </c>
      <c r="D1330" s="226" t="s">
        <v>840</v>
      </c>
    </row>
    <row r="1331" spans="1:4">
      <c r="A1331" s="226" t="s">
        <v>2463</v>
      </c>
      <c r="B1331" s="226">
        <v>505714</v>
      </c>
      <c r="C1331" s="226" t="s">
        <v>2462</v>
      </c>
      <c r="D1331" s="226" t="s">
        <v>840</v>
      </c>
    </row>
    <row r="1332" spans="1:4">
      <c r="A1332" s="226" t="s">
        <v>2464</v>
      </c>
      <c r="B1332" s="226">
        <v>524624</v>
      </c>
      <c r="C1332" s="226" t="s">
        <v>2465</v>
      </c>
      <c r="D1332" s="226" t="s">
        <v>2466</v>
      </c>
    </row>
    <row r="1333" spans="1:4">
      <c r="A1333" s="226" t="s">
        <v>2467</v>
      </c>
      <c r="B1333" s="226">
        <v>531196</v>
      </c>
      <c r="C1333" s="226" t="s">
        <v>486</v>
      </c>
      <c r="D1333" s="226" t="s">
        <v>508</v>
      </c>
    </row>
    <row r="1334" spans="1:4">
      <c r="A1334" s="226" t="s">
        <v>2468</v>
      </c>
      <c r="B1334" s="226">
        <v>531196</v>
      </c>
      <c r="C1334" s="226" t="s">
        <v>486</v>
      </c>
      <c r="D1334" s="226" t="s">
        <v>508</v>
      </c>
    </row>
    <row r="1335" spans="1:4">
      <c r="A1335" s="226" t="s">
        <v>2469</v>
      </c>
      <c r="B1335" s="226">
        <v>532155</v>
      </c>
      <c r="C1335" s="226" t="s">
        <v>2470</v>
      </c>
      <c r="D1335" s="226" t="s">
        <v>511</v>
      </c>
    </row>
    <row r="1336" spans="1:4">
      <c r="A1336" s="226" t="s">
        <v>2471</v>
      </c>
      <c r="B1336" s="226">
        <v>532155</v>
      </c>
      <c r="C1336" s="226" t="s">
        <v>2470</v>
      </c>
      <c r="D1336" s="226" t="s">
        <v>511</v>
      </c>
    </row>
    <row r="1337" spans="1:4">
      <c r="A1337" s="226" t="s">
        <v>2472</v>
      </c>
      <c r="B1337" s="226">
        <v>538609</v>
      </c>
      <c r="C1337" s="226" t="s">
        <v>486</v>
      </c>
      <c r="D1337" s="226" t="s">
        <v>470</v>
      </c>
    </row>
    <row r="1338" spans="1:4">
      <c r="A1338" s="226" t="s">
        <v>2473</v>
      </c>
      <c r="B1338" s="226">
        <v>505711</v>
      </c>
      <c r="C1338" s="226" t="s">
        <v>486</v>
      </c>
      <c r="D1338" s="226" t="s">
        <v>840</v>
      </c>
    </row>
    <row r="1339" spans="1:4">
      <c r="A1339" s="226" t="s">
        <v>2474</v>
      </c>
      <c r="B1339" s="226">
        <v>539228</v>
      </c>
      <c r="C1339" s="226" t="s">
        <v>486</v>
      </c>
      <c r="D1339" s="226" t="s">
        <v>2475</v>
      </c>
    </row>
    <row r="1340" spans="1:4">
      <c r="A1340" s="226" t="s">
        <v>2476</v>
      </c>
      <c r="B1340" s="226">
        <v>538881</v>
      </c>
      <c r="C1340" s="226" t="s">
        <v>486</v>
      </c>
      <c r="D1340" s="226" t="s">
        <v>503</v>
      </c>
    </row>
    <row r="1341" spans="1:4">
      <c r="A1341" s="226" t="s">
        <v>2477</v>
      </c>
      <c r="B1341" s="226">
        <v>504697</v>
      </c>
      <c r="C1341" s="226" t="s">
        <v>486</v>
      </c>
      <c r="D1341" s="226" t="s">
        <v>783</v>
      </c>
    </row>
    <row r="1342" spans="1:4">
      <c r="A1342" s="226" t="s">
        <v>2478</v>
      </c>
      <c r="B1342" s="226">
        <v>531911</v>
      </c>
      <c r="C1342" s="226" t="s">
        <v>486</v>
      </c>
      <c r="D1342" s="226" t="s">
        <v>494</v>
      </c>
    </row>
    <row r="1343" spans="1:4">
      <c r="A1343" s="226" t="s">
        <v>2479</v>
      </c>
      <c r="B1343" s="226">
        <v>526073</v>
      </c>
      <c r="C1343" s="226" t="s">
        <v>486</v>
      </c>
      <c r="D1343" s="226" t="s">
        <v>670</v>
      </c>
    </row>
    <row r="1344" spans="1:4">
      <c r="A1344" s="226" t="s">
        <v>2480</v>
      </c>
      <c r="B1344" s="226">
        <v>506186</v>
      </c>
      <c r="C1344" s="226" t="s">
        <v>486</v>
      </c>
      <c r="D1344" s="226" t="s">
        <v>489</v>
      </c>
    </row>
    <row r="1345" spans="1:4">
      <c r="A1345" s="226" t="s">
        <v>2481</v>
      </c>
      <c r="B1345" s="226">
        <v>540935</v>
      </c>
      <c r="C1345" s="226" t="s">
        <v>2482</v>
      </c>
      <c r="D1345" s="226" t="s">
        <v>645</v>
      </c>
    </row>
    <row r="1346" spans="1:4">
      <c r="A1346" s="226" t="s">
        <v>2483</v>
      </c>
      <c r="B1346" s="226">
        <v>533265</v>
      </c>
      <c r="C1346" s="226" t="s">
        <v>2484</v>
      </c>
      <c r="D1346" s="226" t="s">
        <v>518</v>
      </c>
    </row>
    <row r="1347" spans="1:4">
      <c r="A1347" s="226" t="s">
        <v>2485</v>
      </c>
      <c r="B1347" s="226">
        <v>532726</v>
      </c>
      <c r="C1347" s="226" t="s">
        <v>2486</v>
      </c>
      <c r="D1347" s="226" t="s">
        <v>518</v>
      </c>
    </row>
    <row r="1348" spans="1:4">
      <c r="A1348" s="226" t="s">
        <v>2487</v>
      </c>
      <c r="B1348" s="226">
        <v>531902</v>
      </c>
      <c r="C1348" s="226" t="s">
        <v>2488</v>
      </c>
      <c r="D1348" s="226" t="s">
        <v>572</v>
      </c>
    </row>
    <row r="1349" spans="1:4">
      <c r="A1349" s="226" t="s">
        <v>2489</v>
      </c>
      <c r="B1349" s="226">
        <v>532959</v>
      </c>
      <c r="C1349" s="226" t="s">
        <v>2490</v>
      </c>
      <c r="D1349" s="226" t="s">
        <v>883</v>
      </c>
    </row>
    <row r="1350" spans="1:4">
      <c r="A1350" s="226" t="s">
        <v>2491</v>
      </c>
      <c r="B1350" s="226">
        <v>513108</v>
      </c>
      <c r="C1350" s="226" t="s">
        <v>2492</v>
      </c>
      <c r="D1350" s="226" t="s">
        <v>808</v>
      </c>
    </row>
    <row r="1351" spans="1:4">
      <c r="A1351" s="226" t="s">
        <v>2493</v>
      </c>
      <c r="B1351" s="226">
        <v>500153</v>
      </c>
      <c r="C1351" s="226" t="s">
        <v>486</v>
      </c>
      <c r="D1351" s="226" t="s">
        <v>534</v>
      </c>
    </row>
    <row r="1352" spans="1:4">
      <c r="A1352" s="226" t="s">
        <v>2494</v>
      </c>
      <c r="B1352" s="226">
        <v>541703</v>
      </c>
      <c r="C1352" s="226" t="s">
        <v>486</v>
      </c>
      <c r="D1352" s="226" t="s">
        <v>487</v>
      </c>
    </row>
    <row r="1353" spans="1:4">
      <c r="A1353" s="226" t="s">
        <v>2495</v>
      </c>
      <c r="B1353" s="226">
        <v>541703</v>
      </c>
      <c r="C1353" s="226" t="s">
        <v>486</v>
      </c>
      <c r="D1353" s="226" t="s">
        <v>487</v>
      </c>
    </row>
    <row r="1354" spans="1:4">
      <c r="A1354" s="226" t="s">
        <v>2496</v>
      </c>
      <c r="B1354" s="226">
        <v>504397</v>
      </c>
      <c r="C1354" s="226" t="s">
        <v>486</v>
      </c>
      <c r="D1354" s="226" t="s">
        <v>906</v>
      </c>
    </row>
    <row r="1355" spans="1:4">
      <c r="A1355" s="226" t="s">
        <v>2497</v>
      </c>
      <c r="B1355" s="226">
        <v>526367</v>
      </c>
      <c r="C1355" s="226" t="s">
        <v>2498</v>
      </c>
      <c r="D1355" s="226" t="s">
        <v>572</v>
      </c>
    </row>
    <row r="1356" spans="1:4">
      <c r="A1356" s="226" t="s">
        <v>2499</v>
      </c>
      <c r="B1356" s="226">
        <v>514167</v>
      </c>
      <c r="C1356" s="226" t="s">
        <v>2500</v>
      </c>
      <c r="D1356" s="226" t="s">
        <v>906</v>
      </c>
    </row>
    <row r="1357" spans="1:4">
      <c r="A1357" s="226" t="s">
        <v>2501</v>
      </c>
      <c r="B1357" s="226" t="s">
        <v>486</v>
      </c>
      <c r="C1357" s="226" t="s">
        <v>2502</v>
      </c>
      <c r="D1357" s="226" t="s">
        <v>497</v>
      </c>
    </row>
    <row r="1358" spans="1:4">
      <c r="A1358" s="226" t="s">
        <v>2503</v>
      </c>
      <c r="B1358" s="226">
        <v>531813</v>
      </c>
      <c r="C1358" s="226" t="s">
        <v>486</v>
      </c>
      <c r="D1358" s="226" t="s">
        <v>480</v>
      </c>
    </row>
    <row r="1359" spans="1:4">
      <c r="A1359" s="226" t="s">
        <v>2504</v>
      </c>
      <c r="B1359" s="226">
        <v>531813</v>
      </c>
      <c r="C1359" s="226" t="s">
        <v>486</v>
      </c>
      <c r="D1359" s="226" t="s">
        <v>480</v>
      </c>
    </row>
    <row r="1360" spans="1:4">
      <c r="A1360" s="226" t="s">
        <v>2505</v>
      </c>
      <c r="B1360" s="226">
        <v>539680</v>
      </c>
      <c r="C1360" s="226" t="s">
        <v>486</v>
      </c>
      <c r="D1360" s="226" t="s">
        <v>524</v>
      </c>
    </row>
    <row r="1361" spans="1:4">
      <c r="A1361" s="226" t="s">
        <v>2506</v>
      </c>
      <c r="B1361" s="226">
        <v>540647</v>
      </c>
      <c r="C1361" s="226" t="s">
        <v>2507</v>
      </c>
      <c r="D1361" s="226" t="s">
        <v>506</v>
      </c>
    </row>
    <row r="1362" spans="1:4">
      <c r="A1362" s="226" t="s">
        <v>2508</v>
      </c>
      <c r="B1362" s="226">
        <v>521176</v>
      </c>
      <c r="C1362" s="226" t="s">
        <v>2509</v>
      </c>
      <c r="D1362" s="226" t="s">
        <v>501</v>
      </c>
    </row>
    <row r="1363" spans="1:4">
      <c r="A1363" s="226" t="s">
        <v>2510</v>
      </c>
      <c r="B1363" s="226">
        <v>512443</v>
      </c>
      <c r="C1363" s="226" t="s">
        <v>486</v>
      </c>
      <c r="D1363" s="226" t="s">
        <v>508</v>
      </c>
    </row>
    <row r="1364" spans="1:4">
      <c r="A1364" s="226" t="s">
        <v>2511</v>
      </c>
      <c r="B1364" s="226">
        <v>539492</v>
      </c>
      <c r="C1364" s="226" t="s">
        <v>486</v>
      </c>
      <c r="D1364" s="226" t="s">
        <v>503</v>
      </c>
    </row>
    <row r="1365" spans="1:4">
      <c r="A1365" s="226" t="s">
        <v>2512</v>
      </c>
      <c r="B1365" s="226">
        <v>542011</v>
      </c>
      <c r="C1365" s="226" t="s">
        <v>2513</v>
      </c>
      <c r="D1365" s="226" t="s">
        <v>564</v>
      </c>
    </row>
    <row r="1366" spans="1:4">
      <c r="A1366" s="226" t="s">
        <v>2514</v>
      </c>
      <c r="B1366" s="226">
        <v>500155</v>
      </c>
      <c r="C1366" s="226" t="s">
        <v>2515</v>
      </c>
      <c r="D1366" s="226" t="s">
        <v>501</v>
      </c>
    </row>
    <row r="1367" spans="1:4">
      <c r="A1367" s="226" t="s">
        <v>2516</v>
      </c>
      <c r="B1367" s="226">
        <v>530615</v>
      </c>
      <c r="C1367" s="226" t="s">
        <v>486</v>
      </c>
      <c r="D1367" s="226" t="s">
        <v>518</v>
      </c>
    </row>
    <row r="1368" spans="1:4">
      <c r="A1368" s="226" t="s">
        <v>2517</v>
      </c>
      <c r="B1368" s="226">
        <v>526727</v>
      </c>
      <c r="C1368" s="226" t="s">
        <v>486</v>
      </c>
      <c r="D1368" s="226" t="s">
        <v>883</v>
      </c>
    </row>
    <row r="1369" spans="1:4">
      <c r="A1369" s="226" t="s">
        <v>2518</v>
      </c>
      <c r="B1369" s="226">
        <v>512493</v>
      </c>
      <c r="C1369" s="226" t="s">
        <v>486</v>
      </c>
      <c r="D1369" s="226" t="s">
        <v>470</v>
      </c>
    </row>
    <row r="1370" spans="1:4">
      <c r="A1370" s="226" t="s">
        <v>2519</v>
      </c>
      <c r="B1370" s="226">
        <v>530161</v>
      </c>
      <c r="C1370" s="226" t="s">
        <v>486</v>
      </c>
      <c r="D1370" s="226" t="s">
        <v>508</v>
      </c>
    </row>
    <row r="1371" spans="1:4">
      <c r="A1371" s="226" t="s">
        <v>2520</v>
      </c>
      <c r="B1371" s="226">
        <v>541276</v>
      </c>
      <c r="C1371" s="226" t="s">
        <v>486</v>
      </c>
      <c r="D1371" s="226" t="s">
        <v>508</v>
      </c>
    </row>
    <row r="1372" spans="1:4">
      <c r="A1372" s="226" t="s">
        <v>2521</v>
      </c>
      <c r="B1372" s="226">
        <v>509563</v>
      </c>
      <c r="C1372" s="226" t="s">
        <v>486</v>
      </c>
      <c r="D1372" s="226" t="s">
        <v>501</v>
      </c>
    </row>
    <row r="1373" spans="1:4">
      <c r="A1373" s="226" t="s">
        <v>2522</v>
      </c>
      <c r="B1373" s="226">
        <v>500655</v>
      </c>
      <c r="C1373" s="226" t="s">
        <v>486</v>
      </c>
      <c r="D1373" s="226" t="s">
        <v>534</v>
      </c>
    </row>
    <row r="1374" spans="1:4">
      <c r="A1374" s="226" t="s">
        <v>2523</v>
      </c>
      <c r="B1374" s="226">
        <v>514400</v>
      </c>
      <c r="C1374" s="226" t="s">
        <v>486</v>
      </c>
      <c r="D1374" s="226" t="s">
        <v>508</v>
      </c>
    </row>
    <row r="1375" spans="1:4">
      <c r="A1375" s="226" t="s">
        <v>2524</v>
      </c>
      <c r="B1375" s="226">
        <v>509557</v>
      </c>
      <c r="C1375" s="226" t="s">
        <v>2525</v>
      </c>
      <c r="D1375" s="226" t="s">
        <v>501</v>
      </c>
    </row>
    <row r="1376" spans="1:4">
      <c r="A1376" s="226" t="s">
        <v>2526</v>
      </c>
      <c r="B1376" s="226">
        <v>532622</v>
      </c>
      <c r="C1376" s="226" t="s">
        <v>2527</v>
      </c>
      <c r="D1376" s="226" t="s">
        <v>806</v>
      </c>
    </row>
    <row r="1377" spans="1:4">
      <c r="A1377" s="226" t="s">
        <v>2528</v>
      </c>
      <c r="B1377" s="226">
        <v>532345</v>
      </c>
      <c r="C1377" s="226" t="s">
        <v>2529</v>
      </c>
      <c r="D1377" s="226" t="s">
        <v>806</v>
      </c>
    </row>
    <row r="1378" spans="1:4">
      <c r="A1378" s="226" t="s">
        <v>2530</v>
      </c>
      <c r="B1378" s="226">
        <v>539515</v>
      </c>
      <c r="C1378" s="226" t="s">
        <v>486</v>
      </c>
      <c r="D1378" s="226" t="s">
        <v>508</v>
      </c>
    </row>
    <row r="1379" spans="1:4">
      <c r="A1379" s="226" t="s">
        <v>2531</v>
      </c>
      <c r="B1379" s="226">
        <v>540613</v>
      </c>
      <c r="C1379" s="226" t="s">
        <v>486</v>
      </c>
      <c r="D1379" s="226" t="s">
        <v>508</v>
      </c>
    </row>
    <row r="1380" spans="1:4">
      <c r="A1380" s="226" t="s">
        <v>2532</v>
      </c>
      <c r="B1380" s="226">
        <v>540936</v>
      </c>
      <c r="C1380" s="226" t="s">
        <v>486</v>
      </c>
      <c r="D1380" s="226" t="s">
        <v>508</v>
      </c>
    </row>
    <row r="1381" spans="1:4">
      <c r="A1381" s="226" t="s">
        <v>2533</v>
      </c>
      <c r="B1381" s="226">
        <v>524564</v>
      </c>
      <c r="C1381" s="226" t="s">
        <v>486</v>
      </c>
      <c r="D1381" s="226" t="s">
        <v>534</v>
      </c>
    </row>
    <row r="1382" spans="1:4">
      <c r="A1382" s="226" t="s">
        <v>2534</v>
      </c>
      <c r="B1382" s="226">
        <v>541546</v>
      </c>
      <c r="C1382" s="226" t="s">
        <v>2535</v>
      </c>
      <c r="D1382" s="226" t="s">
        <v>883</v>
      </c>
    </row>
    <row r="1383" spans="1:4">
      <c r="A1383" s="226" t="s">
        <v>2536</v>
      </c>
      <c r="B1383" s="226">
        <v>532767</v>
      </c>
      <c r="C1383" s="226" t="s">
        <v>2537</v>
      </c>
      <c r="D1383" s="226" t="s">
        <v>883</v>
      </c>
    </row>
    <row r="1384" spans="1:4">
      <c r="A1384" s="226" t="s">
        <v>2538</v>
      </c>
      <c r="B1384" s="226">
        <v>532183</v>
      </c>
      <c r="C1384" s="226" t="s">
        <v>486</v>
      </c>
      <c r="D1384" s="226" t="s">
        <v>1184</v>
      </c>
    </row>
    <row r="1385" spans="1:4">
      <c r="A1385" s="226" t="s">
        <v>2539</v>
      </c>
      <c r="B1385" s="226">
        <v>539009</v>
      </c>
      <c r="C1385" s="226" t="s">
        <v>486</v>
      </c>
      <c r="D1385" s="226" t="s">
        <v>883</v>
      </c>
    </row>
    <row r="1386" spans="1:4">
      <c r="A1386" s="226" t="s">
        <v>2540</v>
      </c>
      <c r="B1386" s="226">
        <v>538319</v>
      </c>
      <c r="C1386" s="226" t="s">
        <v>486</v>
      </c>
      <c r="D1386" s="226" t="s">
        <v>470</v>
      </c>
    </row>
    <row r="1387" spans="1:4">
      <c r="A1387" s="226" t="s">
        <v>2541</v>
      </c>
      <c r="B1387" s="226">
        <v>535917</v>
      </c>
      <c r="C1387" s="226" t="s">
        <v>486</v>
      </c>
      <c r="D1387" s="226" t="s">
        <v>470</v>
      </c>
    </row>
    <row r="1388" spans="1:4">
      <c r="A1388" s="226" t="s">
        <v>2542</v>
      </c>
      <c r="B1388" s="226">
        <v>535431</v>
      </c>
      <c r="C1388" s="226" t="s">
        <v>486</v>
      </c>
      <c r="D1388" s="226" t="s">
        <v>470</v>
      </c>
    </row>
    <row r="1389" spans="1:4">
      <c r="A1389" s="226" t="s">
        <v>2543</v>
      </c>
      <c r="B1389" s="226">
        <v>530855</v>
      </c>
      <c r="C1389" s="226" t="s">
        <v>486</v>
      </c>
      <c r="D1389" s="226" t="s">
        <v>503</v>
      </c>
    </row>
    <row r="1390" spans="1:4">
      <c r="A1390" s="226" t="s">
        <v>2544</v>
      </c>
      <c r="B1390" s="226">
        <v>532309</v>
      </c>
      <c r="C1390" s="226" t="s">
        <v>2545</v>
      </c>
      <c r="D1390" s="226" t="s">
        <v>529</v>
      </c>
    </row>
    <row r="1391" spans="1:4">
      <c r="A1391" s="226" t="s">
        <v>2546</v>
      </c>
      <c r="B1391" s="226">
        <v>532309</v>
      </c>
      <c r="C1391" s="226" t="s">
        <v>2545</v>
      </c>
      <c r="D1391" s="226" t="s">
        <v>529</v>
      </c>
    </row>
    <row r="1392" spans="1:4">
      <c r="A1392" s="226" t="s">
        <v>2547</v>
      </c>
      <c r="B1392" s="226">
        <v>522275</v>
      </c>
      <c r="C1392" s="226" t="s">
        <v>2548</v>
      </c>
      <c r="D1392" s="226" t="s">
        <v>624</v>
      </c>
    </row>
    <row r="1393" spans="1:4">
      <c r="A1393" s="226" t="s">
        <v>2549</v>
      </c>
      <c r="B1393" s="226">
        <v>522275</v>
      </c>
      <c r="C1393" s="226" t="s">
        <v>2548</v>
      </c>
      <c r="D1393" s="226" t="s">
        <v>624</v>
      </c>
    </row>
    <row r="1394" spans="1:4">
      <c r="A1394" s="226" t="s">
        <v>2550</v>
      </c>
      <c r="B1394" s="226">
        <v>504028</v>
      </c>
      <c r="C1394" s="226" t="s">
        <v>486</v>
      </c>
      <c r="D1394" s="226" t="s">
        <v>670</v>
      </c>
    </row>
    <row r="1395" spans="1:4">
      <c r="A1395" s="226" t="s">
        <v>2551</v>
      </c>
      <c r="B1395" s="226">
        <v>532764</v>
      </c>
      <c r="C1395" s="226" t="s">
        <v>2552</v>
      </c>
      <c r="D1395" s="226" t="s">
        <v>572</v>
      </c>
    </row>
    <row r="1396" spans="1:4">
      <c r="A1396" s="226" t="s">
        <v>2553</v>
      </c>
      <c r="B1396" s="226">
        <v>530389</v>
      </c>
      <c r="C1396" s="226" t="s">
        <v>486</v>
      </c>
      <c r="D1396" s="226" t="s">
        <v>506</v>
      </c>
    </row>
    <row r="1397" spans="1:4">
      <c r="A1397" s="226" t="s">
        <v>2554</v>
      </c>
      <c r="B1397" s="226" t="s">
        <v>486</v>
      </c>
      <c r="C1397" s="226" t="s">
        <v>2555</v>
      </c>
      <c r="D1397" s="226" t="s">
        <v>497</v>
      </c>
    </row>
    <row r="1398" spans="1:4">
      <c r="A1398" s="226" t="s">
        <v>2556</v>
      </c>
      <c r="B1398" s="226">
        <v>539486</v>
      </c>
      <c r="C1398" s="226" t="s">
        <v>486</v>
      </c>
      <c r="D1398" s="226" t="s">
        <v>503</v>
      </c>
    </row>
    <row r="1399" spans="1:4">
      <c r="A1399" s="226" t="s">
        <v>2557</v>
      </c>
      <c r="B1399" s="226">
        <v>521133</v>
      </c>
      <c r="C1399" s="226" t="s">
        <v>486</v>
      </c>
      <c r="D1399" s="226" t="s">
        <v>501</v>
      </c>
    </row>
    <row r="1400" spans="1:4">
      <c r="A1400" s="226" t="s">
        <v>2558</v>
      </c>
      <c r="B1400" s="226">
        <v>521133</v>
      </c>
      <c r="C1400" s="226" t="s">
        <v>486</v>
      </c>
      <c r="D1400" s="226" t="s">
        <v>501</v>
      </c>
    </row>
    <row r="1401" spans="1:4">
      <c r="A1401" s="226" t="s">
        <v>2559</v>
      </c>
      <c r="B1401" s="226">
        <v>532318</v>
      </c>
      <c r="C1401" s="226" t="s">
        <v>2560</v>
      </c>
      <c r="D1401" s="226" t="s">
        <v>2110</v>
      </c>
    </row>
    <row r="1402" spans="1:4">
      <c r="A1402" s="226" t="s">
        <v>2561</v>
      </c>
      <c r="B1402" s="226">
        <v>531137</v>
      </c>
      <c r="C1402" s="226" t="s">
        <v>486</v>
      </c>
      <c r="D1402" s="226" t="s">
        <v>906</v>
      </c>
    </row>
    <row r="1403" spans="1:4">
      <c r="A1403" s="226" t="s">
        <v>2562</v>
      </c>
      <c r="B1403" s="226">
        <v>541999</v>
      </c>
      <c r="C1403" s="226" t="s">
        <v>486</v>
      </c>
      <c r="D1403" s="226" t="s">
        <v>683</v>
      </c>
    </row>
    <row r="1404" spans="1:4">
      <c r="A1404" s="226" t="s">
        <v>2563</v>
      </c>
      <c r="B1404" s="226">
        <v>540755</v>
      </c>
      <c r="C1404" s="226" t="s">
        <v>2564</v>
      </c>
      <c r="D1404" s="226" t="s">
        <v>2565</v>
      </c>
    </row>
    <row r="1405" spans="1:4">
      <c r="A1405" s="226" t="s">
        <v>2566</v>
      </c>
      <c r="B1405" s="226">
        <v>539407</v>
      </c>
      <c r="C1405" s="226" t="s">
        <v>486</v>
      </c>
      <c r="D1405" s="226" t="s">
        <v>883</v>
      </c>
    </row>
    <row r="1406" spans="1:4">
      <c r="A1406" s="226" t="s">
        <v>2567</v>
      </c>
      <c r="B1406" s="226">
        <v>514336</v>
      </c>
      <c r="C1406" s="226" t="s">
        <v>486</v>
      </c>
      <c r="D1406" s="226" t="s">
        <v>823</v>
      </c>
    </row>
    <row r="1407" spans="1:4">
      <c r="A1407" s="226" t="s">
        <v>2568</v>
      </c>
      <c r="B1407" s="226">
        <v>514336</v>
      </c>
      <c r="C1407" s="226" t="s">
        <v>486</v>
      </c>
      <c r="D1407" s="226" t="s">
        <v>823</v>
      </c>
    </row>
    <row r="1408" spans="1:4">
      <c r="A1408" s="226" t="s">
        <v>2569</v>
      </c>
      <c r="B1408" s="226">
        <v>506109</v>
      </c>
      <c r="C1408" s="226" t="s">
        <v>2570</v>
      </c>
      <c r="D1408" s="226" t="s">
        <v>579</v>
      </c>
    </row>
    <row r="1409" spans="1:4">
      <c r="A1409" s="226" t="s">
        <v>2571</v>
      </c>
      <c r="B1409" s="226">
        <v>531739</v>
      </c>
      <c r="C1409" s="226" t="s">
        <v>486</v>
      </c>
      <c r="D1409" s="226" t="s">
        <v>524</v>
      </c>
    </row>
    <row r="1410" spans="1:4">
      <c r="A1410" s="226" t="s">
        <v>2572</v>
      </c>
      <c r="B1410" s="226">
        <v>539206</v>
      </c>
      <c r="C1410" s="226" t="s">
        <v>486</v>
      </c>
      <c r="D1410" s="226" t="s">
        <v>823</v>
      </c>
    </row>
    <row r="1411" spans="1:4">
      <c r="A1411" s="226" t="s">
        <v>2573</v>
      </c>
      <c r="B1411" s="226">
        <v>538961</v>
      </c>
      <c r="C1411" s="226" t="s">
        <v>2574</v>
      </c>
      <c r="D1411" s="226" t="s">
        <v>480</v>
      </c>
    </row>
    <row r="1412" spans="1:4">
      <c r="A1412" s="226" t="s">
        <v>2575</v>
      </c>
      <c r="B1412" s="226">
        <v>530343</v>
      </c>
      <c r="C1412" s="226" t="s">
        <v>2576</v>
      </c>
      <c r="D1412" s="226" t="s">
        <v>783</v>
      </c>
    </row>
    <row r="1413" spans="1:4">
      <c r="A1413" s="226" t="s">
        <v>2577</v>
      </c>
      <c r="B1413" s="226">
        <v>532285</v>
      </c>
      <c r="C1413" s="226" t="s">
        <v>2578</v>
      </c>
      <c r="D1413" s="226" t="s">
        <v>470</v>
      </c>
    </row>
    <row r="1414" spans="1:4">
      <c r="A1414" s="226" t="s">
        <v>2579</v>
      </c>
      <c r="B1414" s="226">
        <v>500171</v>
      </c>
      <c r="C1414" s="226" t="s">
        <v>2580</v>
      </c>
      <c r="D1414" s="226" t="s">
        <v>534</v>
      </c>
    </row>
    <row r="1415" spans="1:4">
      <c r="A1415" s="226" t="s">
        <v>2581</v>
      </c>
      <c r="B1415" s="226">
        <v>533048</v>
      </c>
      <c r="C1415" s="226" t="s">
        <v>2582</v>
      </c>
      <c r="D1415" s="226" t="s">
        <v>883</v>
      </c>
    </row>
    <row r="1416" spans="1:4">
      <c r="A1416" s="226" t="s">
        <v>2583</v>
      </c>
      <c r="B1416" s="226">
        <v>511676</v>
      </c>
      <c r="C1416" s="226" t="s">
        <v>2584</v>
      </c>
      <c r="D1416" s="226" t="s">
        <v>544</v>
      </c>
    </row>
    <row r="1417" spans="1:4">
      <c r="A1417" s="226" t="s">
        <v>2585</v>
      </c>
      <c r="B1417" s="226">
        <v>538788</v>
      </c>
      <c r="C1417" s="226" t="s">
        <v>486</v>
      </c>
      <c r="D1417" s="226" t="s">
        <v>503</v>
      </c>
    </row>
    <row r="1418" spans="1:4">
      <c r="A1418" s="226" t="s">
        <v>2586</v>
      </c>
      <c r="B1418" s="226">
        <v>532716</v>
      </c>
      <c r="C1418" s="226" t="s">
        <v>2587</v>
      </c>
      <c r="D1418" s="226" t="s">
        <v>346</v>
      </c>
    </row>
    <row r="1419" spans="1:4">
      <c r="A1419" s="226" t="s">
        <v>2588</v>
      </c>
      <c r="B1419" s="226">
        <v>507815</v>
      </c>
      <c r="C1419" s="226" t="s">
        <v>2589</v>
      </c>
      <c r="D1419" s="226" t="s">
        <v>667</v>
      </c>
    </row>
    <row r="1420" spans="1:4">
      <c r="A1420" s="226" t="s">
        <v>2590</v>
      </c>
      <c r="B1420" s="226">
        <v>507815</v>
      </c>
      <c r="C1420" s="226" t="s">
        <v>2589</v>
      </c>
      <c r="D1420" s="226" t="s">
        <v>667</v>
      </c>
    </row>
    <row r="1421" spans="1:4">
      <c r="A1421" s="226" t="s">
        <v>2591</v>
      </c>
      <c r="B1421" s="226">
        <v>531744</v>
      </c>
      <c r="C1421" s="226" t="s">
        <v>486</v>
      </c>
      <c r="D1421" s="226" t="s">
        <v>508</v>
      </c>
    </row>
    <row r="1422" spans="1:4">
      <c r="A1422" s="226" t="s">
        <v>2592</v>
      </c>
      <c r="B1422" s="226">
        <v>590025</v>
      </c>
      <c r="C1422" s="226" t="s">
        <v>2593</v>
      </c>
      <c r="D1422" s="226" t="s">
        <v>501</v>
      </c>
    </row>
    <row r="1423" spans="1:4">
      <c r="A1423" s="226" t="s">
        <v>2594</v>
      </c>
      <c r="B1423" s="226">
        <v>507506</v>
      </c>
      <c r="C1423" s="226" t="s">
        <v>486</v>
      </c>
      <c r="D1423" s="226" t="s">
        <v>1184</v>
      </c>
    </row>
    <row r="1424" spans="1:4">
      <c r="A1424" s="226" t="s">
        <v>2595</v>
      </c>
      <c r="B1424" s="226" t="s">
        <v>486</v>
      </c>
      <c r="C1424" s="226" t="s">
        <v>2596</v>
      </c>
      <c r="D1424" s="226" t="s">
        <v>497</v>
      </c>
    </row>
    <row r="1425" spans="1:4">
      <c r="A1425" s="226" t="s">
        <v>2597</v>
      </c>
      <c r="B1425" s="226">
        <v>539013</v>
      </c>
      <c r="C1425" s="226" t="s">
        <v>486</v>
      </c>
      <c r="D1425" s="226" t="s">
        <v>624</v>
      </c>
    </row>
    <row r="1426" spans="1:4">
      <c r="A1426" s="226" t="s">
        <v>2598</v>
      </c>
      <c r="B1426" s="226">
        <v>533212</v>
      </c>
      <c r="C1426" s="226" t="s">
        <v>486</v>
      </c>
      <c r="D1426" s="226" t="s">
        <v>674</v>
      </c>
    </row>
    <row r="1427" spans="1:4">
      <c r="A1427" s="226" t="s">
        <v>2599</v>
      </c>
      <c r="B1427" s="226" t="s">
        <v>486</v>
      </c>
      <c r="C1427" s="226" t="s">
        <v>2600</v>
      </c>
      <c r="D1427" s="226" t="s">
        <v>577</v>
      </c>
    </row>
    <row r="1428" spans="1:4">
      <c r="A1428" s="226" t="s">
        <v>2601</v>
      </c>
      <c r="B1428" s="226">
        <v>531199</v>
      </c>
      <c r="C1428" s="226" t="s">
        <v>486</v>
      </c>
      <c r="D1428" s="226" t="s">
        <v>503</v>
      </c>
    </row>
    <row r="1429" spans="1:4">
      <c r="A1429" s="226" t="s">
        <v>2602</v>
      </c>
      <c r="B1429" s="226">
        <v>500676</v>
      </c>
      <c r="C1429" s="226" t="s">
        <v>2603</v>
      </c>
      <c r="D1429" s="226" t="s">
        <v>546</v>
      </c>
    </row>
    <row r="1430" spans="1:4">
      <c r="A1430" s="226" t="s">
        <v>2604</v>
      </c>
      <c r="B1430" s="226">
        <v>500660</v>
      </c>
      <c r="C1430" s="226" t="s">
        <v>2605</v>
      </c>
      <c r="D1430" s="226" t="s">
        <v>524</v>
      </c>
    </row>
    <row r="1431" spans="1:4">
      <c r="A1431" s="226" t="s">
        <v>2606</v>
      </c>
      <c r="B1431" s="226">
        <v>542477</v>
      </c>
      <c r="C1431" s="226" t="s">
        <v>2607</v>
      </c>
      <c r="D1431" s="226" t="s">
        <v>851</v>
      </c>
    </row>
    <row r="1432" spans="1:4">
      <c r="A1432" s="226" t="s">
        <v>2608</v>
      </c>
      <c r="B1432" s="226">
        <v>532296</v>
      </c>
      <c r="C1432" s="226" t="s">
        <v>2609</v>
      </c>
      <c r="D1432" s="226" t="s">
        <v>524</v>
      </c>
    </row>
    <row r="1433" spans="1:4">
      <c r="A1433" s="226" t="s">
        <v>2610</v>
      </c>
      <c r="B1433" s="226">
        <v>513528</v>
      </c>
      <c r="C1433" s="226" t="s">
        <v>486</v>
      </c>
      <c r="D1433" s="226" t="s">
        <v>1013</v>
      </c>
    </row>
    <row r="1434" spans="1:4">
      <c r="A1434" s="226" t="s">
        <v>2611</v>
      </c>
      <c r="B1434" s="226">
        <v>530263</v>
      </c>
      <c r="C1434" s="226" t="s">
        <v>486</v>
      </c>
      <c r="D1434" s="226" t="s">
        <v>503</v>
      </c>
    </row>
    <row r="1435" spans="1:4">
      <c r="A1435" s="226" t="s">
        <v>2612</v>
      </c>
      <c r="B1435" s="226" t="s">
        <v>486</v>
      </c>
      <c r="C1435" s="226" t="s">
        <v>2613</v>
      </c>
      <c r="D1435" s="226" t="s">
        <v>497</v>
      </c>
    </row>
    <row r="1436" spans="1:4">
      <c r="A1436" s="226" t="s">
        <v>2614</v>
      </c>
      <c r="B1436" s="226">
        <v>531463</v>
      </c>
      <c r="C1436" s="226" t="s">
        <v>486</v>
      </c>
      <c r="D1436" s="226" t="s">
        <v>906</v>
      </c>
    </row>
    <row r="1437" spans="1:4">
      <c r="A1437" s="226" t="s">
        <v>2615</v>
      </c>
      <c r="B1437" s="226">
        <v>531479</v>
      </c>
      <c r="C1437" s="226" t="s">
        <v>486</v>
      </c>
      <c r="D1437" s="226" t="s">
        <v>572</v>
      </c>
    </row>
    <row r="1438" spans="1:4">
      <c r="A1438" s="226" t="s">
        <v>2616</v>
      </c>
      <c r="B1438" s="226">
        <v>501848</v>
      </c>
      <c r="C1438" s="226" t="s">
        <v>2617</v>
      </c>
      <c r="D1438" s="226" t="s">
        <v>1731</v>
      </c>
    </row>
    <row r="1439" spans="1:4">
      <c r="A1439" s="226" t="s">
        <v>2618</v>
      </c>
      <c r="B1439" s="226">
        <v>532773</v>
      </c>
      <c r="C1439" s="226" t="s">
        <v>2619</v>
      </c>
      <c r="D1439" s="226" t="s">
        <v>2620</v>
      </c>
    </row>
    <row r="1440" spans="1:4">
      <c r="A1440" s="226" t="s">
        <v>2621</v>
      </c>
      <c r="B1440" s="226">
        <v>540654</v>
      </c>
      <c r="C1440" s="226" t="s">
        <v>486</v>
      </c>
      <c r="D1440" s="226" t="s">
        <v>473</v>
      </c>
    </row>
    <row r="1441" spans="1:4">
      <c r="A1441" s="226" t="s">
        <v>2622</v>
      </c>
      <c r="B1441" s="226">
        <v>540266</v>
      </c>
      <c r="C1441" s="226" t="s">
        <v>486</v>
      </c>
      <c r="D1441" s="226" t="s">
        <v>508</v>
      </c>
    </row>
    <row r="1442" spans="1:4">
      <c r="A1442" s="226" t="s">
        <v>2623</v>
      </c>
      <c r="B1442" s="226" t="s">
        <v>486</v>
      </c>
      <c r="C1442" s="226" t="s">
        <v>2624</v>
      </c>
      <c r="D1442" s="226" t="s">
        <v>497</v>
      </c>
    </row>
    <row r="1443" spans="1:4">
      <c r="A1443" s="226" t="s">
        <v>2625</v>
      </c>
      <c r="B1443" s="226" t="s">
        <v>486</v>
      </c>
      <c r="C1443" s="226" t="s">
        <v>2626</v>
      </c>
      <c r="D1443" s="226" t="s">
        <v>497</v>
      </c>
    </row>
    <row r="1444" spans="1:4">
      <c r="A1444" s="226" t="s">
        <v>2627</v>
      </c>
      <c r="B1444" s="226" t="s">
        <v>486</v>
      </c>
      <c r="C1444" s="226" t="s">
        <v>2626</v>
      </c>
      <c r="D1444" s="226" t="s">
        <v>497</v>
      </c>
    </row>
    <row r="1445" spans="1:4">
      <c r="A1445" s="226" t="s">
        <v>2628</v>
      </c>
      <c r="B1445" s="226">
        <v>526025</v>
      </c>
      <c r="C1445" s="226" t="s">
        <v>486</v>
      </c>
      <c r="D1445" s="226" t="s">
        <v>501</v>
      </c>
    </row>
    <row r="1446" spans="1:4">
      <c r="A1446" s="226" t="s">
        <v>2629</v>
      </c>
      <c r="B1446" s="226">
        <v>531904</v>
      </c>
      <c r="C1446" s="226" t="s">
        <v>2630</v>
      </c>
      <c r="D1446" s="226" t="s">
        <v>851</v>
      </c>
    </row>
    <row r="1447" spans="1:4">
      <c r="A1447" s="226" t="s">
        <v>2631</v>
      </c>
      <c r="B1447" s="226">
        <v>533104</v>
      </c>
      <c r="C1447" s="226" t="s">
        <v>2632</v>
      </c>
      <c r="D1447" s="226" t="s">
        <v>1117</v>
      </c>
    </row>
    <row r="1448" spans="1:4">
      <c r="A1448" s="226" t="s">
        <v>2633</v>
      </c>
      <c r="B1448" s="226">
        <v>542351</v>
      </c>
      <c r="C1448" s="226" t="s">
        <v>2634</v>
      </c>
      <c r="D1448" s="226" t="s">
        <v>2635</v>
      </c>
    </row>
    <row r="1449" spans="1:4">
      <c r="A1449" s="226" t="s">
        <v>2636</v>
      </c>
      <c r="B1449" s="226">
        <v>507488</v>
      </c>
      <c r="C1449" s="226" t="s">
        <v>2637</v>
      </c>
      <c r="D1449" s="226" t="s">
        <v>1117</v>
      </c>
    </row>
    <row r="1450" spans="1:4">
      <c r="A1450" s="226" t="s">
        <v>2638</v>
      </c>
      <c r="B1450" s="226">
        <v>505255</v>
      </c>
      <c r="C1450" s="226" t="s">
        <v>2639</v>
      </c>
      <c r="D1450" s="226" t="s">
        <v>494</v>
      </c>
    </row>
    <row r="1451" spans="1:4">
      <c r="A1451" s="226" t="s">
        <v>2640</v>
      </c>
      <c r="B1451" s="226">
        <v>532754</v>
      </c>
      <c r="C1451" s="226" t="s">
        <v>2641</v>
      </c>
      <c r="D1451" s="226" t="s">
        <v>624</v>
      </c>
    </row>
    <row r="1452" spans="1:4">
      <c r="A1452" s="226" t="s">
        <v>2642</v>
      </c>
      <c r="B1452" s="226">
        <v>540124</v>
      </c>
      <c r="C1452" s="226" t="s">
        <v>2643</v>
      </c>
      <c r="D1452" s="226" t="s">
        <v>840</v>
      </c>
    </row>
    <row r="1453" spans="1:4">
      <c r="A1453" s="226" t="s">
        <v>2644</v>
      </c>
      <c r="B1453" s="226">
        <v>509567</v>
      </c>
      <c r="C1453" s="226" t="s">
        <v>2645</v>
      </c>
      <c r="D1453" s="226" t="s">
        <v>1412</v>
      </c>
    </row>
    <row r="1454" spans="1:4">
      <c r="A1454" s="226" t="s">
        <v>2646</v>
      </c>
      <c r="B1454" s="226">
        <v>506480</v>
      </c>
      <c r="C1454" s="226" t="s">
        <v>2647</v>
      </c>
      <c r="D1454" s="226" t="s">
        <v>695</v>
      </c>
    </row>
    <row r="1455" spans="1:4">
      <c r="A1455" s="226" t="s">
        <v>2648</v>
      </c>
      <c r="B1455" s="226">
        <v>530317</v>
      </c>
      <c r="C1455" s="226" t="s">
        <v>486</v>
      </c>
      <c r="D1455" s="226" t="s">
        <v>524</v>
      </c>
    </row>
    <row r="1456" spans="1:4">
      <c r="A1456" s="226" t="s">
        <v>2649</v>
      </c>
      <c r="B1456" s="226">
        <v>532734</v>
      </c>
      <c r="C1456" s="226" t="s">
        <v>2650</v>
      </c>
      <c r="D1456" s="226" t="s">
        <v>518</v>
      </c>
    </row>
    <row r="1457" spans="1:4">
      <c r="A1457" s="226" t="s">
        <v>2651</v>
      </c>
      <c r="B1457" s="226">
        <v>500163</v>
      </c>
      <c r="C1457" s="226" t="s">
        <v>2652</v>
      </c>
      <c r="D1457" s="226" t="s">
        <v>2653</v>
      </c>
    </row>
    <row r="1458" spans="1:4">
      <c r="A1458" s="226" t="s">
        <v>2654</v>
      </c>
      <c r="B1458" s="226">
        <v>500163</v>
      </c>
      <c r="C1458" s="226" t="s">
        <v>2652</v>
      </c>
      <c r="D1458" s="226" t="s">
        <v>2653</v>
      </c>
    </row>
    <row r="1459" spans="1:4">
      <c r="A1459" s="226" t="s">
        <v>2655</v>
      </c>
      <c r="B1459" s="226" t="s">
        <v>486</v>
      </c>
      <c r="C1459" s="226" t="s">
        <v>2656</v>
      </c>
      <c r="D1459" s="226" t="s">
        <v>497</v>
      </c>
    </row>
    <row r="1460" spans="1:4">
      <c r="A1460" s="226" t="s">
        <v>2657</v>
      </c>
      <c r="B1460" s="226">
        <v>540743</v>
      </c>
      <c r="C1460" s="226" t="s">
        <v>2658</v>
      </c>
      <c r="D1460" s="226" t="s">
        <v>683</v>
      </c>
    </row>
    <row r="1461" spans="1:4">
      <c r="A1461" s="226" t="s">
        <v>2659</v>
      </c>
      <c r="B1461" s="226">
        <v>532424</v>
      </c>
      <c r="C1461" s="226" t="s">
        <v>2660</v>
      </c>
      <c r="D1461" s="226" t="s">
        <v>667</v>
      </c>
    </row>
    <row r="1462" spans="1:4">
      <c r="A1462" s="226" t="s">
        <v>2661</v>
      </c>
      <c r="B1462" s="226">
        <v>500164</v>
      </c>
      <c r="C1462" s="226" t="s">
        <v>2662</v>
      </c>
      <c r="D1462" s="226" t="s">
        <v>534</v>
      </c>
    </row>
    <row r="1463" spans="1:4">
      <c r="A1463" s="226" t="s">
        <v>2663</v>
      </c>
      <c r="B1463" s="226">
        <v>533150</v>
      </c>
      <c r="C1463" s="226" t="s">
        <v>2664</v>
      </c>
      <c r="D1463" s="226" t="s">
        <v>572</v>
      </c>
    </row>
    <row r="1464" spans="1:4">
      <c r="A1464" s="226" t="s">
        <v>2665</v>
      </c>
      <c r="B1464" s="226">
        <v>538787</v>
      </c>
      <c r="C1464" s="226" t="s">
        <v>486</v>
      </c>
      <c r="D1464" s="226" t="s">
        <v>503</v>
      </c>
    </row>
    <row r="1465" spans="1:4">
      <c r="A1465" s="226" t="s">
        <v>2666</v>
      </c>
      <c r="B1465" s="226">
        <v>533189</v>
      </c>
      <c r="C1465" s="226" t="s">
        <v>2667</v>
      </c>
      <c r="D1465" s="226" t="s">
        <v>599</v>
      </c>
    </row>
    <row r="1466" spans="1:4">
      <c r="A1466" s="226" t="s">
        <v>2668</v>
      </c>
      <c r="B1466" s="226">
        <v>531600</v>
      </c>
      <c r="C1466" s="226" t="s">
        <v>486</v>
      </c>
      <c r="D1466" s="226" t="s">
        <v>470</v>
      </c>
    </row>
    <row r="1467" spans="1:4">
      <c r="A1467" s="226" t="s">
        <v>2669</v>
      </c>
      <c r="B1467" s="226">
        <v>532957</v>
      </c>
      <c r="C1467" s="226" t="s">
        <v>486</v>
      </c>
      <c r="D1467" s="226" t="s">
        <v>501</v>
      </c>
    </row>
    <row r="1468" spans="1:4">
      <c r="A1468" s="226" t="s">
        <v>2670</v>
      </c>
      <c r="B1468" s="226">
        <v>532630</v>
      </c>
      <c r="C1468" s="226" t="s">
        <v>2671</v>
      </c>
      <c r="D1468" s="226" t="s">
        <v>599</v>
      </c>
    </row>
    <row r="1469" spans="1:4">
      <c r="A1469" s="226" t="s">
        <v>2672</v>
      </c>
      <c r="B1469" s="226">
        <v>539725</v>
      </c>
      <c r="C1469" s="226" t="s">
        <v>2673</v>
      </c>
      <c r="D1469" s="226" t="s">
        <v>734</v>
      </c>
    </row>
    <row r="1470" spans="1:4">
      <c r="A1470" s="226" t="s">
        <v>2674</v>
      </c>
      <c r="B1470" s="226">
        <v>532980</v>
      </c>
      <c r="C1470" s="226" t="s">
        <v>2675</v>
      </c>
      <c r="D1470" s="226" t="s">
        <v>734</v>
      </c>
    </row>
    <row r="1471" spans="1:4">
      <c r="A1471" s="226" t="s">
        <v>2676</v>
      </c>
      <c r="B1471" s="226">
        <v>780012</v>
      </c>
      <c r="C1471" s="226" t="s">
        <v>486</v>
      </c>
      <c r="D1471" s="226" t="s">
        <v>577</v>
      </c>
    </row>
    <row r="1472" spans="1:4">
      <c r="A1472" s="226" t="s">
        <v>2677</v>
      </c>
      <c r="B1472" s="226">
        <v>538542</v>
      </c>
      <c r="C1472" s="226" t="s">
        <v>486</v>
      </c>
      <c r="D1472" s="226" t="s">
        <v>546</v>
      </c>
    </row>
    <row r="1473" spans="1:4">
      <c r="A1473" s="226" t="s">
        <v>2678</v>
      </c>
      <c r="B1473" s="226">
        <v>538180</v>
      </c>
      <c r="C1473" s="226" t="s">
        <v>2679</v>
      </c>
      <c r="D1473" s="226" t="s">
        <v>506</v>
      </c>
    </row>
    <row r="1474" spans="1:4">
      <c r="A1474" s="226" t="s">
        <v>2680</v>
      </c>
      <c r="B1474" s="226">
        <v>505576</v>
      </c>
      <c r="C1474" s="226" t="s">
        <v>486</v>
      </c>
      <c r="D1474" s="226" t="s">
        <v>503</v>
      </c>
    </row>
    <row r="1475" spans="1:4">
      <c r="A1475" s="226" t="s">
        <v>2681</v>
      </c>
      <c r="B1475" s="226">
        <v>531928</v>
      </c>
      <c r="C1475" s="226" t="s">
        <v>486</v>
      </c>
      <c r="D1475" s="226" t="s">
        <v>762</v>
      </c>
    </row>
    <row r="1476" spans="1:4">
      <c r="A1476" s="226" t="s">
        <v>2682</v>
      </c>
      <c r="B1476" s="226">
        <v>540062</v>
      </c>
      <c r="C1476" s="226" t="s">
        <v>486</v>
      </c>
      <c r="D1476" s="226" t="s">
        <v>349</v>
      </c>
    </row>
    <row r="1477" spans="1:4">
      <c r="A1477" s="226" t="s">
        <v>2683</v>
      </c>
      <c r="B1477" s="226">
        <v>530579</v>
      </c>
      <c r="C1477" s="226" t="s">
        <v>486</v>
      </c>
      <c r="D1477" s="226" t="s">
        <v>503</v>
      </c>
    </row>
    <row r="1478" spans="1:4">
      <c r="A1478" s="226" t="s">
        <v>2684</v>
      </c>
      <c r="B1478" s="226">
        <v>500151</v>
      </c>
      <c r="C1478" s="226" t="s">
        <v>2685</v>
      </c>
      <c r="D1478" s="226" t="s">
        <v>2653</v>
      </c>
    </row>
    <row r="1479" spans="1:4">
      <c r="A1479" s="226" t="s">
        <v>2686</v>
      </c>
      <c r="B1479" s="226">
        <v>526729</v>
      </c>
      <c r="C1479" s="226" t="s">
        <v>2687</v>
      </c>
      <c r="D1479" s="226" t="s">
        <v>599</v>
      </c>
    </row>
    <row r="1480" spans="1:4">
      <c r="A1480" s="226" t="s">
        <v>2688</v>
      </c>
      <c r="B1480" s="226" t="s">
        <v>486</v>
      </c>
      <c r="C1480" s="226" t="s">
        <v>2689</v>
      </c>
      <c r="D1480" s="226" t="s">
        <v>497</v>
      </c>
    </row>
    <row r="1481" spans="1:4">
      <c r="A1481" s="226" t="s">
        <v>2690</v>
      </c>
      <c r="B1481" s="226">
        <v>531439</v>
      </c>
      <c r="C1481" s="226" t="s">
        <v>2691</v>
      </c>
      <c r="D1481" s="226" t="s">
        <v>473</v>
      </c>
    </row>
    <row r="1482" spans="1:4">
      <c r="A1482" s="226" t="s">
        <v>2692</v>
      </c>
      <c r="B1482" s="226">
        <v>531360</v>
      </c>
      <c r="C1482" s="226" t="s">
        <v>486</v>
      </c>
      <c r="D1482" s="226" t="s">
        <v>906</v>
      </c>
    </row>
    <row r="1483" spans="1:4">
      <c r="A1483" s="226" t="s">
        <v>2693</v>
      </c>
      <c r="B1483" s="226">
        <v>513309</v>
      </c>
      <c r="C1483" s="226" t="s">
        <v>486</v>
      </c>
      <c r="D1483" s="226" t="s">
        <v>790</v>
      </c>
    </row>
    <row r="1484" spans="1:4">
      <c r="A1484" s="226" t="s">
        <v>2694</v>
      </c>
      <c r="B1484" s="226">
        <v>523676</v>
      </c>
      <c r="C1484" s="226" t="s">
        <v>486</v>
      </c>
      <c r="D1484" s="226" t="s">
        <v>599</v>
      </c>
    </row>
    <row r="1485" spans="1:4">
      <c r="A1485" s="226" t="s">
        <v>2695</v>
      </c>
      <c r="B1485" s="226">
        <v>530655</v>
      </c>
      <c r="C1485" s="226" t="s">
        <v>2696</v>
      </c>
      <c r="D1485" s="226" t="s">
        <v>808</v>
      </c>
    </row>
    <row r="1486" spans="1:4">
      <c r="A1486" s="226" t="s">
        <v>2697</v>
      </c>
      <c r="B1486" s="226">
        <v>530655</v>
      </c>
      <c r="C1486" s="226" t="s">
        <v>2696</v>
      </c>
      <c r="D1486" s="226" t="s">
        <v>808</v>
      </c>
    </row>
    <row r="1487" spans="1:4">
      <c r="A1487" s="226" t="s">
        <v>2698</v>
      </c>
      <c r="B1487" s="226">
        <v>500166</v>
      </c>
      <c r="C1487" s="226" t="s">
        <v>486</v>
      </c>
      <c r="D1487" s="226" t="s">
        <v>892</v>
      </c>
    </row>
    <row r="1488" spans="1:4">
      <c r="A1488" s="226" t="s">
        <v>2699</v>
      </c>
      <c r="B1488" s="226">
        <v>500168</v>
      </c>
      <c r="C1488" s="226" t="s">
        <v>486</v>
      </c>
      <c r="D1488" s="226" t="s">
        <v>965</v>
      </c>
    </row>
    <row r="1489" spans="1:4">
      <c r="A1489" s="226" t="s">
        <v>2700</v>
      </c>
      <c r="B1489" s="226">
        <v>500168</v>
      </c>
      <c r="C1489" s="226" t="s">
        <v>486</v>
      </c>
      <c r="D1489" s="226" t="s">
        <v>965</v>
      </c>
    </row>
    <row r="1490" spans="1:4">
      <c r="A1490" s="226" t="s">
        <v>2701</v>
      </c>
      <c r="B1490" s="226">
        <v>531913</v>
      </c>
      <c r="C1490" s="226" t="s">
        <v>486</v>
      </c>
      <c r="D1490" s="226" t="s">
        <v>808</v>
      </c>
    </row>
    <row r="1491" spans="1:4">
      <c r="A1491" s="226" t="s">
        <v>2702</v>
      </c>
      <c r="B1491" s="226">
        <v>526717</v>
      </c>
      <c r="C1491" s="226" t="s">
        <v>486</v>
      </c>
      <c r="D1491" s="226" t="s">
        <v>680</v>
      </c>
    </row>
    <row r="1492" spans="1:4">
      <c r="A1492" s="226" t="s">
        <v>2703</v>
      </c>
      <c r="B1492" s="226">
        <v>531608</v>
      </c>
      <c r="C1492" s="226" t="s">
        <v>486</v>
      </c>
      <c r="D1492" s="226" t="s">
        <v>1529</v>
      </c>
    </row>
    <row r="1493" spans="1:4">
      <c r="A1493" s="226" t="s">
        <v>2704</v>
      </c>
      <c r="B1493" s="226">
        <v>531111</v>
      </c>
      <c r="C1493" s="226" t="s">
        <v>486</v>
      </c>
      <c r="D1493" s="226" t="s">
        <v>1529</v>
      </c>
    </row>
    <row r="1494" spans="1:4">
      <c r="A1494" s="226" t="s">
        <v>2705</v>
      </c>
      <c r="B1494" s="226">
        <v>531111</v>
      </c>
      <c r="C1494" s="226" t="s">
        <v>486</v>
      </c>
      <c r="D1494" s="226" t="s">
        <v>1529</v>
      </c>
    </row>
    <row r="1495" spans="1:4">
      <c r="A1495" s="226" t="s">
        <v>2706</v>
      </c>
      <c r="B1495" s="226">
        <v>509148</v>
      </c>
      <c r="C1495" s="226" t="s">
        <v>486</v>
      </c>
      <c r="D1495" s="226" t="s">
        <v>965</v>
      </c>
    </row>
    <row r="1496" spans="1:4">
      <c r="A1496" s="226" t="s">
        <v>2707</v>
      </c>
      <c r="B1496" s="226">
        <v>530709</v>
      </c>
      <c r="C1496" s="226" t="s">
        <v>486</v>
      </c>
      <c r="D1496" s="226" t="s">
        <v>503</v>
      </c>
    </row>
    <row r="1497" spans="1:4">
      <c r="A1497" s="226" t="s">
        <v>2708</v>
      </c>
      <c r="B1497" s="226">
        <v>530663</v>
      </c>
      <c r="C1497" s="226" t="s">
        <v>486</v>
      </c>
      <c r="D1497" s="226" t="s">
        <v>470</v>
      </c>
    </row>
    <row r="1498" spans="1:4">
      <c r="A1498" s="226" t="s">
        <v>2709</v>
      </c>
      <c r="B1498" s="226">
        <v>532543</v>
      </c>
      <c r="C1498" s="226" t="s">
        <v>2710</v>
      </c>
      <c r="D1498" s="226" t="s">
        <v>695</v>
      </c>
    </row>
    <row r="1499" spans="1:4">
      <c r="A1499" s="226" t="s">
        <v>2711</v>
      </c>
      <c r="B1499" s="226">
        <v>533761</v>
      </c>
      <c r="C1499" s="226" t="s">
        <v>2712</v>
      </c>
      <c r="D1499" s="226" t="s">
        <v>883</v>
      </c>
    </row>
    <row r="1500" spans="1:4">
      <c r="A1500" s="226" t="s">
        <v>2713</v>
      </c>
      <c r="B1500" s="226">
        <v>780002</v>
      </c>
      <c r="C1500" s="226" t="s">
        <v>486</v>
      </c>
      <c r="D1500" s="226" t="s">
        <v>577</v>
      </c>
    </row>
    <row r="1501" spans="1:4">
      <c r="A1501" s="226" t="s">
        <v>2714</v>
      </c>
      <c r="B1501" s="226">
        <v>590126</v>
      </c>
      <c r="C1501" s="226" t="s">
        <v>486</v>
      </c>
      <c r="D1501" s="226" t="s">
        <v>2086</v>
      </c>
    </row>
    <row r="1502" spans="1:4">
      <c r="A1502" s="226" t="s">
        <v>2715</v>
      </c>
      <c r="B1502" s="226">
        <v>539235</v>
      </c>
      <c r="C1502" s="226" t="s">
        <v>486</v>
      </c>
      <c r="D1502" s="226" t="s">
        <v>892</v>
      </c>
    </row>
    <row r="1503" spans="1:4">
      <c r="A1503" s="226" t="s">
        <v>2716</v>
      </c>
      <c r="B1503" s="226">
        <v>532482</v>
      </c>
      <c r="C1503" s="226" t="s">
        <v>2717</v>
      </c>
      <c r="D1503" s="226" t="s">
        <v>524</v>
      </c>
    </row>
    <row r="1504" spans="1:4">
      <c r="A1504" s="226" t="s">
        <v>2718</v>
      </c>
      <c r="B1504" s="226">
        <v>532482</v>
      </c>
      <c r="C1504" s="226" t="s">
        <v>2717</v>
      </c>
      <c r="D1504" s="226" t="s">
        <v>524</v>
      </c>
    </row>
    <row r="1505" spans="1:4">
      <c r="A1505" s="226" t="s">
        <v>2719</v>
      </c>
      <c r="B1505" s="226">
        <v>509488</v>
      </c>
      <c r="C1505" s="226" t="s">
        <v>2720</v>
      </c>
      <c r="D1505" s="226" t="s">
        <v>670</v>
      </c>
    </row>
    <row r="1506" spans="1:4">
      <c r="A1506" s="226" t="s">
        <v>2721</v>
      </c>
      <c r="B1506" s="226">
        <v>509488</v>
      </c>
      <c r="C1506" s="226" t="s">
        <v>2720</v>
      </c>
      <c r="D1506" s="226" t="s">
        <v>670</v>
      </c>
    </row>
    <row r="1507" spans="1:4">
      <c r="A1507" s="226" t="s">
        <v>2722</v>
      </c>
      <c r="B1507" s="226">
        <v>500300</v>
      </c>
      <c r="C1507" s="226" t="s">
        <v>2723</v>
      </c>
      <c r="D1507" s="226" t="s">
        <v>499</v>
      </c>
    </row>
    <row r="1508" spans="1:4">
      <c r="A1508" s="226" t="s">
        <v>2724</v>
      </c>
      <c r="B1508" s="226">
        <v>526751</v>
      </c>
      <c r="C1508" s="226" t="s">
        <v>486</v>
      </c>
      <c r="D1508" s="226" t="s">
        <v>480</v>
      </c>
    </row>
    <row r="1509" spans="1:4">
      <c r="A1509" s="226" t="s">
        <v>2725</v>
      </c>
      <c r="B1509" s="226">
        <v>505710</v>
      </c>
      <c r="C1509" s="226" t="s">
        <v>486</v>
      </c>
      <c r="D1509" s="226" t="s">
        <v>534</v>
      </c>
    </row>
    <row r="1510" spans="1:4">
      <c r="A1510" s="226" t="s">
        <v>2726</v>
      </c>
      <c r="B1510" s="226">
        <v>505710</v>
      </c>
      <c r="C1510" s="226" t="s">
        <v>486</v>
      </c>
      <c r="D1510" s="226" t="s">
        <v>534</v>
      </c>
    </row>
    <row r="1511" spans="1:4">
      <c r="A1511" s="226" t="s">
        <v>2727</v>
      </c>
      <c r="B1511" s="226">
        <v>509546</v>
      </c>
      <c r="C1511" s="226" t="s">
        <v>486</v>
      </c>
      <c r="D1511" s="226" t="s">
        <v>686</v>
      </c>
    </row>
    <row r="1512" spans="1:4">
      <c r="A1512" s="226" t="s">
        <v>2728</v>
      </c>
      <c r="B1512" s="226">
        <v>533282</v>
      </c>
      <c r="C1512" s="226" t="s">
        <v>2729</v>
      </c>
      <c r="D1512" s="226" t="s">
        <v>2730</v>
      </c>
    </row>
    <row r="1513" spans="1:4">
      <c r="A1513" s="226" t="s">
        <v>2731</v>
      </c>
      <c r="B1513" s="226">
        <v>533282</v>
      </c>
      <c r="C1513" s="226" t="s">
        <v>2729</v>
      </c>
      <c r="D1513" s="226" t="s">
        <v>2730</v>
      </c>
    </row>
    <row r="1514" spans="1:4">
      <c r="A1514" s="226" t="s">
        <v>2732</v>
      </c>
      <c r="B1514" s="226">
        <v>532015</v>
      </c>
      <c r="C1514" s="226" t="s">
        <v>486</v>
      </c>
      <c r="D1514" s="226" t="s">
        <v>501</v>
      </c>
    </row>
    <row r="1515" spans="1:4">
      <c r="A1515" s="226" t="s">
        <v>2733</v>
      </c>
      <c r="B1515" s="226">
        <v>532015</v>
      </c>
      <c r="C1515" s="226" t="s">
        <v>486</v>
      </c>
      <c r="D1515" s="226" t="s">
        <v>501</v>
      </c>
    </row>
    <row r="1516" spans="1:4">
      <c r="A1516" s="226" t="s">
        <v>2734</v>
      </c>
      <c r="B1516" s="226">
        <v>501455</v>
      </c>
      <c r="C1516" s="226" t="s">
        <v>2735</v>
      </c>
      <c r="D1516" s="226" t="s">
        <v>494</v>
      </c>
    </row>
    <row r="1517" spans="1:4">
      <c r="A1517" s="226" t="s">
        <v>2736</v>
      </c>
      <c r="B1517" s="226">
        <v>531737</v>
      </c>
      <c r="C1517" s="226" t="s">
        <v>486</v>
      </c>
      <c r="D1517" s="226" t="s">
        <v>906</v>
      </c>
    </row>
    <row r="1518" spans="1:4">
      <c r="A1518" s="226" t="s">
        <v>2737</v>
      </c>
      <c r="B1518" s="226">
        <v>538979</v>
      </c>
      <c r="C1518" s="226" t="s">
        <v>2738</v>
      </c>
      <c r="D1518" s="226" t="s">
        <v>762</v>
      </c>
    </row>
    <row r="1519" spans="1:4">
      <c r="A1519" s="226" t="s">
        <v>2739</v>
      </c>
      <c r="B1519" s="226">
        <v>526797</v>
      </c>
      <c r="C1519" s="226" t="s">
        <v>2740</v>
      </c>
      <c r="D1519" s="226" t="s">
        <v>980</v>
      </c>
    </row>
    <row r="1520" spans="1:4">
      <c r="A1520" s="226" t="s">
        <v>2741</v>
      </c>
      <c r="B1520" s="226" t="s">
        <v>486</v>
      </c>
      <c r="C1520" s="226" t="s">
        <v>2742</v>
      </c>
      <c r="D1520" s="226" t="s">
        <v>497</v>
      </c>
    </row>
    <row r="1521" spans="1:4">
      <c r="A1521" s="226" t="s">
        <v>2743</v>
      </c>
      <c r="B1521" s="226">
        <v>508918</v>
      </c>
      <c r="C1521" s="226" t="s">
        <v>486</v>
      </c>
      <c r="D1521" s="226" t="s">
        <v>349</v>
      </c>
    </row>
    <row r="1522" spans="1:4">
      <c r="A1522" s="226" t="s">
        <v>2744</v>
      </c>
      <c r="B1522" s="226">
        <v>506076</v>
      </c>
      <c r="C1522" s="226" t="s">
        <v>2745</v>
      </c>
      <c r="D1522" s="226" t="s">
        <v>1403</v>
      </c>
    </row>
    <row r="1523" spans="1:4">
      <c r="A1523" s="226" t="s">
        <v>2746</v>
      </c>
      <c r="B1523" s="226">
        <v>531449</v>
      </c>
      <c r="C1523" s="226" t="s">
        <v>486</v>
      </c>
      <c r="D1523" s="226" t="s">
        <v>683</v>
      </c>
    </row>
    <row r="1524" spans="1:4">
      <c r="A1524" s="226" t="s">
        <v>2747</v>
      </c>
      <c r="B1524" s="226">
        <v>501314</v>
      </c>
      <c r="C1524" s="226" t="s">
        <v>486</v>
      </c>
      <c r="D1524" s="226" t="s">
        <v>508</v>
      </c>
    </row>
    <row r="1525" spans="1:4">
      <c r="A1525" s="226" t="s">
        <v>2748</v>
      </c>
      <c r="B1525" s="226">
        <v>539522</v>
      </c>
      <c r="C1525" s="226" t="s">
        <v>486</v>
      </c>
      <c r="D1525" s="226" t="s">
        <v>931</v>
      </c>
    </row>
    <row r="1526" spans="1:4">
      <c r="A1526" s="226" t="s">
        <v>2749</v>
      </c>
      <c r="B1526" s="226">
        <v>539522</v>
      </c>
      <c r="C1526" s="226" t="s">
        <v>486</v>
      </c>
      <c r="D1526" s="226" t="s">
        <v>931</v>
      </c>
    </row>
    <row r="1527" spans="1:4">
      <c r="A1527" s="226" t="s">
        <v>2750</v>
      </c>
      <c r="B1527" s="226">
        <v>509152</v>
      </c>
      <c r="C1527" s="226" t="s">
        <v>2751</v>
      </c>
      <c r="D1527" s="226" t="s">
        <v>965</v>
      </c>
    </row>
    <row r="1528" spans="1:4">
      <c r="A1528" s="226" t="s">
        <v>2752</v>
      </c>
      <c r="B1528" s="226">
        <v>511288</v>
      </c>
      <c r="C1528" s="226" t="s">
        <v>2753</v>
      </c>
      <c r="D1528" s="226" t="s">
        <v>544</v>
      </c>
    </row>
    <row r="1529" spans="1:4">
      <c r="A1529" s="226" t="s">
        <v>2754</v>
      </c>
      <c r="B1529" s="226">
        <v>511543</v>
      </c>
      <c r="C1529" s="226" t="s">
        <v>486</v>
      </c>
      <c r="D1529" s="226" t="s">
        <v>503</v>
      </c>
    </row>
    <row r="1530" spans="1:4">
      <c r="A1530" s="226" t="s">
        <v>2755</v>
      </c>
      <c r="B1530" s="226">
        <v>530605</v>
      </c>
      <c r="C1530" s="226" t="s">
        <v>486</v>
      </c>
      <c r="D1530" s="226" t="s">
        <v>501</v>
      </c>
    </row>
    <row r="1531" spans="1:4">
      <c r="A1531" s="226" t="s">
        <v>2756</v>
      </c>
      <c r="B1531" s="226">
        <v>530469</v>
      </c>
      <c r="C1531" s="226" t="s">
        <v>486</v>
      </c>
      <c r="D1531" s="226" t="s">
        <v>503</v>
      </c>
    </row>
    <row r="1532" spans="1:4">
      <c r="A1532" s="226" t="s">
        <v>2757</v>
      </c>
      <c r="B1532" s="226">
        <v>532951</v>
      </c>
      <c r="C1532" s="226" t="s">
        <v>2758</v>
      </c>
      <c r="D1532" s="226" t="s">
        <v>473</v>
      </c>
    </row>
    <row r="1533" spans="1:4">
      <c r="A1533" s="226" t="s">
        <v>2759</v>
      </c>
      <c r="B1533" s="226">
        <v>532139</v>
      </c>
      <c r="C1533" s="226" t="s">
        <v>486</v>
      </c>
      <c r="D1533" s="226" t="s">
        <v>815</v>
      </c>
    </row>
    <row r="1534" spans="1:4">
      <c r="A1534" s="226" t="s">
        <v>2760</v>
      </c>
      <c r="B1534" s="226">
        <v>532775</v>
      </c>
      <c r="C1534" s="226" t="s">
        <v>2761</v>
      </c>
      <c r="D1534" s="226" t="s">
        <v>631</v>
      </c>
    </row>
    <row r="1535" spans="1:4">
      <c r="A1535" s="226" t="s">
        <v>2762</v>
      </c>
      <c r="B1535" s="226">
        <v>500160</v>
      </c>
      <c r="C1535" s="226" t="s">
        <v>2763</v>
      </c>
      <c r="D1535" s="226" t="s">
        <v>1430</v>
      </c>
    </row>
    <row r="1536" spans="1:4">
      <c r="A1536" s="226" t="s">
        <v>2764</v>
      </c>
      <c r="B1536" s="226">
        <v>500170</v>
      </c>
      <c r="C1536" s="226" t="s">
        <v>2765</v>
      </c>
      <c r="D1536" s="226" t="s">
        <v>501</v>
      </c>
    </row>
    <row r="1537" spans="1:4">
      <c r="A1537" s="226" t="s">
        <v>2766</v>
      </c>
      <c r="B1537" s="226">
        <v>532744</v>
      </c>
      <c r="C1537" s="226" t="s">
        <v>2767</v>
      </c>
      <c r="D1537" s="226" t="s">
        <v>501</v>
      </c>
    </row>
    <row r="1538" spans="1:4">
      <c r="A1538" s="226" t="s">
        <v>2768</v>
      </c>
      <c r="B1538" s="226">
        <v>540602</v>
      </c>
      <c r="C1538" s="226" t="s">
        <v>2769</v>
      </c>
      <c r="D1538" s="226" t="s">
        <v>1430</v>
      </c>
    </row>
    <row r="1539" spans="1:4">
      <c r="A1539" s="226" t="s">
        <v>2770</v>
      </c>
      <c r="B1539" s="226">
        <v>539479</v>
      </c>
      <c r="C1539" s="226" t="s">
        <v>486</v>
      </c>
      <c r="D1539" s="226" t="s">
        <v>494</v>
      </c>
    </row>
    <row r="1540" spans="1:4">
      <c r="A1540" s="226" t="s">
        <v>2771</v>
      </c>
      <c r="B1540" s="226">
        <v>509079</v>
      </c>
      <c r="C1540" s="226" t="s">
        <v>2772</v>
      </c>
      <c r="D1540" s="226" t="s">
        <v>524</v>
      </c>
    </row>
    <row r="1541" spans="1:4">
      <c r="A1541" s="226" t="s">
        <v>2773</v>
      </c>
      <c r="B1541" s="226">
        <v>530001</v>
      </c>
      <c r="C1541" s="226" t="s">
        <v>2774</v>
      </c>
      <c r="D1541" s="226" t="s">
        <v>534</v>
      </c>
    </row>
    <row r="1542" spans="1:4">
      <c r="A1542" s="226" t="s">
        <v>2775</v>
      </c>
      <c r="B1542" s="226">
        <v>524226</v>
      </c>
      <c r="C1542" s="226" t="s">
        <v>2776</v>
      </c>
      <c r="D1542" s="226" t="s">
        <v>683</v>
      </c>
    </row>
    <row r="1543" spans="1:4">
      <c r="A1543" s="226" t="s">
        <v>2777</v>
      </c>
      <c r="B1543" s="226">
        <v>522217</v>
      </c>
      <c r="C1543" s="226" t="s">
        <v>2778</v>
      </c>
      <c r="D1543" s="226" t="s">
        <v>564</v>
      </c>
    </row>
    <row r="1544" spans="1:4">
      <c r="A1544" s="226" t="s">
        <v>2779</v>
      </c>
      <c r="B1544" s="226">
        <v>523768</v>
      </c>
      <c r="C1544" s="226" t="s">
        <v>486</v>
      </c>
      <c r="D1544" s="226" t="s">
        <v>1013</v>
      </c>
    </row>
    <row r="1545" spans="1:4">
      <c r="A1545" s="226" t="s">
        <v>2780</v>
      </c>
      <c r="B1545" s="226">
        <v>513507</v>
      </c>
      <c r="C1545" s="226" t="s">
        <v>486</v>
      </c>
      <c r="D1545" s="226" t="s">
        <v>808</v>
      </c>
    </row>
    <row r="1546" spans="1:4">
      <c r="A1546" s="226" t="s">
        <v>2781</v>
      </c>
      <c r="B1546" s="226">
        <v>514386</v>
      </c>
      <c r="C1546" s="226" t="s">
        <v>486</v>
      </c>
      <c r="D1546" s="226" t="s">
        <v>501</v>
      </c>
    </row>
    <row r="1547" spans="1:4">
      <c r="A1547" s="226" t="s">
        <v>2782</v>
      </c>
      <c r="B1547" s="226">
        <v>526965</v>
      </c>
      <c r="C1547" s="226" t="s">
        <v>486</v>
      </c>
      <c r="D1547" s="226" t="s">
        <v>680</v>
      </c>
    </row>
    <row r="1548" spans="1:4">
      <c r="A1548" s="226" t="s">
        <v>2783</v>
      </c>
      <c r="B1548" s="226">
        <v>511441</v>
      </c>
      <c r="C1548" s="226" t="s">
        <v>486</v>
      </c>
      <c r="D1548" s="226" t="s">
        <v>470</v>
      </c>
    </row>
    <row r="1549" spans="1:4">
      <c r="A1549" s="226" t="s">
        <v>2784</v>
      </c>
      <c r="B1549" s="226">
        <v>500173</v>
      </c>
      <c r="C1549" s="226" t="s">
        <v>2785</v>
      </c>
      <c r="D1549" s="226" t="s">
        <v>1519</v>
      </c>
    </row>
    <row r="1550" spans="1:4">
      <c r="A1550" s="226" t="s">
        <v>2786</v>
      </c>
      <c r="B1550" s="226">
        <v>531410</v>
      </c>
      <c r="C1550" s="226" t="s">
        <v>486</v>
      </c>
      <c r="D1550" s="226" t="s">
        <v>790</v>
      </c>
    </row>
    <row r="1551" spans="1:4">
      <c r="A1551" s="226" t="s">
        <v>2787</v>
      </c>
      <c r="B1551" s="226">
        <v>539336</v>
      </c>
      <c r="C1551" s="226" t="s">
        <v>2788</v>
      </c>
      <c r="D1551" s="226" t="s">
        <v>616</v>
      </c>
    </row>
    <row r="1552" spans="1:4">
      <c r="A1552" s="226" t="s">
        <v>2789</v>
      </c>
      <c r="B1552" s="226">
        <v>507960</v>
      </c>
      <c r="C1552" s="226" t="s">
        <v>486</v>
      </c>
      <c r="D1552" s="226" t="s">
        <v>686</v>
      </c>
    </row>
    <row r="1553" spans="1:4">
      <c r="A1553" s="226" t="s">
        <v>2790</v>
      </c>
      <c r="B1553" s="226">
        <v>540938</v>
      </c>
      <c r="C1553" s="226" t="s">
        <v>486</v>
      </c>
      <c r="D1553" s="226" t="s">
        <v>501</v>
      </c>
    </row>
    <row r="1554" spans="1:4">
      <c r="A1554" s="226" t="s">
        <v>2791</v>
      </c>
      <c r="B1554" s="226">
        <v>517300</v>
      </c>
      <c r="C1554" s="226" t="s">
        <v>2792</v>
      </c>
      <c r="D1554" s="226" t="s">
        <v>624</v>
      </c>
    </row>
    <row r="1555" spans="1:4">
      <c r="A1555" s="226" t="s">
        <v>2793</v>
      </c>
      <c r="B1555" s="226">
        <v>517372</v>
      </c>
      <c r="C1555" s="226" t="s">
        <v>486</v>
      </c>
      <c r="D1555" s="226" t="s">
        <v>1403</v>
      </c>
    </row>
    <row r="1556" spans="1:4">
      <c r="A1556" s="226" t="s">
        <v>2794</v>
      </c>
      <c r="B1556" s="226">
        <v>531341</v>
      </c>
      <c r="C1556" s="226" t="s">
        <v>486</v>
      </c>
      <c r="D1556" s="226" t="s">
        <v>503</v>
      </c>
    </row>
    <row r="1557" spans="1:4">
      <c r="A1557" s="226" t="s">
        <v>2795</v>
      </c>
      <c r="B1557" s="226">
        <v>500174</v>
      </c>
      <c r="C1557" s="226" t="s">
        <v>2796</v>
      </c>
      <c r="D1557" s="226" t="s">
        <v>503</v>
      </c>
    </row>
    <row r="1558" spans="1:4">
      <c r="A1558" s="226" t="s">
        <v>2797</v>
      </c>
      <c r="B1558" s="226">
        <v>524754</v>
      </c>
      <c r="C1558" s="226" t="s">
        <v>486</v>
      </c>
      <c r="D1558" s="226" t="s">
        <v>1448</v>
      </c>
    </row>
    <row r="1559" spans="1:4">
      <c r="A1559" s="226" t="s">
        <v>2798</v>
      </c>
      <c r="B1559" s="226">
        <v>531881</v>
      </c>
      <c r="C1559" s="226" t="s">
        <v>486</v>
      </c>
      <c r="D1559" s="226" t="s">
        <v>508</v>
      </c>
    </row>
    <row r="1560" spans="1:4">
      <c r="A1560" s="226" t="s">
        <v>2799</v>
      </c>
      <c r="B1560" s="226">
        <v>532181</v>
      </c>
      <c r="C1560" s="226" t="s">
        <v>2800</v>
      </c>
      <c r="D1560" s="226" t="s">
        <v>1163</v>
      </c>
    </row>
    <row r="1561" spans="1:4">
      <c r="A1561" s="226" t="s">
        <v>2801</v>
      </c>
      <c r="B1561" s="226">
        <v>500670</v>
      </c>
      <c r="C1561" s="226" t="s">
        <v>2802</v>
      </c>
      <c r="D1561" s="226" t="s">
        <v>993</v>
      </c>
    </row>
    <row r="1562" spans="1:4">
      <c r="A1562" s="226" t="s">
        <v>2803</v>
      </c>
      <c r="B1562" s="226">
        <v>513536</v>
      </c>
      <c r="C1562" s="226" t="s">
        <v>486</v>
      </c>
      <c r="D1562" s="226" t="s">
        <v>549</v>
      </c>
    </row>
    <row r="1563" spans="1:4">
      <c r="A1563" s="226" t="s">
        <v>2804</v>
      </c>
      <c r="B1563" s="226">
        <v>506858</v>
      </c>
      <c r="C1563" s="226" t="s">
        <v>486</v>
      </c>
      <c r="D1563" s="226" t="s">
        <v>862</v>
      </c>
    </row>
    <row r="1564" spans="1:4">
      <c r="A1564" s="226" t="s">
        <v>2805</v>
      </c>
      <c r="B1564" s="226">
        <v>533248</v>
      </c>
      <c r="C1564" s="226" t="s">
        <v>2806</v>
      </c>
      <c r="D1564" s="226" t="s">
        <v>621</v>
      </c>
    </row>
    <row r="1565" spans="1:4">
      <c r="A1565" s="226" t="s">
        <v>2807</v>
      </c>
      <c r="B1565" s="226">
        <v>517288</v>
      </c>
      <c r="C1565" s="226" t="s">
        <v>486</v>
      </c>
      <c r="D1565" s="226" t="s">
        <v>783</v>
      </c>
    </row>
    <row r="1566" spans="1:4">
      <c r="A1566" s="226" t="s">
        <v>2808</v>
      </c>
      <c r="B1566" s="226">
        <v>523836</v>
      </c>
      <c r="C1566" s="226" t="s">
        <v>2809</v>
      </c>
      <c r="D1566" s="226" t="s">
        <v>680</v>
      </c>
    </row>
    <row r="1567" spans="1:4">
      <c r="A1567" s="226" t="s">
        <v>2810</v>
      </c>
      <c r="B1567" s="226">
        <v>518029</v>
      </c>
      <c r="C1567" s="226" t="s">
        <v>2811</v>
      </c>
      <c r="D1567" s="226" t="s">
        <v>499</v>
      </c>
    </row>
    <row r="1568" spans="1:4">
      <c r="A1568" s="226" t="s">
        <v>2812</v>
      </c>
      <c r="B1568" s="226">
        <v>500690</v>
      </c>
      <c r="C1568" s="226" t="s">
        <v>2813</v>
      </c>
      <c r="D1568" s="226" t="s">
        <v>993</v>
      </c>
    </row>
    <row r="1569" spans="1:4">
      <c r="A1569" s="226" t="s">
        <v>2814</v>
      </c>
      <c r="B1569" s="226">
        <v>532160</v>
      </c>
      <c r="C1569" s="226" t="s">
        <v>486</v>
      </c>
      <c r="D1569" s="226" t="s">
        <v>2815</v>
      </c>
    </row>
    <row r="1570" spans="1:4">
      <c r="A1570" s="226" t="s">
        <v>2816</v>
      </c>
      <c r="B1570" s="226">
        <v>532702</v>
      </c>
      <c r="C1570" s="226" t="s">
        <v>2817</v>
      </c>
      <c r="D1570" s="226" t="s">
        <v>511</v>
      </c>
    </row>
    <row r="1571" spans="1:4">
      <c r="A1571" s="226" t="s">
        <v>2818</v>
      </c>
      <c r="B1571" s="226">
        <v>524314</v>
      </c>
      <c r="C1571" s="226" t="s">
        <v>486</v>
      </c>
      <c r="D1571" s="226" t="s">
        <v>524</v>
      </c>
    </row>
    <row r="1572" spans="1:4">
      <c r="A1572" s="226" t="s">
        <v>2819</v>
      </c>
      <c r="B1572" s="226">
        <v>506879</v>
      </c>
      <c r="C1572" s="226" t="s">
        <v>486</v>
      </c>
      <c r="D1572" s="226" t="s">
        <v>524</v>
      </c>
    </row>
    <row r="1573" spans="1:4">
      <c r="A1573" s="226" t="s">
        <v>2820</v>
      </c>
      <c r="B1573" s="226">
        <v>513337</v>
      </c>
      <c r="C1573" s="226" t="s">
        <v>486</v>
      </c>
      <c r="D1573" s="226" t="s">
        <v>605</v>
      </c>
    </row>
    <row r="1574" spans="1:4">
      <c r="A1574" s="226" t="s">
        <v>2821</v>
      </c>
      <c r="B1574" s="226">
        <v>506640</v>
      </c>
      <c r="C1574" s="226" t="s">
        <v>486</v>
      </c>
      <c r="D1574" s="226" t="s">
        <v>534</v>
      </c>
    </row>
    <row r="1575" spans="1:4">
      <c r="A1575" s="226" t="s">
        <v>2822</v>
      </c>
      <c r="B1575" s="226">
        <v>506640</v>
      </c>
      <c r="C1575" s="226" t="s">
        <v>486</v>
      </c>
      <c r="D1575" s="226" t="s">
        <v>534</v>
      </c>
    </row>
    <row r="1576" spans="1:4">
      <c r="A1576" s="226" t="s">
        <v>2823</v>
      </c>
      <c r="B1576" s="226">
        <v>538567</v>
      </c>
      <c r="C1576" s="226" t="s">
        <v>2824</v>
      </c>
      <c r="D1576" s="226" t="s">
        <v>695</v>
      </c>
    </row>
    <row r="1577" spans="1:4">
      <c r="A1577" s="226" t="s">
        <v>2825</v>
      </c>
      <c r="B1577" s="226">
        <v>538567</v>
      </c>
      <c r="C1577" s="226" t="s">
        <v>2824</v>
      </c>
      <c r="D1577" s="226" t="s">
        <v>695</v>
      </c>
    </row>
    <row r="1578" spans="1:4">
      <c r="A1578" s="226" t="s">
        <v>2826</v>
      </c>
      <c r="B1578" s="226">
        <v>532425</v>
      </c>
      <c r="C1578" s="226" t="s">
        <v>486</v>
      </c>
      <c r="D1578" s="226" t="s">
        <v>534</v>
      </c>
    </row>
    <row r="1579" spans="1:4">
      <c r="A1579" s="226" t="s">
        <v>2827</v>
      </c>
      <c r="B1579" s="226">
        <v>532457</v>
      </c>
      <c r="C1579" s="226" t="s">
        <v>2828</v>
      </c>
      <c r="D1579" s="226" t="s">
        <v>534</v>
      </c>
    </row>
    <row r="1580" spans="1:4">
      <c r="A1580" s="226" t="s">
        <v>2829</v>
      </c>
      <c r="B1580" s="226">
        <v>523277</v>
      </c>
      <c r="C1580" s="226" t="s">
        <v>486</v>
      </c>
      <c r="D1580" s="226" t="s">
        <v>489</v>
      </c>
    </row>
    <row r="1581" spans="1:4">
      <c r="A1581" s="226" t="s">
        <v>2830</v>
      </c>
      <c r="B1581" s="226">
        <v>532708</v>
      </c>
      <c r="C1581" s="226" t="s">
        <v>2831</v>
      </c>
      <c r="D1581" s="226" t="s">
        <v>624</v>
      </c>
    </row>
    <row r="1582" spans="1:4">
      <c r="A1582" s="226" t="s">
        <v>2832</v>
      </c>
      <c r="B1582" s="226">
        <v>530141</v>
      </c>
      <c r="C1582" s="226" t="s">
        <v>486</v>
      </c>
      <c r="D1582" s="226" t="s">
        <v>572</v>
      </c>
    </row>
    <row r="1583" spans="1:4">
      <c r="A1583" s="226" t="s">
        <v>2833</v>
      </c>
      <c r="B1583" s="226">
        <v>533275</v>
      </c>
      <c r="C1583" s="226" t="s">
        <v>2834</v>
      </c>
      <c r="D1583" s="226" t="s">
        <v>518</v>
      </c>
    </row>
    <row r="1584" spans="1:4">
      <c r="A1584" s="226" t="s">
        <v>2835</v>
      </c>
      <c r="B1584" s="226">
        <v>541019</v>
      </c>
      <c r="C1584" s="226" t="s">
        <v>2836</v>
      </c>
      <c r="D1584" s="226" t="s">
        <v>883</v>
      </c>
    </row>
    <row r="1585" spans="1:4">
      <c r="A1585" s="226" t="s">
        <v>2837</v>
      </c>
      <c r="B1585" s="226">
        <v>539337</v>
      </c>
      <c r="C1585" s="226" t="s">
        <v>486</v>
      </c>
      <c r="D1585" s="226" t="s">
        <v>680</v>
      </c>
    </row>
    <row r="1586" spans="1:4">
      <c r="A1586" s="226" t="s">
        <v>2838</v>
      </c>
      <c r="B1586" s="226">
        <v>502873</v>
      </c>
      <c r="C1586" s="226" t="s">
        <v>486</v>
      </c>
      <c r="D1586" s="226" t="s">
        <v>501</v>
      </c>
    </row>
    <row r="1587" spans="1:4">
      <c r="A1587" s="226" t="s">
        <v>2839</v>
      </c>
      <c r="B1587" s="226">
        <v>532145</v>
      </c>
      <c r="C1587" s="226" t="s">
        <v>486</v>
      </c>
      <c r="D1587" s="226" t="s">
        <v>686</v>
      </c>
    </row>
    <row r="1588" spans="1:4">
      <c r="A1588" s="226" t="s">
        <v>2840</v>
      </c>
      <c r="B1588" s="226">
        <v>532145</v>
      </c>
      <c r="C1588" s="226" t="s">
        <v>486</v>
      </c>
      <c r="D1588" s="226" t="s">
        <v>686</v>
      </c>
    </row>
    <row r="1589" spans="1:4">
      <c r="A1589" s="226" t="s">
        <v>2841</v>
      </c>
      <c r="B1589" s="226">
        <v>539854</v>
      </c>
      <c r="C1589" s="226" t="s">
        <v>486</v>
      </c>
      <c r="D1589" s="226" t="s">
        <v>683</v>
      </c>
    </row>
    <row r="1590" spans="1:4">
      <c r="A1590" s="226" t="s">
        <v>2842</v>
      </c>
      <c r="B1590" s="226">
        <v>515147</v>
      </c>
      <c r="C1590" s="226" t="s">
        <v>486</v>
      </c>
      <c r="D1590" s="226" t="s">
        <v>680</v>
      </c>
    </row>
    <row r="1591" spans="1:4">
      <c r="A1591" s="226" t="s">
        <v>2843</v>
      </c>
      <c r="B1591" s="226">
        <v>509597</v>
      </c>
      <c r="C1591" s="226" t="s">
        <v>486</v>
      </c>
      <c r="D1591" s="226" t="s">
        <v>645</v>
      </c>
    </row>
    <row r="1592" spans="1:4">
      <c r="A1592" s="226" t="s">
        <v>2844</v>
      </c>
      <c r="B1592" s="226">
        <v>531971</v>
      </c>
      <c r="C1592" s="226" t="s">
        <v>486</v>
      </c>
      <c r="D1592" s="226" t="s">
        <v>501</v>
      </c>
    </row>
    <row r="1593" spans="1:4">
      <c r="A1593" s="226" t="s">
        <v>2845</v>
      </c>
      <c r="B1593" s="226">
        <v>538081</v>
      </c>
      <c r="C1593" s="226" t="s">
        <v>486</v>
      </c>
      <c r="D1593" s="226" t="s">
        <v>501</v>
      </c>
    </row>
    <row r="1594" spans="1:4">
      <c r="A1594" s="226" t="s">
        <v>2846</v>
      </c>
      <c r="B1594" s="226">
        <v>512604</v>
      </c>
      <c r="C1594" s="226" t="s">
        <v>486</v>
      </c>
      <c r="D1594" s="226" t="s">
        <v>599</v>
      </c>
    </row>
    <row r="1595" spans="1:4">
      <c r="A1595" s="226" t="s">
        <v>2847</v>
      </c>
      <c r="B1595" s="226">
        <v>542682</v>
      </c>
      <c r="C1595" s="226" t="s">
        <v>2848</v>
      </c>
      <c r="D1595" s="226" t="s">
        <v>494</v>
      </c>
    </row>
    <row r="1596" spans="1:4">
      <c r="A1596" s="226" t="s">
        <v>2849</v>
      </c>
      <c r="B1596" s="226">
        <v>590043</v>
      </c>
      <c r="C1596" s="226" t="s">
        <v>2850</v>
      </c>
      <c r="D1596" s="226" t="s">
        <v>840</v>
      </c>
    </row>
    <row r="1597" spans="1:4">
      <c r="A1597" s="226" t="s">
        <v>2851</v>
      </c>
      <c r="B1597" s="226">
        <v>506024</v>
      </c>
      <c r="C1597" s="226" t="s">
        <v>486</v>
      </c>
      <c r="D1597" s="226" t="s">
        <v>518</v>
      </c>
    </row>
    <row r="1598" spans="1:4">
      <c r="A1598" s="226" t="s">
        <v>2852</v>
      </c>
      <c r="B1598" s="226">
        <v>526931</v>
      </c>
      <c r="C1598" s="226" t="s">
        <v>486</v>
      </c>
      <c r="D1598" s="226" t="s">
        <v>670</v>
      </c>
    </row>
    <row r="1599" spans="1:4">
      <c r="A1599" s="226" t="s">
        <v>2853</v>
      </c>
      <c r="B1599" s="226">
        <v>530055</v>
      </c>
      <c r="C1599" s="226" t="s">
        <v>486</v>
      </c>
      <c r="D1599" s="226" t="s">
        <v>906</v>
      </c>
    </row>
    <row r="1600" spans="1:4">
      <c r="A1600" s="226" t="s">
        <v>2854</v>
      </c>
      <c r="B1600" s="226">
        <v>500467</v>
      </c>
      <c r="C1600" s="226" t="s">
        <v>2855</v>
      </c>
      <c r="D1600" s="226" t="s">
        <v>965</v>
      </c>
    </row>
    <row r="1601" spans="1:4">
      <c r="A1601" s="226" t="s">
        <v>2856</v>
      </c>
      <c r="B1601" s="226">
        <v>532855</v>
      </c>
      <c r="C1601" s="226" t="s">
        <v>486</v>
      </c>
      <c r="D1601" s="226" t="s">
        <v>506</v>
      </c>
    </row>
    <row r="1602" spans="1:4">
      <c r="A1602" s="226" t="s">
        <v>2857</v>
      </c>
      <c r="B1602" s="226">
        <v>530927</v>
      </c>
      <c r="C1602" s="226" t="s">
        <v>486</v>
      </c>
      <c r="D1602" s="226" t="s">
        <v>2815</v>
      </c>
    </row>
    <row r="1603" spans="1:4">
      <c r="A1603" s="226" t="s">
        <v>2858</v>
      </c>
      <c r="B1603" s="226">
        <v>524080</v>
      </c>
      <c r="C1603" s="226" t="s">
        <v>486</v>
      </c>
      <c r="D1603" s="226" t="s">
        <v>534</v>
      </c>
    </row>
    <row r="1604" spans="1:4">
      <c r="A1604" s="226" t="s">
        <v>2859</v>
      </c>
      <c r="B1604" s="226">
        <v>780014</v>
      </c>
      <c r="C1604" s="226" t="s">
        <v>486</v>
      </c>
      <c r="D1604" s="226" t="s">
        <v>577</v>
      </c>
    </row>
    <row r="1605" spans="1:4">
      <c r="A1605" s="226" t="s">
        <v>2860</v>
      </c>
      <c r="B1605" s="226">
        <v>531387</v>
      </c>
      <c r="C1605" s="226" t="s">
        <v>486</v>
      </c>
      <c r="D1605" s="226" t="s">
        <v>503</v>
      </c>
    </row>
    <row r="1606" spans="1:4">
      <c r="A1606" s="226" t="s">
        <v>2861</v>
      </c>
      <c r="B1606" s="226">
        <v>509073</v>
      </c>
      <c r="C1606" s="226" t="s">
        <v>2862</v>
      </c>
      <c r="D1606" s="226" t="s">
        <v>2863</v>
      </c>
    </row>
    <row r="1607" spans="1:4">
      <c r="A1607" s="226" t="s">
        <v>2864</v>
      </c>
      <c r="B1607" s="226">
        <v>533162</v>
      </c>
      <c r="C1607" s="226" t="s">
        <v>2865</v>
      </c>
      <c r="D1607" s="226" t="s">
        <v>1222</v>
      </c>
    </row>
    <row r="1608" spans="1:4">
      <c r="A1608" s="226" t="s">
        <v>2866</v>
      </c>
      <c r="B1608" s="226">
        <v>531531</v>
      </c>
      <c r="C1608" s="226" t="s">
        <v>2867</v>
      </c>
      <c r="D1608" s="226" t="s">
        <v>546</v>
      </c>
    </row>
    <row r="1609" spans="1:4">
      <c r="A1609" s="226" t="s">
        <v>2868</v>
      </c>
      <c r="B1609" s="226">
        <v>517354</v>
      </c>
      <c r="C1609" s="226" t="s">
        <v>2869</v>
      </c>
      <c r="D1609" s="226" t="s">
        <v>783</v>
      </c>
    </row>
    <row r="1610" spans="1:4">
      <c r="A1610" s="226" t="s">
        <v>2870</v>
      </c>
      <c r="B1610" s="226">
        <v>517354</v>
      </c>
      <c r="C1610" s="226" t="s">
        <v>2869</v>
      </c>
      <c r="D1610" s="226" t="s">
        <v>783</v>
      </c>
    </row>
    <row r="1611" spans="1:4">
      <c r="A1611" s="226" t="s">
        <v>2871</v>
      </c>
      <c r="B1611" s="226">
        <v>539176</v>
      </c>
      <c r="C1611" s="226" t="s">
        <v>486</v>
      </c>
      <c r="D1611" s="226" t="s">
        <v>494</v>
      </c>
    </row>
    <row r="1612" spans="1:4">
      <c r="A1612" s="226" t="s">
        <v>2872</v>
      </c>
      <c r="B1612" s="226">
        <v>508486</v>
      </c>
      <c r="C1612" s="226" t="s">
        <v>486</v>
      </c>
      <c r="D1612" s="226" t="s">
        <v>1529</v>
      </c>
    </row>
    <row r="1613" spans="1:4">
      <c r="A1613" s="226" t="s">
        <v>2873</v>
      </c>
      <c r="B1613" s="226">
        <v>532467</v>
      </c>
      <c r="C1613" s="226" t="s">
        <v>486</v>
      </c>
      <c r="D1613" s="226" t="s">
        <v>489</v>
      </c>
    </row>
    <row r="1614" spans="1:4">
      <c r="A1614" s="226" t="s">
        <v>2874</v>
      </c>
      <c r="B1614" s="226">
        <v>532334</v>
      </c>
      <c r="C1614" s="226" t="s">
        <v>486</v>
      </c>
      <c r="D1614" s="226" t="s">
        <v>572</v>
      </c>
    </row>
    <row r="1615" spans="1:4">
      <c r="A1615" s="226" t="s">
        <v>2875</v>
      </c>
      <c r="B1615" s="226">
        <v>508956</v>
      </c>
      <c r="C1615" s="226" t="s">
        <v>486</v>
      </c>
      <c r="D1615" s="226" t="s">
        <v>503</v>
      </c>
    </row>
    <row r="1616" spans="1:4">
      <c r="A1616" s="226" t="s">
        <v>2876</v>
      </c>
      <c r="B1616" s="226">
        <v>532333</v>
      </c>
      <c r="C1616" s="226" t="s">
        <v>486</v>
      </c>
      <c r="D1616" s="226" t="s">
        <v>470</v>
      </c>
    </row>
    <row r="1617" spans="1:4">
      <c r="A1617" s="226" t="s">
        <v>2877</v>
      </c>
      <c r="B1617" s="226">
        <v>532216</v>
      </c>
      <c r="C1617" s="226" t="s">
        <v>2878</v>
      </c>
      <c r="D1617" s="226" t="s">
        <v>503</v>
      </c>
    </row>
    <row r="1618" spans="1:4">
      <c r="A1618" s="226" t="s">
        <v>2879</v>
      </c>
      <c r="B1618" s="226">
        <v>517271</v>
      </c>
      <c r="C1618" s="226" t="s">
        <v>2880</v>
      </c>
      <c r="D1618" s="226" t="s">
        <v>783</v>
      </c>
    </row>
    <row r="1619" spans="1:4">
      <c r="A1619" s="226" t="s">
        <v>2881</v>
      </c>
      <c r="B1619" s="226">
        <v>539224</v>
      </c>
      <c r="C1619" s="226" t="s">
        <v>486</v>
      </c>
      <c r="D1619" s="226" t="s">
        <v>346</v>
      </c>
    </row>
    <row r="1620" spans="1:4">
      <c r="A1620" s="226" t="s">
        <v>2882</v>
      </c>
      <c r="B1620" s="226">
        <v>500179</v>
      </c>
      <c r="C1620" s="226" t="s">
        <v>2883</v>
      </c>
      <c r="D1620" s="226" t="s">
        <v>810</v>
      </c>
    </row>
    <row r="1621" spans="1:4">
      <c r="A1621" s="226" t="s">
        <v>2884</v>
      </c>
      <c r="B1621" s="226">
        <v>532281</v>
      </c>
      <c r="C1621" s="226" t="s">
        <v>2885</v>
      </c>
      <c r="D1621" s="226" t="s">
        <v>473</v>
      </c>
    </row>
    <row r="1622" spans="1:4">
      <c r="A1622" s="226" t="s">
        <v>2886</v>
      </c>
      <c r="B1622" s="226">
        <v>541729</v>
      </c>
      <c r="C1622" s="226" t="s">
        <v>2887</v>
      </c>
      <c r="D1622" s="226" t="s">
        <v>2888</v>
      </c>
    </row>
    <row r="1623" spans="1:4">
      <c r="A1623" s="226" t="s">
        <v>2889</v>
      </c>
      <c r="B1623" s="226">
        <v>500180</v>
      </c>
      <c r="C1623" s="226" t="s">
        <v>2890</v>
      </c>
      <c r="D1623" s="226" t="s">
        <v>803</v>
      </c>
    </row>
    <row r="1624" spans="1:4">
      <c r="A1624" s="226" t="s">
        <v>2891</v>
      </c>
      <c r="B1624" s="226">
        <v>533230</v>
      </c>
      <c r="C1624" s="226" t="s">
        <v>2892</v>
      </c>
      <c r="D1624" s="226" t="s">
        <v>470</v>
      </c>
    </row>
    <row r="1625" spans="1:4">
      <c r="A1625" s="226" t="s">
        <v>2893</v>
      </c>
      <c r="B1625" s="226">
        <v>540777</v>
      </c>
      <c r="C1625" s="226" t="s">
        <v>2894</v>
      </c>
      <c r="D1625" s="226" t="s">
        <v>2895</v>
      </c>
    </row>
    <row r="1626" spans="1:4">
      <c r="A1626" s="226" t="s">
        <v>2896</v>
      </c>
      <c r="B1626" s="226">
        <v>539787</v>
      </c>
      <c r="C1626" s="226" t="s">
        <v>2897</v>
      </c>
      <c r="D1626" s="226" t="s">
        <v>955</v>
      </c>
    </row>
    <row r="1627" spans="1:4">
      <c r="A1627" s="226" t="s">
        <v>2898</v>
      </c>
      <c r="B1627" s="226">
        <v>503689</v>
      </c>
      <c r="C1627" s="226" t="s">
        <v>486</v>
      </c>
      <c r="D1627" s="226" t="s">
        <v>906</v>
      </c>
    </row>
    <row r="1628" spans="1:4">
      <c r="A1628" s="226" t="s">
        <v>2899</v>
      </c>
      <c r="B1628" s="226" t="s">
        <v>486</v>
      </c>
      <c r="C1628" s="226" t="s">
        <v>2900</v>
      </c>
      <c r="D1628" s="226" t="s">
        <v>497</v>
      </c>
    </row>
    <row r="1629" spans="1:4">
      <c r="A1629" s="226" t="s">
        <v>2901</v>
      </c>
      <c r="B1629" s="226">
        <v>526967</v>
      </c>
      <c r="C1629" s="226" t="s">
        <v>486</v>
      </c>
      <c r="D1629" s="226" t="s">
        <v>518</v>
      </c>
    </row>
    <row r="1630" spans="1:4">
      <c r="A1630" s="226" t="s">
        <v>2902</v>
      </c>
      <c r="B1630" s="226">
        <v>509631</v>
      </c>
      <c r="C1630" s="226" t="s">
        <v>2903</v>
      </c>
      <c r="D1630" s="226" t="s">
        <v>670</v>
      </c>
    </row>
    <row r="1631" spans="1:4">
      <c r="A1631" s="226" t="s">
        <v>2904</v>
      </c>
      <c r="B1631" s="226">
        <v>500292</v>
      </c>
      <c r="C1631" s="226" t="s">
        <v>2905</v>
      </c>
      <c r="D1631" s="226" t="s">
        <v>499</v>
      </c>
    </row>
    <row r="1632" spans="1:4">
      <c r="A1632" s="226" t="s">
        <v>2906</v>
      </c>
      <c r="B1632" s="226">
        <v>500292</v>
      </c>
      <c r="C1632" s="226" t="s">
        <v>2905</v>
      </c>
      <c r="D1632" s="226" t="s">
        <v>499</v>
      </c>
    </row>
    <row r="1633" spans="1:4">
      <c r="A1633" s="226" t="s">
        <v>2907</v>
      </c>
      <c r="B1633" s="226">
        <v>539174</v>
      </c>
      <c r="C1633" s="226" t="s">
        <v>2908</v>
      </c>
      <c r="D1633" s="226" t="s">
        <v>503</v>
      </c>
    </row>
    <row r="1634" spans="1:4">
      <c r="A1634" s="226" t="s">
        <v>2909</v>
      </c>
      <c r="B1634" s="226">
        <v>505520</v>
      </c>
      <c r="C1634" s="226" t="s">
        <v>486</v>
      </c>
      <c r="D1634" s="226" t="s">
        <v>906</v>
      </c>
    </row>
    <row r="1635" spans="1:4">
      <c r="A1635" s="226" t="s">
        <v>2910</v>
      </c>
      <c r="B1635" s="226">
        <v>531178</v>
      </c>
      <c r="C1635" s="226" t="s">
        <v>486</v>
      </c>
      <c r="D1635" s="226" t="s">
        <v>508</v>
      </c>
    </row>
    <row r="1636" spans="1:4">
      <c r="A1636" s="226" t="s">
        <v>2911</v>
      </c>
      <c r="B1636" s="226">
        <v>524590</v>
      </c>
      <c r="C1636" s="226" t="s">
        <v>486</v>
      </c>
      <c r="D1636" s="226" t="s">
        <v>508</v>
      </c>
    </row>
    <row r="1637" spans="1:4">
      <c r="A1637" s="226" t="s">
        <v>2912</v>
      </c>
      <c r="B1637" s="226">
        <v>505720</v>
      </c>
      <c r="C1637" s="226" t="s">
        <v>2913</v>
      </c>
      <c r="D1637" s="226" t="s">
        <v>494</v>
      </c>
    </row>
    <row r="1638" spans="1:4">
      <c r="A1638" s="226" t="s">
        <v>2914</v>
      </c>
      <c r="B1638" s="226">
        <v>519552</v>
      </c>
      <c r="C1638" s="226" t="s">
        <v>2915</v>
      </c>
      <c r="D1638" s="226" t="s">
        <v>546</v>
      </c>
    </row>
    <row r="1639" spans="1:4">
      <c r="A1639" s="226" t="s">
        <v>2916</v>
      </c>
      <c r="B1639" s="226">
        <v>500182</v>
      </c>
      <c r="C1639" s="226" t="s">
        <v>2917</v>
      </c>
      <c r="D1639" s="226" t="s">
        <v>1143</v>
      </c>
    </row>
    <row r="1640" spans="1:4">
      <c r="A1640" s="226" t="s">
        <v>2918</v>
      </c>
      <c r="B1640" s="226">
        <v>524669</v>
      </c>
      <c r="C1640" s="226" t="s">
        <v>2919</v>
      </c>
      <c r="D1640" s="226" t="s">
        <v>524</v>
      </c>
    </row>
    <row r="1641" spans="1:4">
      <c r="A1641" s="226" t="s">
        <v>2920</v>
      </c>
      <c r="B1641" s="226">
        <v>534328</v>
      </c>
      <c r="C1641" s="226" t="s">
        <v>2921</v>
      </c>
      <c r="D1641" s="226" t="s">
        <v>508</v>
      </c>
    </row>
    <row r="1642" spans="1:4">
      <c r="A1642" s="226" t="s">
        <v>2922</v>
      </c>
      <c r="B1642" s="226">
        <v>532129</v>
      </c>
      <c r="C1642" s="226" t="s">
        <v>2923</v>
      </c>
      <c r="D1642" s="226" t="s">
        <v>473</v>
      </c>
    </row>
    <row r="1643" spans="1:4">
      <c r="A1643" s="226" t="s">
        <v>2924</v>
      </c>
      <c r="B1643" s="226">
        <v>504176</v>
      </c>
      <c r="C1643" s="226" t="s">
        <v>486</v>
      </c>
      <c r="D1643" s="226" t="s">
        <v>1031</v>
      </c>
    </row>
    <row r="1644" spans="1:4">
      <c r="A1644" s="226" t="s">
        <v>2925</v>
      </c>
      <c r="B1644" s="226">
        <v>504176</v>
      </c>
      <c r="C1644" s="226" t="s">
        <v>486</v>
      </c>
      <c r="D1644" s="226" t="s">
        <v>1031</v>
      </c>
    </row>
    <row r="1645" spans="1:4">
      <c r="A1645" s="226" t="s">
        <v>2926</v>
      </c>
      <c r="B1645" s="226">
        <v>517080</v>
      </c>
      <c r="C1645" s="226" t="s">
        <v>2927</v>
      </c>
      <c r="D1645" s="226" t="s">
        <v>883</v>
      </c>
    </row>
    <row r="1646" spans="1:4">
      <c r="A1646" s="226" t="s">
        <v>2928</v>
      </c>
      <c r="B1646" s="226">
        <v>531301</v>
      </c>
      <c r="C1646" s="226" t="s">
        <v>486</v>
      </c>
      <c r="D1646" s="226" t="s">
        <v>501</v>
      </c>
    </row>
    <row r="1647" spans="1:4">
      <c r="A1647" s="226" t="s">
        <v>2929</v>
      </c>
      <c r="B1647" s="226">
        <v>524735</v>
      </c>
      <c r="C1647" s="226" t="s">
        <v>2930</v>
      </c>
      <c r="D1647" s="226" t="s">
        <v>524</v>
      </c>
    </row>
    <row r="1648" spans="1:4">
      <c r="A1648" s="226" t="s">
        <v>2931</v>
      </c>
      <c r="B1648" s="226">
        <v>542332</v>
      </c>
      <c r="C1648" s="226" t="s">
        <v>2932</v>
      </c>
      <c r="D1648" s="226" t="s">
        <v>470</v>
      </c>
    </row>
    <row r="1649" spans="1:4">
      <c r="A1649" s="226" t="s">
        <v>2933</v>
      </c>
      <c r="B1649" s="226">
        <v>509675</v>
      </c>
      <c r="C1649" s="226" t="s">
        <v>2934</v>
      </c>
      <c r="D1649" s="226" t="s">
        <v>499</v>
      </c>
    </row>
    <row r="1650" spans="1:4">
      <c r="A1650" s="226" t="s">
        <v>2935</v>
      </c>
      <c r="B1650" s="226">
        <v>532847</v>
      </c>
      <c r="C1650" s="226" t="s">
        <v>2936</v>
      </c>
      <c r="D1650" s="226" t="s">
        <v>1403</v>
      </c>
    </row>
    <row r="1651" spans="1:4">
      <c r="A1651" s="226" t="s">
        <v>2937</v>
      </c>
      <c r="B1651" s="226">
        <v>505712</v>
      </c>
      <c r="C1651" s="226" t="s">
        <v>486</v>
      </c>
      <c r="D1651" s="226" t="s">
        <v>840</v>
      </c>
    </row>
    <row r="1652" spans="1:4">
      <c r="A1652" s="226" t="s">
        <v>2938</v>
      </c>
      <c r="B1652" s="226">
        <v>514010</v>
      </c>
      <c r="C1652" s="226" t="s">
        <v>486</v>
      </c>
      <c r="D1652" s="226" t="s">
        <v>501</v>
      </c>
    </row>
    <row r="1653" spans="1:4">
      <c r="A1653" s="226" t="s">
        <v>2939</v>
      </c>
      <c r="B1653" s="226">
        <v>500183</v>
      </c>
      <c r="C1653" s="226" t="s">
        <v>2940</v>
      </c>
      <c r="D1653" s="226" t="s">
        <v>755</v>
      </c>
    </row>
    <row r="1654" spans="1:4">
      <c r="A1654" s="226" t="s">
        <v>2941</v>
      </c>
      <c r="B1654" s="226">
        <v>500184</v>
      </c>
      <c r="C1654" s="226" t="s">
        <v>2942</v>
      </c>
      <c r="D1654" s="226" t="s">
        <v>645</v>
      </c>
    </row>
    <row r="1655" spans="1:4">
      <c r="A1655" s="226" t="s">
        <v>2943</v>
      </c>
      <c r="B1655" s="226">
        <v>526899</v>
      </c>
      <c r="C1655" s="226" t="s">
        <v>486</v>
      </c>
      <c r="D1655" s="226" t="s">
        <v>683</v>
      </c>
    </row>
    <row r="1656" spans="1:4">
      <c r="A1656" s="226" t="s">
        <v>2944</v>
      </c>
      <c r="B1656" s="226">
        <v>513723</v>
      </c>
      <c r="C1656" s="226" t="s">
        <v>486</v>
      </c>
      <c r="D1656" s="226" t="s">
        <v>1013</v>
      </c>
    </row>
    <row r="1657" spans="1:4">
      <c r="A1657" s="226" t="s">
        <v>2945</v>
      </c>
      <c r="B1657" s="226">
        <v>511169</v>
      </c>
      <c r="C1657" s="226" t="s">
        <v>486</v>
      </c>
      <c r="D1657" s="226" t="s">
        <v>503</v>
      </c>
    </row>
    <row r="1658" spans="1:4">
      <c r="A1658" s="226" t="s">
        <v>2946</v>
      </c>
      <c r="B1658" s="226">
        <v>514043</v>
      </c>
      <c r="C1658" s="226" t="s">
        <v>2947</v>
      </c>
      <c r="D1658" s="226" t="s">
        <v>501</v>
      </c>
    </row>
    <row r="1659" spans="1:4">
      <c r="A1659" s="226" t="s">
        <v>2948</v>
      </c>
      <c r="B1659" s="226">
        <v>531979</v>
      </c>
      <c r="C1659" s="226" t="s">
        <v>486</v>
      </c>
      <c r="D1659" s="226" t="s">
        <v>790</v>
      </c>
    </row>
    <row r="1660" spans="1:4">
      <c r="A1660" s="226" t="s">
        <v>2949</v>
      </c>
      <c r="B1660" s="226">
        <v>538652</v>
      </c>
      <c r="C1660" s="226" t="s">
        <v>486</v>
      </c>
      <c r="D1660" s="226" t="s">
        <v>508</v>
      </c>
    </row>
    <row r="1661" spans="1:4">
      <c r="A1661" s="226" t="s">
        <v>2950</v>
      </c>
      <c r="B1661" s="226">
        <v>504036</v>
      </c>
      <c r="C1661" s="226" t="s">
        <v>2951</v>
      </c>
      <c r="D1661" s="226" t="s">
        <v>1027</v>
      </c>
    </row>
    <row r="1662" spans="1:4">
      <c r="A1662" s="226" t="s">
        <v>2952</v>
      </c>
      <c r="B1662" s="226">
        <v>539114</v>
      </c>
      <c r="C1662" s="226" t="s">
        <v>486</v>
      </c>
      <c r="D1662" s="226" t="s">
        <v>503</v>
      </c>
    </row>
    <row r="1663" spans="1:4">
      <c r="A1663" s="226" t="s">
        <v>2953</v>
      </c>
      <c r="B1663" s="226">
        <v>503881</v>
      </c>
      <c r="C1663" s="226" t="s">
        <v>2954</v>
      </c>
      <c r="D1663" s="226" t="s">
        <v>501</v>
      </c>
    </row>
    <row r="1664" spans="1:4">
      <c r="A1664" s="226" t="s">
        <v>2955</v>
      </c>
      <c r="B1664" s="226">
        <v>500440</v>
      </c>
      <c r="C1664" s="226" t="s">
        <v>2956</v>
      </c>
      <c r="D1664" s="226" t="s">
        <v>790</v>
      </c>
    </row>
    <row r="1665" spans="1:4">
      <c r="A1665" s="226" t="s">
        <v>2957</v>
      </c>
      <c r="B1665" s="226" t="s">
        <v>486</v>
      </c>
      <c r="C1665" s="226" t="s">
        <v>2958</v>
      </c>
      <c r="D1665" s="226" t="s">
        <v>497</v>
      </c>
    </row>
    <row r="1666" spans="1:4">
      <c r="A1666" s="226" t="s">
        <v>2959</v>
      </c>
      <c r="B1666" s="226">
        <v>509895</v>
      </c>
      <c r="C1666" s="226" t="s">
        <v>486</v>
      </c>
      <c r="D1666" s="226" t="s">
        <v>501</v>
      </c>
    </row>
    <row r="1667" spans="1:4">
      <c r="A1667" s="226" t="s">
        <v>2960</v>
      </c>
      <c r="B1667" s="226">
        <v>532859</v>
      </c>
      <c r="C1667" s="226" t="s">
        <v>2961</v>
      </c>
      <c r="D1667" s="226" t="s">
        <v>815</v>
      </c>
    </row>
    <row r="1668" spans="1:4">
      <c r="A1668" s="226" t="s">
        <v>2962</v>
      </c>
      <c r="B1668" s="226">
        <v>500189</v>
      </c>
      <c r="C1668" s="226" t="s">
        <v>2963</v>
      </c>
      <c r="D1668" s="226" t="s">
        <v>1222</v>
      </c>
    </row>
    <row r="1669" spans="1:4">
      <c r="A1669" s="226" t="s">
        <v>2964</v>
      </c>
      <c r="B1669" s="226">
        <v>514428</v>
      </c>
      <c r="C1669" s="226" t="s">
        <v>486</v>
      </c>
      <c r="D1669" s="226" t="s">
        <v>605</v>
      </c>
    </row>
    <row r="1670" spans="1:4">
      <c r="A1670" s="226" t="s">
        <v>2965</v>
      </c>
      <c r="B1670" s="226">
        <v>541154</v>
      </c>
      <c r="C1670" s="226" t="s">
        <v>2966</v>
      </c>
      <c r="D1670" s="226" t="s">
        <v>2967</v>
      </c>
    </row>
    <row r="1671" spans="1:4">
      <c r="A1671" s="226" t="s">
        <v>2968</v>
      </c>
      <c r="B1671" s="226">
        <v>531918</v>
      </c>
      <c r="C1671" s="226" t="s">
        <v>486</v>
      </c>
      <c r="D1671" s="226" t="s">
        <v>508</v>
      </c>
    </row>
    <row r="1672" spans="1:4">
      <c r="A1672" s="226" t="s">
        <v>2969</v>
      </c>
      <c r="B1672" s="226">
        <v>532041</v>
      </c>
      <c r="C1672" s="226" t="s">
        <v>2970</v>
      </c>
      <c r="D1672" s="226" t="s">
        <v>579</v>
      </c>
    </row>
    <row r="1673" spans="1:4">
      <c r="A1673" s="226" t="s">
        <v>2971</v>
      </c>
      <c r="B1673" s="226">
        <v>509635</v>
      </c>
      <c r="C1673" s="226" t="s">
        <v>2972</v>
      </c>
      <c r="D1673" s="226" t="s">
        <v>840</v>
      </c>
    </row>
    <row r="1674" spans="1:4">
      <c r="A1674" s="226" t="s">
        <v>2973</v>
      </c>
      <c r="B1674" s="226">
        <v>500185</v>
      </c>
      <c r="C1674" s="226" t="s">
        <v>2974</v>
      </c>
      <c r="D1674" s="226" t="s">
        <v>883</v>
      </c>
    </row>
    <row r="1675" spans="1:4">
      <c r="A1675" s="226" t="s">
        <v>2975</v>
      </c>
      <c r="B1675" s="226">
        <v>513599</v>
      </c>
      <c r="C1675" s="226" t="s">
        <v>2976</v>
      </c>
      <c r="D1675" s="226" t="s">
        <v>560</v>
      </c>
    </row>
    <row r="1676" spans="1:4">
      <c r="A1676" s="226" t="s">
        <v>2977</v>
      </c>
      <c r="B1676" s="226">
        <v>505725</v>
      </c>
      <c r="C1676" s="226" t="s">
        <v>2978</v>
      </c>
      <c r="D1676" s="226" t="s">
        <v>670</v>
      </c>
    </row>
    <row r="1677" spans="1:4">
      <c r="A1677" s="226" t="s">
        <v>2979</v>
      </c>
      <c r="B1677" s="226">
        <v>524013</v>
      </c>
      <c r="C1677" s="226" t="s">
        <v>486</v>
      </c>
      <c r="D1677" s="226" t="s">
        <v>862</v>
      </c>
    </row>
    <row r="1678" spans="1:4">
      <c r="A1678" s="226" t="s">
        <v>2980</v>
      </c>
      <c r="B1678" s="226">
        <v>519126</v>
      </c>
      <c r="C1678" s="226" t="s">
        <v>486</v>
      </c>
      <c r="D1678" s="226" t="s">
        <v>546</v>
      </c>
    </row>
    <row r="1679" spans="1:4">
      <c r="A1679" s="226" t="s">
        <v>2981</v>
      </c>
      <c r="B1679" s="226">
        <v>505893</v>
      </c>
      <c r="C1679" s="226" t="s">
        <v>486</v>
      </c>
      <c r="D1679" s="226" t="s">
        <v>840</v>
      </c>
    </row>
    <row r="1680" spans="1:4">
      <c r="A1680" s="226" t="s">
        <v>2982</v>
      </c>
      <c r="B1680" s="226">
        <v>509650</v>
      </c>
      <c r="C1680" s="226" t="s">
        <v>486</v>
      </c>
      <c r="D1680" s="226" t="s">
        <v>544</v>
      </c>
    </row>
    <row r="1681" spans="1:4">
      <c r="A1681" s="226" t="s">
        <v>2983</v>
      </c>
      <c r="B1681" s="226">
        <v>533217</v>
      </c>
      <c r="C1681" s="226" t="s">
        <v>2984</v>
      </c>
      <c r="D1681" s="226" t="s">
        <v>1009</v>
      </c>
    </row>
    <row r="1682" spans="1:4">
      <c r="A1682" s="226" t="s">
        <v>2985</v>
      </c>
      <c r="B1682" s="226">
        <v>500500</v>
      </c>
      <c r="C1682" s="226" t="s">
        <v>2986</v>
      </c>
      <c r="D1682" s="226" t="s">
        <v>2412</v>
      </c>
    </row>
    <row r="1683" spans="1:4">
      <c r="A1683" s="226" t="s">
        <v>2987</v>
      </c>
      <c r="B1683" s="226">
        <v>500186</v>
      </c>
      <c r="C1683" s="226" t="s">
        <v>2988</v>
      </c>
      <c r="D1683" s="226" t="s">
        <v>549</v>
      </c>
    </row>
    <row r="1684" spans="1:4">
      <c r="A1684" s="226" t="s">
        <v>2989</v>
      </c>
      <c r="B1684" s="226">
        <v>500449</v>
      </c>
      <c r="C1684" s="226" t="s">
        <v>486</v>
      </c>
      <c r="D1684" s="226" t="s">
        <v>534</v>
      </c>
    </row>
    <row r="1685" spans="1:4">
      <c r="A1685" s="226" t="s">
        <v>2990</v>
      </c>
      <c r="B1685" s="226">
        <v>500104</v>
      </c>
      <c r="C1685" s="226" t="s">
        <v>2991</v>
      </c>
      <c r="D1685" s="226" t="s">
        <v>1412</v>
      </c>
    </row>
    <row r="1686" spans="1:4">
      <c r="A1686" s="226" t="s">
        <v>2992</v>
      </c>
      <c r="B1686" s="226">
        <v>530315</v>
      </c>
      <c r="C1686" s="226" t="s">
        <v>486</v>
      </c>
      <c r="D1686" s="226" t="s">
        <v>680</v>
      </c>
    </row>
    <row r="1687" spans="1:4">
      <c r="A1687" s="226" t="s">
        <v>2993</v>
      </c>
      <c r="B1687" s="226">
        <v>500696</v>
      </c>
      <c r="C1687" s="226" t="s">
        <v>2994</v>
      </c>
      <c r="D1687" s="226" t="s">
        <v>667</v>
      </c>
    </row>
    <row r="1688" spans="1:4">
      <c r="A1688" s="226" t="s">
        <v>2995</v>
      </c>
      <c r="B1688" s="226">
        <v>504713</v>
      </c>
      <c r="C1688" s="226" t="s">
        <v>486</v>
      </c>
      <c r="D1688" s="226" t="s">
        <v>1403</v>
      </c>
    </row>
    <row r="1689" spans="1:4">
      <c r="A1689" s="226" t="s">
        <v>2996</v>
      </c>
      <c r="B1689" s="226">
        <v>500188</v>
      </c>
      <c r="C1689" s="226" t="s">
        <v>2997</v>
      </c>
      <c r="D1689" s="226" t="s">
        <v>2998</v>
      </c>
    </row>
    <row r="1690" spans="1:4">
      <c r="A1690" s="226" t="s">
        <v>2999</v>
      </c>
      <c r="B1690" s="226">
        <v>515145</v>
      </c>
      <c r="C1690" s="226" t="s">
        <v>3000</v>
      </c>
      <c r="D1690" s="226" t="s">
        <v>680</v>
      </c>
    </row>
    <row r="1691" spans="1:4">
      <c r="A1691" s="226" t="s">
        <v>3001</v>
      </c>
      <c r="B1691" s="226">
        <v>513039</v>
      </c>
      <c r="C1691" s="226" t="s">
        <v>486</v>
      </c>
      <c r="D1691" s="226" t="s">
        <v>494</v>
      </c>
    </row>
    <row r="1692" spans="1:4">
      <c r="A1692" s="226" t="s">
        <v>3002</v>
      </c>
      <c r="B1692" s="226">
        <v>539984</v>
      </c>
      <c r="C1692" s="226" t="s">
        <v>486</v>
      </c>
      <c r="D1692" s="226" t="s">
        <v>1027</v>
      </c>
    </row>
    <row r="1693" spans="1:4">
      <c r="A1693" s="226" t="s">
        <v>3003</v>
      </c>
      <c r="B1693" s="226">
        <v>530853</v>
      </c>
      <c r="C1693" s="226" t="s">
        <v>486</v>
      </c>
      <c r="D1693" s="226" t="s">
        <v>368</v>
      </c>
    </row>
    <row r="1694" spans="1:4">
      <c r="A1694" s="226" t="s">
        <v>3004</v>
      </c>
      <c r="B1694" s="226">
        <v>531743</v>
      </c>
      <c r="C1694" s="226" t="s">
        <v>486</v>
      </c>
      <c r="D1694" s="226" t="s">
        <v>508</v>
      </c>
    </row>
    <row r="1695" spans="1:4">
      <c r="A1695" s="226" t="s">
        <v>3005</v>
      </c>
      <c r="B1695" s="226">
        <v>590018</v>
      </c>
      <c r="C1695" s="226" t="s">
        <v>3006</v>
      </c>
      <c r="D1695" s="226" t="s">
        <v>518</v>
      </c>
    </row>
    <row r="1696" spans="1:4">
      <c r="A1696" s="226" t="s">
        <v>3007</v>
      </c>
      <c r="B1696" s="226">
        <v>521068</v>
      </c>
      <c r="C1696" s="226" t="s">
        <v>486</v>
      </c>
      <c r="D1696" s="226" t="s">
        <v>501</v>
      </c>
    </row>
    <row r="1697" spans="1:4">
      <c r="A1697" s="226" t="s">
        <v>3008</v>
      </c>
      <c r="B1697" s="226">
        <v>532359</v>
      </c>
      <c r="C1697" s="226" t="s">
        <v>486</v>
      </c>
      <c r="D1697" s="226" t="s">
        <v>579</v>
      </c>
    </row>
    <row r="1698" spans="1:4">
      <c r="A1698" s="226" t="s">
        <v>3009</v>
      </c>
      <c r="B1698" s="226">
        <v>526217</v>
      </c>
      <c r="C1698" s="226" t="s">
        <v>3010</v>
      </c>
      <c r="D1698" s="226" t="s">
        <v>680</v>
      </c>
    </row>
    <row r="1699" spans="1:4">
      <c r="A1699" s="226" t="s">
        <v>3011</v>
      </c>
      <c r="B1699" s="226" t="s">
        <v>486</v>
      </c>
      <c r="C1699" s="226" t="s">
        <v>3012</v>
      </c>
      <c r="D1699" s="226" t="s">
        <v>577</v>
      </c>
    </row>
    <row r="1700" spans="1:4">
      <c r="A1700" s="226" t="s">
        <v>3013</v>
      </c>
      <c r="B1700" s="226">
        <v>541627</v>
      </c>
      <c r="C1700" s="226" t="s">
        <v>3014</v>
      </c>
      <c r="D1700" s="226" t="s">
        <v>1852</v>
      </c>
    </row>
    <row r="1701" spans="1:4">
      <c r="A1701" s="226" t="s">
        <v>3015</v>
      </c>
      <c r="B1701" s="226">
        <v>531661</v>
      </c>
      <c r="C1701" s="226" t="s">
        <v>486</v>
      </c>
      <c r="D1701" s="226" t="s">
        <v>494</v>
      </c>
    </row>
    <row r="1702" spans="1:4">
      <c r="A1702" s="226" t="s">
        <v>3016</v>
      </c>
      <c r="B1702" s="226">
        <v>500191</v>
      </c>
      <c r="C1702" s="226" t="s">
        <v>3017</v>
      </c>
      <c r="D1702" s="226" t="s">
        <v>564</v>
      </c>
    </row>
    <row r="1703" spans="1:4">
      <c r="A1703" s="226" t="s">
        <v>3018</v>
      </c>
      <c r="B1703" s="226">
        <v>522064</v>
      </c>
      <c r="C1703" s="226" t="s">
        <v>3019</v>
      </c>
      <c r="D1703" s="226" t="s">
        <v>494</v>
      </c>
    </row>
    <row r="1704" spans="1:4">
      <c r="A1704" s="226" t="s">
        <v>3020</v>
      </c>
      <c r="B1704" s="226">
        <v>517174</v>
      </c>
      <c r="C1704" s="226" t="s">
        <v>3021</v>
      </c>
      <c r="D1704" s="226" t="s">
        <v>783</v>
      </c>
    </row>
    <row r="1705" spans="1:4">
      <c r="A1705" s="226" t="s">
        <v>3022</v>
      </c>
      <c r="B1705" s="226">
        <v>517174</v>
      </c>
      <c r="C1705" s="226" t="s">
        <v>3021</v>
      </c>
      <c r="D1705" s="226" t="s">
        <v>783</v>
      </c>
    </row>
    <row r="1706" spans="1:4">
      <c r="A1706" s="226" t="s">
        <v>3023</v>
      </c>
      <c r="B1706" s="226">
        <v>500193</v>
      </c>
      <c r="C1706" s="226" t="s">
        <v>3024</v>
      </c>
      <c r="D1706" s="226" t="s">
        <v>686</v>
      </c>
    </row>
    <row r="1707" spans="1:4">
      <c r="A1707" s="226" t="s">
        <v>3025</v>
      </c>
      <c r="B1707" s="226">
        <v>526683</v>
      </c>
      <c r="C1707" s="226" t="s">
        <v>3026</v>
      </c>
      <c r="D1707" s="226" t="s">
        <v>686</v>
      </c>
    </row>
    <row r="1708" spans="1:4">
      <c r="A1708" s="226" t="s">
        <v>3027</v>
      </c>
      <c r="B1708" s="226">
        <v>540530</v>
      </c>
      <c r="C1708" s="226" t="s">
        <v>3028</v>
      </c>
      <c r="D1708" s="226" t="s">
        <v>544</v>
      </c>
    </row>
    <row r="1709" spans="1:4">
      <c r="A1709" s="226" t="s">
        <v>3029</v>
      </c>
      <c r="B1709" s="226">
        <v>532873</v>
      </c>
      <c r="C1709" s="226" t="s">
        <v>3030</v>
      </c>
      <c r="D1709" s="226" t="s">
        <v>572</v>
      </c>
    </row>
    <row r="1710" spans="1:4">
      <c r="A1710" s="226" t="s">
        <v>3031</v>
      </c>
      <c r="B1710" s="226">
        <v>500010</v>
      </c>
      <c r="C1710" s="226" t="s">
        <v>3032</v>
      </c>
      <c r="D1710" s="226" t="s">
        <v>544</v>
      </c>
    </row>
    <row r="1711" spans="1:4">
      <c r="A1711" s="226" t="s">
        <v>3033</v>
      </c>
      <c r="B1711" s="226">
        <v>532761</v>
      </c>
      <c r="C1711" s="226" t="s">
        <v>3034</v>
      </c>
      <c r="D1711" s="226" t="s">
        <v>815</v>
      </c>
    </row>
    <row r="1712" spans="1:4">
      <c r="A1712" s="226" t="s">
        <v>3035</v>
      </c>
      <c r="B1712" s="226">
        <v>526761</v>
      </c>
      <c r="C1712" s="226" t="s">
        <v>486</v>
      </c>
      <c r="D1712" s="226" t="s">
        <v>686</v>
      </c>
    </row>
    <row r="1713" spans="1:4">
      <c r="A1713" s="226" t="s">
        <v>3036</v>
      </c>
      <c r="B1713" s="226">
        <v>535217</v>
      </c>
      <c r="C1713" s="226" t="s">
        <v>486</v>
      </c>
      <c r="D1713" s="226" t="s">
        <v>683</v>
      </c>
    </row>
    <row r="1714" spans="1:4">
      <c r="A1714" s="226" t="s">
        <v>3037</v>
      </c>
      <c r="B1714" s="226">
        <v>540136</v>
      </c>
      <c r="C1714" s="226" t="s">
        <v>3038</v>
      </c>
      <c r="D1714" s="226" t="s">
        <v>529</v>
      </c>
    </row>
    <row r="1715" spans="1:4">
      <c r="A1715" s="226" t="s">
        <v>3039</v>
      </c>
      <c r="B1715" s="226">
        <v>531724</v>
      </c>
      <c r="C1715" s="226" t="s">
        <v>486</v>
      </c>
      <c r="D1715" s="226" t="s">
        <v>906</v>
      </c>
    </row>
    <row r="1716" spans="1:4">
      <c r="A1716" s="226" t="s">
        <v>3040</v>
      </c>
      <c r="B1716" s="226">
        <v>500187</v>
      </c>
      <c r="C1716" s="226" t="s">
        <v>3041</v>
      </c>
      <c r="D1716" s="226" t="s">
        <v>680</v>
      </c>
    </row>
    <row r="1717" spans="1:4">
      <c r="A1717" s="226" t="s">
        <v>3042</v>
      </c>
      <c r="B1717" s="226">
        <v>532662</v>
      </c>
      <c r="C1717" s="226" t="s">
        <v>3043</v>
      </c>
      <c r="D1717" s="226" t="s">
        <v>1009</v>
      </c>
    </row>
    <row r="1718" spans="1:4">
      <c r="A1718" s="226" t="s">
        <v>3044</v>
      </c>
      <c r="B1718" s="226">
        <v>532799</v>
      </c>
      <c r="C1718" s="226" t="s">
        <v>3045</v>
      </c>
      <c r="D1718" s="226" t="s">
        <v>572</v>
      </c>
    </row>
    <row r="1719" spans="1:4">
      <c r="A1719" s="226" t="s">
        <v>3046</v>
      </c>
      <c r="B1719" s="226">
        <v>509820</v>
      </c>
      <c r="C1719" s="226" t="s">
        <v>3047</v>
      </c>
      <c r="D1719" s="226" t="s">
        <v>680</v>
      </c>
    </row>
    <row r="1720" spans="1:4">
      <c r="A1720" s="226" t="s">
        <v>3048</v>
      </c>
      <c r="B1720" s="226">
        <v>542592</v>
      </c>
      <c r="C1720" s="226" t="s">
        <v>3049</v>
      </c>
      <c r="D1720" s="226" t="s">
        <v>349</v>
      </c>
    </row>
    <row r="1721" spans="1:4">
      <c r="A1721" s="226" t="s">
        <v>3050</v>
      </c>
      <c r="B1721" s="226" t="s">
        <v>486</v>
      </c>
      <c r="C1721" s="226" t="s">
        <v>3051</v>
      </c>
      <c r="D1721" s="226" t="s">
        <v>497</v>
      </c>
    </row>
    <row r="1722" spans="1:4">
      <c r="A1722" s="226" t="s">
        <v>3052</v>
      </c>
      <c r="B1722" s="226">
        <v>539724</v>
      </c>
      <c r="C1722" s="226" t="s">
        <v>486</v>
      </c>
      <c r="D1722" s="226" t="s">
        <v>473</v>
      </c>
    </row>
    <row r="1723" spans="1:4">
      <c r="A1723" s="226" t="s">
        <v>3053</v>
      </c>
      <c r="B1723" s="226">
        <v>519463</v>
      </c>
      <c r="C1723" s="226" t="s">
        <v>486</v>
      </c>
      <c r="D1723" s="226" t="s">
        <v>683</v>
      </c>
    </row>
    <row r="1724" spans="1:4">
      <c r="A1724" s="226" t="s">
        <v>3054</v>
      </c>
      <c r="B1724" s="226" t="s">
        <v>486</v>
      </c>
      <c r="C1724" s="226" t="s">
        <v>3055</v>
      </c>
      <c r="D1724" s="226" t="s">
        <v>497</v>
      </c>
    </row>
    <row r="1725" spans="1:4">
      <c r="A1725" s="226" t="s">
        <v>3056</v>
      </c>
      <c r="B1725" s="226">
        <v>532174</v>
      </c>
      <c r="C1725" s="226" t="s">
        <v>3057</v>
      </c>
      <c r="D1725" s="226" t="s">
        <v>803</v>
      </c>
    </row>
    <row r="1726" spans="1:4">
      <c r="A1726" s="226" t="s">
        <v>3058</v>
      </c>
      <c r="B1726" s="226">
        <v>540716</v>
      </c>
      <c r="C1726" s="226" t="s">
        <v>3059</v>
      </c>
      <c r="D1726" s="226" t="s">
        <v>2565</v>
      </c>
    </row>
    <row r="1727" spans="1:4">
      <c r="A1727" s="226" t="s">
        <v>3060</v>
      </c>
      <c r="B1727" s="226">
        <v>533244</v>
      </c>
      <c r="C1727" s="226" t="s">
        <v>3061</v>
      </c>
      <c r="D1727" s="226" t="s">
        <v>470</v>
      </c>
    </row>
    <row r="1728" spans="1:4">
      <c r="A1728" s="226" t="s">
        <v>3062</v>
      </c>
      <c r="B1728" s="226">
        <v>540133</v>
      </c>
      <c r="C1728" s="226" t="s">
        <v>3063</v>
      </c>
      <c r="D1728" s="226" t="s">
        <v>2895</v>
      </c>
    </row>
    <row r="1729" spans="1:4">
      <c r="A1729" s="226" t="s">
        <v>3064</v>
      </c>
      <c r="B1729" s="226">
        <v>555555</v>
      </c>
      <c r="C1729" s="226" t="s">
        <v>3065</v>
      </c>
      <c r="D1729" s="226" t="s">
        <v>470</v>
      </c>
    </row>
    <row r="1730" spans="1:4">
      <c r="A1730" s="226" t="s">
        <v>3066</v>
      </c>
      <c r="B1730" s="226">
        <v>541179</v>
      </c>
      <c r="C1730" s="226" t="s">
        <v>3067</v>
      </c>
      <c r="D1730" s="226" t="s">
        <v>470</v>
      </c>
    </row>
    <row r="1731" spans="1:4">
      <c r="A1731" s="226" t="s">
        <v>3068</v>
      </c>
      <c r="B1731" s="226">
        <v>532835</v>
      </c>
      <c r="C1731" s="226" t="s">
        <v>3069</v>
      </c>
      <c r="D1731" s="226" t="s">
        <v>470</v>
      </c>
    </row>
    <row r="1732" spans="1:4">
      <c r="A1732" s="226" t="s">
        <v>3070</v>
      </c>
      <c r="B1732" s="226">
        <v>531524</v>
      </c>
      <c r="C1732" s="226" t="s">
        <v>3071</v>
      </c>
      <c r="D1732" s="226" t="s">
        <v>783</v>
      </c>
    </row>
    <row r="1733" spans="1:4">
      <c r="A1733" s="226" t="s">
        <v>3072</v>
      </c>
      <c r="B1733" s="226">
        <v>531524</v>
      </c>
      <c r="C1733" s="226" t="s">
        <v>3071</v>
      </c>
      <c r="D1733" s="226" t="s">
        <v>783</v>
      </c>
    </row>
    <row r="1734" spans="1:4">
      <c r="A1734" s="226" t="s">
        <v>3073</v>
      </c>
      <c r="B1734" s="226">
        <v>500116</v>
      </c>
      <c r="C1734" s="226" t="s">
        <v>3074</v>
      </c>
      <c r="D1734" s="226" t="s">
        <v>803</v>
      </c>
    </row>
    <row r="1735" spans="1:4">
      <c r="A1735" s="226" t="s">
        <v>3075</v>
      </c>
      <c r="B1735" s="226">
        <v>539437</v>
      </c>
      <c r="C1735" s="226" t="s">
        <v>3076</v>
      </c>
      <c r="D1735" s="226" t="s">
        <v>803</v>
      </c>
    </row>
    <row r="1736" spans="1:4">
      <c r="A1736" s="226" t="s">
        <v>3077</v>
      </c>
      <c r="B1736" s="226" t="s">
        <v>486</v>
      </c>
      <c r="C1736" s="226" t="s">
        <v>3078</v>
      </c>
      <c r="D1736" s="226" t="s">
        <v>803</v>
      </c>
    </row>
    <row r="1737" spans="1:4">
      <c r="A1737" s="226" t="s">
        <v>3079</v>
      </c>
      <c r="B1737" s="226">
        <v>532659</v>
      </c>
      <c r="C1737" s="226" t="s">
        <v>3080</v>
      </c>
      <c r="D1737" s="226" t="s">
        <v>503</v>
      </c>
    </row>
    <row r="1738" spans="1:4">
      <c r="A1738" s="226" t="s">
        <v>3081</v>
      </c>
      <c r="B1738" s="226">
        <v>507438</v>
      </c>
      <c r="C1738" s="226" t="s">
        <v>3082</v>
      </c>
      <c r="D1738" s="226" t="s">
        <v>1117</v>
      </c>
    </row>
    <row r="1739" spans="1:4">
      <c r="A1739" s="226" t="s">
        <v>3083</v>
      </c>
      <c r="B1739" s="226">
        <v>505726</v>
      </c>
      <c r="C1739" s="226" t="s">
        <v>3084</v>
      </c>
      <c r="D1739" s="226" t="s">
        <v>1248</v>
      </c>
    </row>
    <row r="1740" spans="1:4">
      <c r="A1740" s="226" t="s">
        <v>3085</v>
      </c>
      <c r="B1740" s="226">
        <v>500106</v>
      </c>
      <c r="C1740" s="226" t="s">
        <v>3086</v>
      </c>
      <c r="D1740" s="226" t="s">
        <v>2815</v>
      </c>
    </row>
    <row r="1741" spans="1:4">
      <c r="A1741" s="226" t="s">
        <v>3087</v>
      </c>
      <c r="B1741" s="226">
        <v>540774</v>
      </c>
      <c r="C1741" s="226" t="s">
        <v>3088</v>
      </c>
      <c r="D1741" s="226" t="s">
        <v>670</v>
      </c>
    </row>
    <row r="1742" spans="1:4">
      <c r="A1742" s="226" t="s">
        <v>3089</v>
      </c>
      <c r="B1742" s="226">
        <v>540377</v>
      </c>
      <c r="C1742" s="226" t="s">
        <v>486</v>
      </c>
      <c r="D1742" s="226" t="s">
        <v>508</v>
      </c>
    </row>
    <row r="1743" spans="1:4">
      <c r="A1743" s="226" t="s">
        <v>3090</v>
      </c>
      <c r="B1743" s="226">
        <v>522289</v>
      </c>
      <c r="C1743" s="226" t="s">
        <v>486</v>
      </c>
      <c r="D1743" s="226" t="s">
        <v>508</v>
      </c>
    </row>
    <row r="1744" spans="1:4">
      <c r="A1744" s="226" t="s">
        <v>3091</v>
      </c>
      <c r="B1744" s="226">
        <v>500199</v>
      </c>
      <c r="C1744" s="226" t="s">
        <v>3092</v>
      </c>
      <c r="D1744" s="226" t="s">
        <v>534</v>
      </c>
    </row>
    <row r="1745" spans="1:4">
      <c r="A1745" s="226" t="s">
        <v>3093</v>
      </c>
      <c r="B1745" s="226">
        <v>517380</v>
      </c>
      <c r="C1745" s="226" t="s">
        <v>3094</v>
      </c>
      <c r="D1745" s="226" t="s">
        <v>840</v>
      </c>
    </row>
    <row r="1746" spans="1:4">
      <c r="A1746" s="226" t="s">
        <v>3095</v>
      </c>
      <c r="B1746" s="226">
        <v>517380</v>
      </c>
      <c r="C1746" s="226" t="s">
        <v>3094</v>
      </c>
      <c r="D1746" s="226" t="s">
        <v>840</v>
      </c>
    </row>
    <row r="1747" spans="1:4">
      <c r="A1747" s="226" t="s">
        <v>3096</v>
      </c>
      <c r="B1747" s="226">
        <v>539449</v>
      </c>
      <c r="C1747" s="226" t="s">
        <v>486</v>
      </c>
      <c r="D1747" s="226" t="s">
        <v>508</v>
      </c>
    </row>
    <row r="1748" spans="1:4">
      <c r="A1748" s="226" t="s">
        <v>3097</v>
      </c>
      <c r="B1748" s="226">
        <v>532636</v>
      </c>
      <c r="C1748" s="226" t="s">
        <v>3098</v>
      </c>
      <c r="D1748" s="226" t="s">
        <v>470</v>
      </c>
    </row>
    <row r="1749" spans="1:4">
      <c r="A1749" s="226" t="s">
        <v>3099</v>
      </c>
      <c r="B1749" s="226">
        <v>531968</v>
      </c>
      <c r="C1749" s="226" t="s">
        <v>3100</v>
      </c>
      <c r="D1749" s="226" t="s">
        <v>572</v>
      </c>
    </row>
    <row r="1750" spans="1:4">
      <c r="A1750" s="226" t="s">
        <v>3101</v>
      </c>
      <c r="B1750" s="226">
        <v>514238</v>
      </c>
      <c r="C1750" s="226" t="s">
        <v>486</v>
      </c>
      <c r="D1750" s="226" t="s">
        <v>470</v>
      </c>
    </row>
    <row r="1751" spans="1:4">
      <c r="A1751" s="226" t="s">
        <v>3102</v>
      </c>
      <c r="B1751" s="226">
        <v>532414</v>
      </c>
      <c r="C1751" s="226" t="s">
        <v>486</v>
      </c>
      <c r="D1751" s="226" t="s">
        <v>579</v>
      </c>
    </row>
    <row r="1752" spans="1:4">
      <c r="A1752" s="226" t="s">
        <v>3103</v>
      </c>
      <c r="B1752" s="226">
        <v>532907</v>
      </c>
      <c r="C1752" s="226" t="s">
        <v>3104</v>
      </c>
      <c r="D1752" s="226" t="s">
        <v>883</v>
      </c>
    </row>
    <row r="1753" spans="1:4">
      <c r="A1753" s="226" t="s">
        <v>3105</v>
      </c>
      <c r="B1753" s="226">
        <v>511208</v>
      </c>
      <c r="C1753" s="226" t="s">
        <v>3106</v>
      </c>
      <c r="D1753" s="226" t="s">
        <v>2888</v>
      </c>
    </row>
    <row r="1754" spans="1:4">
      <c r="A1754" s="226" t="s">
        <v>3107</v>
      </c>
      <c r="B1754" s="226">
        <v>533177</v>
      </c>
      <c r="C1754" s="226" t="s">
        <v>3108</v>
      </c>
      <c r="D1754" s="226" t="s">
        <v>1080</v>
      </c>
    </row>
    <row r="1755" spans="1:4">
      <c r="A1755" s="226" t="s">
        <v>3109</v>
      </c>
      <c r="B1755" s="226">
        <v>511628</v>
      </c>
      <c r="C1755" s="226" t="s">
        <v>486</v>
      </c>
      <c r="D1755" s="226" t="s">
        <v>503</v>
      </c>
    </row>
    <row r="1756" spans="1:4">
      <c r="A1756" s="226" t="s">
        <v>3110</v>
      </c>
      <c r="B1756" s="226">
        <v>505539</v>
      </c>
      <c r="C1756" s="226" t="s">
        <v>486</v>
      </c>
      <c r="D1756" s="226" t="s">
        <v>906</v>
      </c>
    </row>
    <row r="1757" spans="1:4">
      <c r="A1757" s="226" t="s">
        <v>3111</v>
      </c>
      <c r="B1757" s="226">
        <v>513295</v>
      </c>
      <c r="C1757" s="226" t="s">
        <v>486</v>
      </c>
      <c r="D1757" s="226" t="s">
        <v>518</v>
      </c>
    </row>
    <row r="1758" spans="1:4">
      <c r="A1758" s="226" t="s">
        <v>3112</v>
      </c>
      <c r="B1758" s="226">
        <v>517571</v>
      </c>
      <c r="C1758" s="226" t="s">
        <v>3113</v>
      </c>
      <c r="D1758" s="226" t="s">
        <v>529</v>
      </c>
    </row>
    <row r="1759" spans="1:4">
      <c r="A1759" s="226" t="s">
        <v>3114</v>
      </c>
      <c r="B1759" s="226">
        <v>532614</v>
      </c>
      <c r="C1759" s="226" t="s">
        <v>3115</v>
      </c>
      <c r="D1759" s="226" t="s">
        <v>518</v>
      </c>
    </row>
    <row r="1760" spans="1:4">
      <c r="A1760" s="226" t="s">
        <v>3116</v>
      </c>
      <c r="B1760" s="226">
        <v>531129</v>
      </c>
      <c r="C1760" s="226" t="s">
        <v>486</v>
      </c>
      <c r="D1760" s="226" t="s">
        <v>1013</v>
      </c>
    </row>
    <row r="1761" spans="1:4">
      <c r="A1761" s="226" t="s">
        <v>3117</v>
      </c>
      <c r="B1761" s="226">
        <v>531672</v>
      </c>
      <c r="C1761" s="226" t="s">
        <v>486</v>
      </c>
      <c r="D1761" s="226" t="s">
        <v>470</v>
      </c>
    </row>
    <row r="1762" spans="1:4">
      <c r="A1762" s="226" t="s">
        <v>3118</v>
      </c>
      <c r="B1762" s="226">
        <v>517370</v>
      </c>
      <c r="C1762" s="226" t="s">
        <v>486</v>
      </c>
      <c r="D1762" s="226" t="s">
        <v>783</v>
      </c>
    </row>
    <row r="1763" spans="1:4">
      <c r="A1763" s="226" t="s">
        <v>3119</v>
      </c>
      <c r="B1763" s="226">
        <v>538541</v>
      </c>
      <c r="C1763" s="226" t="s">
        <v>486</v>
      </c>
      <c r="D1763" s="226" t="s">
        <v>508</v>
      </c>
    </row>
    <row r="1764" spans="1:4">
      <c r="A1764" s="226" t="s">
        <v>3120</v>
      </c>
      <c r="B1764" s="226">
        <v>531594</v>
      </c>
      <c r="C1764" s="226" t="s">
        <v>486</v>
      </c>
      <c r="D1764" s="226" t="s">
        <v>494</v>
      </c>
    </row>
    <row r="1765" spans="1:4">
      <c r="A1765" s="226" t="s">
        <v>3121</v>
      </c>
      <c r="B1765" s="226">
        <v>523465</v>
      </c>
      <c r="C1765" s="226" t="s">
        <v>486</v>
      </c>
      <c r="D1765" s="226" t="s">
        <v>544</v>
      </c>
    </row>
    <row r="1766" spans="1:4">
      <c r="A1766" s="226" t="s">
        <v>3122</v>
      </c>
      <c r="B1766" s="226">
        <v>536709</v>
      </c>
      <c r="C1766" s="226" t="s">
        <v>486</v>
      </c>
      <c r="D1766" s="226" t="s">
        <v>624</v>
      </c>
    </row>
    <row r="1767" spans="1:4">
      <c r="A1767" s="226" t="s">
        <v>3123</v>
      </c>
      <c r="B1767" s="226">
        <v>509162</v>
      </c>
      <c r="C1767" s="226" t="s">
        <v>486</v>
      </c>
      <c r="D1767" s="226" t="s">
        <v>965</v>
      </c>
    </row>
    <row r="1768" spans="1:4">
      <c r="A1768" s="226" t="s">
        <v>3124</v>
      </c>
      <c r="B1768" s="226">
        <v>517077</v>
      </c>
      <c r="C1768" s="226" t="s">
        <v>486</v>
      </c>
      <c r="D1768" s="226" t="s">
        <v>508</v>
      </c>
    </row>
    <row r="1769" spans="1:4">
      <c r="A1769" s="226" t="s">
        <v>3125</v>
      </c>
      <c r="B1769" s="226">
        <v>511473</v>
      </c>
      <c r="C1769" s="226" t="s">
        <v>3126</v>
      </c>
      <c r="D1769" s="226" t="s">
        <v>470</v>
      </c>
    </row>
    <row r="1770" spans="1:4">
      <c r="A1770" s="226" t="s">
        <v>3127</v>
      </c>
      <c r="B1770" s="226">
        <v>531505</v>
      </c>
      <c r="C1770" s="226" t="s">
        <v>486</v>
      </c>
      <c r="D1770" s="226" t="s">
        <v>503</v>
      </c>
    </row>
    <row r="1771" spans="1:4">
      <c r="A1771" s="226" t="s">
        <v>3128</v>
      </c>
      <c r="B1771" s="226">
        <v>511355</v>
      </c>
      <c r="C1771" s="226" t="s">
        <v>486</v>
      </c>
      <c r="D1771" s="226" t="s">
        <v>503</v>
      </c>
    </row>
    <row r="1772" spans="1:4">
      <c r="A1772" s="226" t="s">
        <v>3129</v>
      </c>
      <c r="B1772" s="226">
        <v>535667</v>
      </c>
      <c r="C1772" s="226" t="s">
        <v>486</v>
      </c>
      <c r="D1772" s="226" t="s">
        <v>503</v>
      </c>
    </row>
    <row r="1773" spans="1:4">
      <c r="A1773" s="226" t="s">
        <v>3130</v>
      </c>
      <c r="B1773" s="226">
        <v>531253</v>
      </c>
      <c r="C1773" s="226" t="s">
        <v>486</v>
      </c>
      <c r="D1773" s="226" t="s">
        <v>645</v>
      </c>
    </row>
    <row r="1774" spans="1:4">
      <c r="A1774" s="226" t="s">
        <v>3131</v>
      </c>
      <c r="B1774" s="226">
        <v>500201</v>
      </c>
      <c r="C1774" s="226" t="s">
        <v>3132</v>
      </c>
      <c r="D1774" s="226" t="s">
        <v>534</v>
      </c>
    </row>
    <row r="1775" spans="1:4">
      <c r="A1775" s="226" t="s">
        <v>3133</v>
      </c>
      <c r="B1775" s="226">
        <v>540152</v>
      </c>
      <c r="C1775" s="226" t="s">
        <v>486</v>
      </c>
      <c r="D1775" s="226" t="s">
        <v>572</v>
      </c>
    </row>
    <row r="1776" spans="1:4">
      <c r="A1776" s="226" t="s">
        <v>3134</v>
      </c>
      <c r="B1776" s="226">
        <v>540565</v>
      </c>
      <c r="C1776" s="226" t="s">
        <v>3135</v>
      </c>
      <c r="D1776" s="226" t="s">
        <v>506</v>
      </c>
    </row>
    <row r="1777" spans="1:4">
      <c r="A1777" s="226" t="s">
        <v>3136</v>
      </c>
      <c r="B1777" s="226">
        <v>530979</v>
      </c>
      <c r="C1777" s="226" t="s">
        <v>486</v>
      </c>
      <c r="D1777" s="226" t="s">
        <v>544</v>
      </c>
    </row>
    <row r="1778" spans="1:4">
      <c r="A1778" s="226" t="s">
        <v>3137</v>
      </c>
      <c r="B1778" s="226">
        <v>531343</v>
      </c>
      <c r="C1778" s="226" t="s">
        <v>486</v>
      </c>
      <c r="D1778" s="226" t="s">
        <v>906</v>
      </c>
    </row>
    <row r="1779" spans="1:4">
      <c r="A1779" s="226" t="s">
        <v>3138</v>
      </c>
      <c r="B1779" s="226">
        <v>590065</v>
      </c>
      <c r="C1779" s="226" t="s">
        <v>3139</v>
      </c>
      <c r="D1779" s="226" t="s">
        <v>508</v>
      </c>
    </row>
    <row r="1780" spans="1:4">
      <c r="A1780" s="226" t="s">
        <v>3140</v>
      </c>
      <c r="B1780" s="226">
        <v>532240</v>
      </c>
      <c r="C1780" s="226" t="s">
        <v>3141</v>
      </c>
      <c r="D1780" s="226" t="s">
        <v>840</v>
      </c>
    </row>
    <row r="1781" spans="1:4">
      <c r="A1781" s="226" t="s">
        <v>3142</v>
      </c>
      <c r="B1781" s="226">
        <v>513361</v>
      </c>
      <c r="C1781" s="226" t="s">
        <v>486</v>
      </c>
      <c r="D1781" s="226" t="s">
        <v>518</v>
      </c>
    </row>
    <row r="1782" spans="1:4">
      <c r="A1782" s="226" t="s">
        <v>3143</v>
      </c>
      <c r="B1782" s="226">
        <v>532189</v>
      </c>
      <c r="C1782" s="226" t="s">
        <v>3144</v>
      </c>
      <c r="D1782" s="226" t="s">
        <v>686</v>
      </c>
    </row>
    <row r="1783" spans="1:4">
      <c r="A1783" s="226" t="s">
        <v>3145</v>
      </c>
      <c r="B1783" s="226">
        <v>535789</v>
      </c>
      <c r="C1783" s="226" t="s">
        <v>3146</v>
      </c>
      <c r="D1783" s="226" t="s">
        <v>544</v>
      </c>
    </row>
    <row r="1784" spans="1:4">
      <c r="A1784" s="226" t="s">
        <v>3147</v>
      </c>
      <c r="B1784" s="226">
        <v>533520</v>
      </c>
      <c r="C1784" s="226" t="s">
        <v>3148</v>
      </c>
      <c r="D1784" s="226" t="s">
        <v>508</v>
      </c>
    </row>
    <row r="1785" spans="1:4">
      <c r="A1785" s="226" t="s">
        <v>3149</v>
      </c>
      <c r="B1785" s="226">
        <v>532832</v>
      </c>
      <c r="C1785" s="226" t="s">
        <v>3150</v>
      </c>
      <c r="D1785" s="226" t="s">
        <v>572</v>
      </c>
    </row>
    <row r="1786" spans="1:4">
      <c r="A1786" s="226" t="s">
        <v>3151</v>
      </c>
      <c r="B1786" s="226">
        <v>532960</v>
      </c>
      <c r="C1786" s="226" t="s">
        <v>3152</v>
      </c>
      <c r="D1786" s="226" t="s">
        <v>470</v>
      </c>
    </row>
    <row r="1787" spans="1:4">
      <c r="A1787" s="226" t="s">
        <v>3153</v>
      </c>
      <c r="B1787" s="226">
        <v>514165</v>
      </c>
      <c r="C1787" s="226" t="s">
        <v>486</v>
      </c>
      <c r="D1787" s="226" t="s">
        <v>862</v>
      </c>
    </row>
    <row r="1788" spans="1:4">
      <c r="A1788" s="226" t="s">
        <v>3154</v>
      </c>
      <c r="B1788" s="226">
        <v>532814</v>
      </c>
      <c r="C1788" s="226" t="s">
        <v>3155</v>
      </c>
      <c r="D1788" s="226" t="s">
        <v>803</v>
      </c>
    </row>
    <row r="1789" spans="1:4">
      <c r="A1789" s="226" t="s">
        <v>3156</v>
      </c>
      <c r="B1789" s="226">
        <v>504731</v>
      </c>
      <c r="C1789" s="226" t="s">
        <v>486</v>
      </c>
      <c r="D1789" s="226" t="s">
        <v>518</v>
      </c>
    </row>
    <row r="1790" spans="1:4">
      <c r="A1790" s="226" t="s">
        <v>3157</v>
      </c>
      <c r="B1790" s="226">
        <v>509692</v>
      </c>
      <c r="C1790" s="226" t="s">
        <v>3158</v>
      </c>
      <c r="D1790" s="226" t="s">
        <v>501</v>
      </c>
    </row>
    <row r="1791" spans="1:4">
      <c r="A1791" s="226" t="s">
        <v>3159</v>
      </c>
      <c r="B1791" s="226">
        <v>540750</v>
      </c>
      <c r="C1791" s="226" t="s">
        <v>3160</v>
      </c>
      <c r="D1791" s="226" t="s">
        <v>624</v>
      </c>
    </row>
    <row r="1792" spans="1:4">
      <c r="A1792" s="226" t="s">
        <v>3161</v>
      </c>
      <c r="B1792" s="226">
        <v>524614</v>
      </c>
      <c r="C1792" s="226" t="s">
        <v>486</v>
      </c>
      <c r="D1792" s="226" t="s">
        <v>566</v>
      </c>
    </row>
    <row r="1793" spans="1:4">
      <c r="A1793" s="226" t="s">
        <v>3162</v>
      </c>
      <c r="B1793" s="226">
        <v>504741</v>
      </c>
      <c r="C1793" s="226" t="s">
        <v>3163</v>
      </c>
      <c r="D1793" s="226" t="s">
        <v>499</v>
      </c>
    </row>
    <row r="1794" spans="1:4">
      <c r="A1794" s="226" t="s">
        <v>3164</v>
      </c>
      <c r="B1794" s="226">
        <v>509051</v>
      </c>
      <c r="C1794" s="226" t="s">
        <v>486</v>
      </c>
      <c r="D1794" s="226" t="s">
        <v>579</v>
      </c>
    </row>
    <row r="1795" spans="1:4">
      <c r="A1795" s="226" t="s">
        <v>3165</v>
      </c>
      <c r="B1795" s="226">
        <v>504746</v>
      </c>
      <c r="C1795" s="226" t="s">
        <v>486</v>
      </c>
      <c r="D1795" s="226" t="s">
        <v>1403</v>
      </c>
    </row>
    <row r="1796" spans="1:4">
      <c r="A1796" s="226" t="s">
        <v>3166</v>
      </c>
      <c r="B1796" s="226">
        <v>533047</v>
      </c>
      <c r="C1796" s="226" t="s">
        <v>3167</v>
      </c>
      <c r="D1796" s="226" t="s">
        <v>518</v>
      </c>
    </row>
    <row r="1797" spans="1:4">
      <c r="A1797" s="226" t="s">
        <v>3168</v>
      </c>
      <c r="B1797" s="226">
        <v>530965</v>
      </c>
      <c r="C1797" s="226" t="s">
        <v>3169</v>
      </c>
      <c r="D1797" s="226" t="s">
        <v>695</v>
      </c>
    </row>
    <row r="1798" spans="1:4">
      <c r="A1798" s="226" t="s">
        <v>3170</v>
      </c>
      <c r="B1798" s="226">
        <v>532388</v>
      </c>
      <c r="C1798" s="226" t="s">
        <v>3171</v>
      </c>
      <c r="D1798" s="226" t="s">
        <v>803</v>
      </c>
    </row>
    <row r="1799" spans="1:4">
      <c r="A1799" s="226" t="s">
        <v>3172</v>
      </c>
      <c r="B1799" s="226">
        <v>500319</v>
      </c>
      <c r="C1799" s="226" t="s">
        <v>486</v>
      </c>
      <c r="D1799" s="226" t="s">
        <v>1184</v>
      </c>
    </row>
    <row r="1800" spans="1:4">
      <c r="A1800" s="226" t="s">
        <v>3173</v>
      </c>
      <c r="B1800" s="226">
        <v>533329</v>
      </c>
      <c r="C1800" s="226" t="s">
        <v>3174</v>
      </c>
      <c r="D1800" s="226" t="s">
        <v>599</v>
      </c>
    </row>
    <row r="1801" spans="1:4">
      <c r="A1801" s="226" t="s">
        <v>3175</v>
      </c>
      <c r="B1801" s="226">
        <v>523586</v>
      </c>
      <c r="C1801" s="226" t="s">
        <v>486</v>
      </c>
      <c r="D1801" s="226" t="s">
        <v>645</v>
      </c>
    </row>
    <row r="1802" spans="1:4">
      <c r="A1802" s="226" t="s">
        <v>3176</v>
      </c>
      <c r="B1802" s="226">
        <v>501700</v>
      </c>
      <c r="C1802" s="226" t="s">
        <v>486</v>
      </c>
      <c r="D1802" s="226" t="s">
        <v>503</v>
      </c>
    </row>
    <row r="1803" spans="1:4">
      <c r="A1803" s="226" t="s">
        <v>3177</v>
      </c>
      <c r="B1803" s="226">
        <v>532745</v>
      </c>
      <c r="C1803" s="226" t="s">
        <v>486</v>
      </c>
      <c r="D1803" s="226" t="s">
        <v>470</v>
      </c>
    </row>
    <row r="1804" spans="1:4">
      <c r="A1804" s="226" t="s">
        <v>3178</v>
      </c>
      <c r="B1804" s="226">
        <v>524648</v>
      </c>
      <c r="C1804" s="226" t="s">
        <v>486</v>
      </c>
      <c r="D1804" s="226" t="s">
        <v>534</v>
      </c>
    </row>
    <row r="1805" spans="1:4">
      <c r="A1805" s="226" t="s">
        <v>3179</v>
      </c>
      <c r="B1805" s="226">
        <v>530747</v>
      </c>
      <c r="C1805" s="226" t="s">
        <v>486</v>
      </c>
      <c r="D1805" s="226" t="s">
        <v>503</v>
      </c>
    </row>
    <row r="1806" spans="1:4">
      <c r="A1806" s="226" t="s">
        <v>3180</v>
      </c>
      <c r="B1806" s="226">
        <v>524342</v>
      </c>
      <c r="C1806" s="226" t="s">
        <v>486</v>
      </c>
      <c r="D1806" s="226" t="s">
        <v>534</v>
      </c>
    </row>
    <row r="1807" spans="1:4">
      <c r="A1807" s="226" t="s">
        <v>3181</v>
      </c>
      <c r="B1807" s="226">
        <v>538838</v>
      </c>
      <c r="C1807" s="226" t="s">
        <v>486</v>
      </c>
      <c r="D1807" s="226" t="s">
        <v>501</v>
      </c>
    </row>
    <row r="1808" spans="1:4">
      <c r="A1808" s="226" t="s">
        <v>3182</v>
      </c>
      <c r="B1808" s="226">
        <v>521016</v>
      </c>
      <c r="C1808" s="226" t="s">
        <v>3183</v>
      </c>
      <c r="D1808" s="226" t="s">
        <v>501</v>
      </c>
    </row>
    <row r="1809" spans="1:4">
      <c r="A1809" s="226" t="s">
        <v>3184</v>
      </c>
      <c r="B1809" s="226">
        <v>526887</v>
      </c>
      <c r="C1809" s="226" t="s">
        <v>486</v>
      </c>
      <c r="D1809" s="226" t="s">
        <v>503</v>
      </c>
    </row>
    <row r="1810" spans="1:4">
      <c r="A1810" s="226" t="s">
        <v>3185</v>
      </c>
      <c r="B1810" s="226">
        <v>524458</v>
      </c>
      <c r="C1810" s="226" t="s">
        <v>486</v>
      </c>
      <c r="D1810" s="226" t="s">
        <v>645</v>
      </c>
    </row>
    <row r="1811" spans="1:4">
      <c r="A1811" s="226" t="s">
        <v>3186</v>
      </c>
      <c r="B1811" s="226">
        <v>506945</v>
      </c>
      <c r="C1811" s="226" t="s">
        <v>486</v>
      </c>
      <c r="D1811" s="226" t="s">
        <v>645</v>
      </c>
    </row>
    <row r="1812" spans="1:4">
      <c r="A1812" s="226" t="s">
        <v>3187</v>
      </c>
      <c r="B1812" s="226">
        <v>531565</v>
      </c>
      <c r="C1812" s="226" t="s">
        <v>486</v>
      </c>
      <c r="D1812" s="226" t="s">
        <v>572</v>
      </c>
    </row>
    <row r="1813" spans="1:4">
      <c r="A1813" s="226" t="s">
        <v>3188</v>
      </c>
      <c r="B1813" s="226">
        <v>500207</v>
      </c>
      <c r="C1813" s="226" t="s">
        <v>3189</v>
      </c>
      <c r="D1813" s="226" t="s">
        <v>501</v>
      </c>
    </row>
    <row r="1814" spans="1:4">
      <c r="A1814" s="226" t="s">
        <v>3190</v>
      </c>
      <c r="B1814" s="226">
        <v>500207</v>
      </c>
      <c r="C1814" s="226" t="s">
        <v>3189</v>
      </c>
      <c r="D1814" s="226" t="s">
        <v>501</v>
      </c>
    </row>
    <row r="1815" spans="1:4">
      <c r="A1815" s="226" t="s">
        <v>3191</v>
      </c>
      <c r="B1815" s="226">
        <v>532717</v>
      </c>
      <c r="C1815" s="226" t="s">
        <v>3192</v>
      </c>
      <c r="D1815" s="226" t="s">
        <v>529</v>
      </c>
    </row>
    <row r="1816" spans="1:4">
      <c r="A1816" s="226" t="s">
        <v>3193</v>
      </c>
      <c r="B1816" s="226">
        <v>533676</v>
      </c>
      <c r="C1816" s="226" t="s">
        <v>3194</v>
      </c>
      <c r="D1816" s="226" t="s">
        <v>470</v>
      </c>
    </row>
    <row r="1817" spans="1:4">
      <c r="A1817" s="226" t="s">
        <v>3195</v>
      </c>
      <c r="B1817" s="226">
        <v>541304</v>
      </c>
      <c r="C1817" s="226" t="s">
        <v>486</v>
      </c>
      <c r="D1817" s="226" t="s">
        <v>683</v>
      </c>
    </row>
    <row r="1818" spans="1:4">
      <c r="A1818" s="226" t="s">
        <v>3196</v>
      </c>
      <c r="B1818" s="226">
        <v>532100</v>
      </c>
      <c r="C1818" s="226" t="s">
        <v>486</v>
      </c>
      <c r="D1818" s="226" t="s">
        <v>579</v>
      </c>
    </row>
    <row r="1819" spans="1:4">
      <c r="A1819" s="226" t="s">
        <v>3197</v>
      </c>
      <c r="B1819" s="226">
        <v>532612</v>
      </c>
      <c r="C1819" s="226" t="s">
        <v>3198</v>
      </c>
      <c r="D1819" s="226" t="s">
        <v>524</v>
      </c>
    </row>
    <row r="1820" spans="1:4">
      <c r="A1820" s="226" t="s">
        <v>3199</v>
      </c>
      <c r="B1820" s="226">
        <v>539433</v>
      </c>
      <c r="C1820" s="226" t="s">
        <v>486</v>
      </c>
      <c r="D1820" s="226" t="s">
        <v>955</v>
      </c>
    </row>
    <row r="1821" spans="1:4">
      <c r="A1821" s="226" t="s">
        <v>3200</v>
      </c>
      <c r="B1821" s="226">
        <v>504092</v>
      </c>
      <c r="C1821" s="226" t="s">
        <v>486</v>
      </c>
      <c r="D1821" s="226" t="s">
        <v>645</v>
      </c>
    </row>
    <row r="1822" spans="1:4">
      <c r="A1822" s="226" t="s">
        <v>3201</v>
      </c>
      <c r="B1822" s="226">
        <v>504058</v>
      </c>
      <c r="C1822" s="226" t="s">
        <v>3202</v>
      </c>
      <c r="D1822" s="226" t="s">
        <v>1031</v>
      </c>
    </row>
    <row r="1823" spans="1:4">
      <c r="A1823" s="226" t="s">
        <v>3203</v>
      </c>
      <c r="B1823" s="226">
        <v>533257</v>
      </c>
      <c r="C1823" s="226" t="s">
        <v>3204</v>
      </c>
      <c r="D1823" s="226" t="s">
        <v>783</v>
      </c>
    </row>
    <row r="1824" spans="1:4">
      <c r="A1824" s="226" t="s">
        <v>3205</v>
      </c>
      <c r="B1824" s="226">
        <v>541336</v>
      </c>
      <c r="C1824" s="226" t="s">
        <v>3206</v>
      </c>
      <c r="D1824" s="226" t="s">
        <v>503</v>
      </c>
    </row>
    <row r="1825" spans="1:4">
      <c r="A1825" s="226" t="s">
        <v>3207</v>
      </c>
      <c r="B1825" s="226">
        <v>521005</v>
      </c>
      <c r="C1825" s="226" t="s">
        <v>486</v>
      </c>
      <c r="D1825" s="226" t="s">
        <v>501</v>
      </c>
    </row>
    <row r="1826" spans="1:4">
      <c r="A1826" s="226" t="s">
        <v>3208</v>
      </c>
      <c r="B1826" s="226">
        <v>532894</v>
      </c>
      <c r="C1826" s="226" t="s">
        <v>3209</v>
      </c>
      <c r="D1826" s="226" t="s">
        <v>624</v>
      </c>
    </row>
    <row r="1827" spans="1:4">
      <c r="A1827" s="226" t="s">
        <v>3210</v>
      </c>
      <c r="B1827" s="226">
        <v>539175</v>
      </c>
      <c r="C1827" s="226" t="s">
        <v>486</v>
      </c>
      <c r="D1827" s="226" t="s">
        <v>993</v>
      </c>
    </row>
    <row r="1828" spans="1:4">
      <c r="A1828" s="226" t="s">
        <v>3211</v>
      </c>
      <c r="B1828" s="226">
        <v>532514</v>
      </c>
      <c r="C1828" s="226" t="s">
        <v>3212</v>
      </c>
      <c r="D1828" s="226" t="s">
        <v>511</v>
      </c>
    </row>
    <row r="1829" spans="1:4">
      <c r="A1829" s="226" t="s">
        <v>3213</v>
      </c>
      <c r="B1829" s="226">
        <v>532150</v>
      </c>
      <c r="C1829" s="226" t="s">
        <v>3214</v>
      </c>
      <c r="D1829" s="226" t="s">
        <v>955</v>
      </c>
    </row>
    <row r="1830" spans="1:4">
      <c r="A1830" s="226" t="s">
        <v>3215</v>
      </c>
      <c r="B1830" s="226">
        <v>526445</v>
      </c>
      <c r="C1830" s="226" t="s">
        <v>3216</v>
      </c>
      <c r="D1830" s="226" t="s">
        <v>683</v>
      </c>
    </row>
    <row r="1831" spans="1:4">
      <c r="A1831" s="226" t="s">
        <v>3217</v>
      </c>
      <c r="B1831" s="226">
        <v>522165</v>
      </c>
      <c r="C1831" s="226" t="s">
        <v>486</v>
      </c>
      <c r="D1831" s="226" t="s">
        <v>518</v>
      </c>
    </row>
    <row r="1832" spans="1:4">
      <c r="A1832" s="226" t="s">
        <v>3218</v>
      </c>
      <c r="B1832" s="226">
        <v>503639</v>
      </c>
      <c r="C1832" s="226" t="s">
        <v>486</v>
      </c>
      <c r="D1832" s="226" t="s">
        <v>906</v>
      </c>
    </row>
    <row r="1833" spans="1:4">
      <c r="A1833" s="226" t="s">
        <v>3219</v>
      </c>
      <c r="B1833" s="226">
        <v>532305</v>
      </c>
      <c r="C1833" s="226" t="s">
        <v>3220</v>
      </c>
      <c r="D1833" s="226" t="s">
        <v>524</v>
      </c>
    </row>
    <row r="1834" spans="1:4">
      <c r="A1834" s="226" t="s">
        <v>3221</v>
      </c>
      <c r="B1834" s="226">
        <v>524652</v>
      </c>
      <c r="C1834" s="226" t="s">
        <v>3222</v>
      </c>
      <c r="D1834" s="226" t="s">
        <v>524</v>
      </c>
    </row>
    <row r="1835" spans="1:4">
      <c r="A1835" s="226" t="s">
        <v>3223</v>
      </c>
      <c r="B1835" s="226">
        <v>532001</v>
      </c>
      <c r="C1835" s="226" t="s">
        <v>486</v>
      </c>
      <c r="D1835" s="226" t="s">
        <v>518</v>
      </c>
    </row>
    <row r="1836" spans="1:4">
      <c r="A1836" s="226" t="s">
        <v>3224</v>
      </c>
      <c r="B1836" s="226">
        <v>531841</v>
      </c>
      <c r="C1836" s="226" t="s">
        <v>486</v>
      </c>
      <c r="D1836" s="226" t="s">
        <v>503</v>
      </c>
    </row>
    <row r="1837" spans="1:4">
      <c r="A1837" s="226" t="s">
        <v>3225</v>
      </c>
      <c r="B1837" s="226">
        <v>532187</v>
      </c>
      <c r="C1837" s="226" t="s">
        <v>3226</v>
      </c>
      <c r="D1837" s="226" t="s">
        <v>803</v>
      </c>
    </row>
    <row r="1838" spans="1:4">
      <c r="A1838" s="226" t="s">
        <v>3227</v>
      </c>
      <c r="B1838" s="226">
        <v>501298</v>
      </c>
      <c r="C1838" s="226" t="s">
        <v>486</v>
      </c>
      <c r="D1838" s="226" t="s">
        <v>506</v>
      </c>
    </row>
    <row r="1839" spans="1:4">
      <c r="A1839" s="226" t="s">
        <v>3228</v>
      </c>
      <c r="B1839" s="226">
        <v>501295</v>
      </c>
      <c r="C1839" s="226" t="s">
        <v>3229</v>
      </c>
      <c r="D1839" s="226" t="s">
        <v>503</v>
      </c>
    </row>
    <row r="1840" spans="1:4">
      <c r="A1840" s="226" t="s">
        <v>3230</v>
      </c>
      <c r="B1840" s="226">
        <v>506222</v>
      </c>
      <c r="C1840" s="226" t="s">
        <v>3231</v>
      </c>
      <c r="D1840" s="226" t="s">
        <v>645</v>
      </c>
    </row>
    <row r="1841" spans="1:4">
      <c r="A1841" s="226" t="s">
        <v>3232</v>
      </c>
      <c r="B1841" s="226">
        <v>506222</v>
      </c>
      <c r="C1841" s="226" t="s">
        <v>3231</v>
      </c>
      <c r="D1841" s="226" t="s">
        <v>645</v>
      </c>
    </row>
    <row r="1842" spans="1:4">
      <c r="A1842" s="226" t="s">
        <v>3233</v>
      </c>
      <c r="B1842" s="226">
        <v>512025</v>
      </c>
      <c r="C1842" s="226" t="s">
        <v>486</v>
      </c>
      <c r="D1842" s="226" t="s">
        <v>906</v>
      </c>
    </row>
    <row r="1843" spans="1:4">
      <c r="A1843" s="226" t="s">
        <v>3234</v>
      </c>
      <c r="B1843" s="226">
        <v>539807</v>
      </c>
      <c r="C1843" s="226" t="s">
        <v>3235</v>
      </c>
      <c r="D1843" s="226" t="s">
        <v>492</v>
      </c>
    </row>
    <row r="1844" spans="1:4">
      <c r="A1844" s="226" t="s">
        <v>3236</v>
      </c>
      <c r="B1844" s="226">
        <v>533154</v>
      </c>
      <c r="C1844" s="226" t="s">
        <v>3237</v>
      </c>
      <c r="D1844" s="226" t="s">
        <v>473</v>
      </c>
    </row>
    <row r="1845" spans="1:4">
      <c r="A1845" s="226" t="s">
        <v>3238</v>
      </c>
      <c r="B1845" s="226">
        <v>533154</v>
      </c>
      <c r="C1845" s="226" t="s">
        <v>3237</v>
      </c>
      <c r="D1845" s="226" t="s">
        <v>473</v>
      </c>
    </row>
    <row r="1846" spans="1:4">
      <c r="A1846" s="226" t="s">
        <v>3239</v>
      </c>
      <c r="B1846" s="226">
        <v>541083</v>
      </c>
      <c r="C1846" s="226" t="s">
        <v>486</v>
      </c>
      <c r="D1846" s="226" t="s">
        <v>1529</v>
      </c>
    </row>
    <row r="1847" spans="1:4">
      <c r="A1847" s="226" t="s">
        <v>3240</v>
      </c>
      <c r="B1847" s="226">
        <v>532777</v>
      </c>
      <c r="C1847" s="226" t="s">
        <v>3241</v>
      </c>
      <c r="D1847" s="226" t="s">
        <v>3242</v>
      </c>
    </row>
    <row r="1848" spans="1:4">
      <c r="A1848" s="226" t="s">
        <v>3243</v>
      </c>
      <c r="B1848" s="226">
        <v>532777</v>
      </c>
      <c r="C1848" s="226" t="s">
        <v>3241</v>
      </c>
      <c r="D1848" s="226" t="s">
        <v>3242</v>
      </c>
    </row>
    <row r="1849" spans="1:4">
      <c r="A1849" s="226" t="s">
        <v>3244</v>
      </c>
      <c r="B1849" s="226" t="s">
        <v>486</v>
      </c>
      <c r="C1849" s="226" t="s">
        <v>3245</v>
      </c>
      <c r="D1849" s="226" t="s">
        <v>497</v>
      </c>
    </row>
    <row r="1850" spans="1:4">
      <c r="A1850" s="226" t="s">
        <v>3246</v>
      </c>
      <c r="B1850" s="226">
        <v>504810</v>
      </c>
      <c r="C1850" s="226" t="s">
        <v>486</v>
      </c>
      <c r="D1850" s="226" t="s">
        <v>815</v>
      </c>
    </row>
    <row r="1851" spans="1:4">
      <c r="A1851" s="226" t="s">
        <v>3247</v>
      </c>
      <c r="B1851" s="226">
        <v>504810</v>
      </c>
      <c r="C1851" s="226" t="s">
        <v>486</v>
      </c>
      <c r="D1851" s="226" t="s">
        <v>815</v>
      </c>
    </row>
    <row r="1852" spans="1:4">
      <c r="A1852" s="226" t="s">
        <v>3248</v>
      </c>
      <c r="B1852" s="226">
        <v>500209</v>
      </c>
      <c r="C1852" s="226" t="s">
        <v>3249</v>
      </c>
      <c r="D1852" s="226" t="s">
        <v>473</v>
      </c>
    </row>
    <row r="1853" spans="1:4">
      <c r="A1853" s="226" t="s">
        <v>3250</v>
      </c>
      <c r="B1853" s="226">
        <v>530777</v>
      </c>
      <c r="C1853" s="226" t="s">
        <v>486</v>
      </c>
      <c r="D1853" s="226" t="s">
        <v>605</v>
      </c>
    </row>
    <row r="1854" spans="1:4">
      <c r="A1854" s="226" t="s">
        <v>3251</v>
      </c>
      <c r="B1854" s="226">
        <v>537985</v>
      </c>
      <c r="C1854" s="226" t="s">
        <v>486</v>
      </c>
      <c r="D1854" s="226" t="s">
        <v>579</v>
      </c>
    </row>
    <row r="1855" spans="1:4">
      <c r="A1855" s="226" t="s">
        <v>3252</v>
      </c>
      <c r="B1855" s="226">
        <v>500210</v>
      </c>
      <c r="C1855" s="226" t="s">
        <v>3253</v>
      </c>
      <c r="D1855" s="226" t="s">
        <v>494</v>
      </c>
    </row>
    <row r="1856" spans="1:4">
      <c r="A1856" s="226" t="s">
        <v>3254</v>
      </c>
      <c r="B1856" s="226">
        <v>500210</v>
      </c>
      <c r="C1856" s="226" t="s">
        <v>3253</v>
      </c>
      <c r="D1856" s="226" t="s">
        <v>494</v>
      </c>
    </row>
    <row r="1857" spans="1:4">
      <c r="A1857" s="226" t="s">
        <v>3255</v>
      </c>
      <c r="B1857" s="226">
        <v>530787</v>
      </c>
      <c r="C1857" s="226" t="s">
        <v>486</v>
      </c>
      <c r="D1857" s="226" t="s">
        <v>2475</v>
      </c>
    </row>
    <row r="1858" spans="1:4">
      <c r="A1858" s="226" t="s">
        <v>3256</v>
      </c>
      <c r="B1858" s="226">
        <v>531929</v>
      </c>
      <c r="C1858" s="226" t="s">
        <v>3257</v>
      </c>
      <c r="D1858" s="226" t="s">
        <v>605</v>
      </c>
    </row>
    <row r="1859" spans="1:4">
      <c r="A1859" s="226" t="s">
        <v>3258</v>
      </c>
      <c r="B1859" s="226" t="s">
        <v>486</v>
      </c>
      <c r="C1859" s="226" t="s">
        <v>3259</v>
      </c>
      <c r="D1859" s="226" t="s">
        <v>497</v>
      </c>
    </row>
    <row r="1860" spans="1:4">
      <c r="A1860" s="226" t="s">
        <v>3260</v>
      </c>
      <c r="B1860" s="226">
        <v>533315</v>
      </c>
      <c r="C1860" s="226" t="s">
        <v>486</v>
      </c>
      <c r="D1860" s="226" t="s">
        <v>651</v>
      </c>
    </row>
    <row r="1861" spans="1:4">
      <c r="A1861" s="226" t="s">
        <v>3261</v>
      </c>
      <c r="B1861" s="226">
        <v>517433</v>
      </c>
      <c r="C1861" s="226" t="s">
        <v>486</v>
      </c>
      <c r="D1861" s="226" t="s">
        <v>473</v>
      </c>
    </row>
    <row r="1862" spans="1:4">
      <c r="A1862" s="226" t="s">
        <v>3262</v>
      </c>
      <c r="B1862" s="226">
        <v>541983</v>
      </c>
      <c r="C1862" s="226" t="s">
        <v>486</v>
      </c>
      <c r="D1862" s="226" t="s">
        <v>3263</v>
      </c>
    </row>
    <row r="1863" spans="1:4">
      <c r="A1863" s="226" t="s">
        <v>3264</v>
      </c>
      <c r="B1863" s="226">
        <v>541983</v>
      </c>
      <c r="C1863" s="226" t="s">
        <v>486</v>
      </c>
      <c r="D1863" s="226" t="s">
        <v>3263</v>
      </c>
    </row>
    <row r="1864" spans="1:4">
      <c r="A1864" s="226" t="s">
        <v>3265</v>
      </c>
      <c r="B1864" s="226">
        <v>523840</v>
      </c>
      <c r="C1864" s="226" t="s">
        <v>486</v>
      </c>
      <c r="D1864" s="226" t="s">
        <v>680</v>
      </c>
    </row>
    <row r="1865" spans="1:4">
      <c r="A1865" s="226" t="s">
        <v>3266</v>
      </c>
      <c r="B1865" s="226" t="s">
        <v>486</v>
      </c>
      <c r="C1865" s="226" t="s">
        <v>3267</v>
      </c>
      <c r="D1865" s="226" t="s">
        <v>497</v>
      </c>
    </row>
    <row r="1866" spans="1:4">
      <c r="A1866" s="226" t="s">
        <v>3268</v>
      </c>
      <c r="B1866" s="226">
        <v>541353</v>
      </c>
      <c r="C1866" s="226" t="s">
        <v>486</v>
      </c>
      <c r="D1866" s="226" t="s">
        <v>883</v>
      </c>
    </row>
    <row r="1867" spans="1:4">
      <c r="A1867" s="226" t="s">
        <v>3269</v>
      </c>
      <c r="B1867" s="226">
        <v>532706</v>
      </c>
      <c r="C1867" s="226" t="s">
        <v>3270</v>
      </c>
      <c r="D1867" s="226" t="s">
        <v>487</v>
      </c>
    </row>
    <row r="1868" spans="1:4">
      <c r="A1868" s="226" t="s">
        <v>3271</v>
      </c>
      <c r="B1868" s="226">
        <v>539083</v>
      </c>
      <c r="C1868" s="226" t="s">
        <v>3272</v>
      </c>
      <c r="D1868" s="226" t="s">
        <v>529</v>
      </c>
    </row>
    <row r="1869" spans="1:4">
      <c r="A1869" s="226" t="s">
        <v>3273</v>
      </c>
      <c r="B1869" s="226">
        <v>532851</v>
      </c>
      <c r="C1869" s="226" t="s">
        <v>3274</v>
      </c>
      <c r="D1869" s="226" t="s">
        <v>629</v>
      </c>
    </row>
    <row r="1870" spans="1:4">
      <c r="A1870" s="226" t="s">
        <v>3275</v>
      </c>
      <c r="B1870" s="226">
        <v>532851</v>
      </c>
      <c r="C1870" s="226" t="s">
        <v>3274</v>
      </c>
      <c r="D1870" s="226" t="s">
        <v>629</v>
      </c>
    </row>
    <row r="1871" spans="1:4">
      <c r="A1871" s="226" t="s">
        <v>3276</v>
      </c>
      <c r="B1871" s="226">
        <v>500211</v>
      </c>
      <c r="C1871" s="226" t="s">
        <v>486</v>
      </c>
      <c r="D1871" s="226" t="s">
        <v>670</v>
      </c>
    </row>
    <row r="1872" spans="1:4">
      <c r="A1872" s="226" t="s">
        <v>3277</v>
      </c>
      <c r="B1872" s="226">
        <v>532774</v>
      </c>
      <c r="C1872" s="226" t="s">
        <v>3278</v>
      </c>
      <c r="D1872" s="226" t="s">
        <v>473</v>
      </c>
    </row>
    <row r="1873" spans="1:4">
      <c r="A1873" s="226" t="s">
        <v>3279</v>
      </c>
      <c r="B1873" s="226">
        <v>526871</v>
      </c>
      <c r="C1873" s="226" t="s">
        <v>486</v>
      </c>
      <c r="D1873" s="226" t="s">
        <v>470</v>
      </c>
    </row>
    <row r="1874" spans="1:4">
      <c r="A1874" s="226" t="s">
        <v>3280</v>
      </c>
      <c r="B1874" s="226">
        <v>531314</v>
      </c>
      <c r="C1874" s="226" t="s">
        <v>3281</v>
      </c>
      <c r="D1874" s="226" t="s">
        <v>503</v>
      </c>
    </row>
    <row r="1875" spans="1:4">
      <c r="A1875" s="226" t="s">
        <v>3282</v>
      </c>
      <c r="B1875" s="226">
        <v>505358</v>
      </c>
      <c r="C1875" s="226" t="s">
        <v>486</v>
      </c>
      <c r="D1875" s="226" t="s">
        <v>494</v>
      </c>
    </row>
    <row r="1876" spans="1:4">
      <c r="A1876" s="226" t="s">
        <v>3283</v>
      </c>
      <c r="B1876" s="226">
        <v>505358</v>
      </c>
      <c r="C1876" s="226" t="s">
        <v>486</v>
      </c>
      <c r="D1876" s="226" t="s">
        <v>494</v>
      </c>
    </row>
    <row r="1877" spans="1:4">
      <c r="A1877" s="226" t="s">
        <v>3284</v>
      </c>
      <c r="B1877" s="226">
        <v>535958</v>
      </c>
      <c r="C1877" s="226" t="s">
        <v>3285</v>
      </c>
      <c r="D1877" s="226" t="s">
        <v>599</v>
      </c>
    </row>
    <row r="1878" spans="1:4">
      <c r="A1878" s="226" t="s">
        <v>3286</v>
      </c>
      <c r="B1878" s="226">
        <v>517423</v>
      </c>
      <c r="C1878" s="226" t="s">
        <v>486</v>
      </c>
      <c r="D1878" s="226" t="s">
        <v>783</v>
      </c>
    </row>
    <row r="1879" spans="1:4">
      <c r="A1879" s="226" t="s">
        <v>3287</v>
      </c>
      <c r="B1879" s="226">
        <v>536868</v>
      </c>
      <c r="C1879" s="226" t="s">
        <v>486</v>
      </c>
      <c r="D1879" s="226" t="s">
        <v>473</v>
      </c>
    </row>
    <row r="1880" spans="1:4">
      <c r="A1880" s="226" t="s">
        <v>3288</v>
      </c>
      <c r="B1880" s="226">
        <v>539149</v>
      </c>
      <c r="C1880" s="226" t="s">
        <v>486</v>
      </c>
      <c r="D1880" s="226" t="s">
        <v>570</v>
      </c>
    </row>
    <row r="1881" spans="1:4">
      <c r="A1881" s="226" t="s">
        <v>3289</v>
      </c>
      <c r="B1881" s="226">
        <v>500212</v>
      </c>
      <c r="C1881" s="226" t="s">
        <v>486</v>
      </c>
      <c r="D1881" s="226" t="s">
        <v>503</v>
      </c>
    </row>
    <row r="1882" spans="1:4">
      <c r="A1882" s="226" t="s">
        <v>3290</v>
      </c>
      <c r="B1882" s="226">
        <v>519606</v>
      </c>
      <c r="C1882" s="226" t="s">
        <v>486</v>
      </c>
      <c r="D1882" s="226" t="s">
        <v>734</v>
      </c>
    </row>
    <row r="1883" spans="1:4">
      <c r="A1883" s="226" t="s">
        <v>3291</v>
      </c>
      <c r="B1883" s="226">
        <v>531889</v>
      </c>
      <c r="C1883" s="226" t="s">
        <v>486</v>
      </c>
      <c r="D1883" s="226" t="s">
        <v>1027</v>
      </c>
    </row>
    <row r="1884" spans="1:4">
      <c r="A1884" s="226" t="s">
        <v>3292</v>
      </c>
      <c r="B1884" s="226">
        <v>530921</v>
      </c>
      <c r="C1884" s="226" t="s">
        <v>486</v>
      </c>
      <c r="D1884" s="226" t="s">
        <v>605</v>
      </c>
    </row>
    <row r="1885" spans="1:4">
      <c r="A1885" s="226" t="s">
        <v>3293</v>
      </c>
      <c r="B1885" s="226">
        <v>538835</v>
      </c>
      <c r="C1885" s="226" t="s">
        <v>3294</v>
      </c>
      <c r="D1885" s="226" t="s">
        <v>579</v>
      </c>
    </row>
    <row r="1886" spans="1:4">
      <c r="A1886" s="226" t="s">
        <v>3295</v>
      </c>
      <c r="B1886" s="226">
        <v>534732</v>
      </c>
      <c r="C1886" s="226" t="s">
        <v>486</v>
      </c>
      <c r="D1886" s="226" t="s">
        <v>470</v>
      </c>
    </row>
    <row r="1887" spans="1:4">
      <c r="A1887" s="226" t="s">
        <v>3296</v>
      </c>
      <c r="B1887" s="226">
        <v>506134</v>
      </c>
      <c r="C1887" s="226" t="s">
        <v>486</v>
      </c>
      <c r="D1887" s="226" t="s">
        <v>605</v>
      </c>
    </row>
    <row r="1888" spans="1:4">
      <c r="A1888" s="226" t="s">
        <v>3297</v>
      </c>
      <c r="B1888" s="226">
        <v>532326</v>
      </c>
      <c r="C1888" s="226" t="s">
        <v>3298</v>
      </c>
      <c r="D1888" s="226" t="s">
        <v>579</v>
      </c>
    </row>
    <row r="1889" spans="1:4">
      <c r="A1889" s="226" t="s">
        <v>3299</v>
      </c>
      <c r="B1889" s="226">
        <v>511391</v>
      </c>
      <c r="C1889" s="226" t="s">
        <v>486</v>
      </c>
      <c r="D1889" s="226" t="s">
        <v>503</v>
      </c>
    </row>
    <row r="1890" spans="1:4">
      <c r="A1890" s="226" t="s">
        <v>3300</v>
      </c>
      <c r="B1890" s="226">
        <v>530259</v>
      </c>
      <c r="C1890" s="226" t="s">
        <v>486</v>
      </c>
      <c r="D1890" s="226" t="s">
        <v>558</v>
      </c>
    </row>
    <row r="1891" spans="1:4">
      <c r="A1891" s="226" t="s">
        <v>3301</v>
      </c>
      <c r="B1891" s="226">
        <v>539692</v>
      </c>
      <c r="C1891" s="226" t="s">
        <v>486</v>
      </c>
      <c r="D1891" s="226" t="s">
        <v>503</v>
      </c>
    </row>
    <row r="1892" spans="1:4">
      <c r="A1892" s="226" t="s">
        <v>3302</v>
      </c>
      <c r="B1892" s="226">
        <v>539448</v>
      </c>
      <c r="C1892" s="226" t="s">
        <v>3303</v>
      </c>
      <c r="D1892" s="226" t="s">
        <v>2620</v>
      </c>
    </row>
    <row r="1893" spans="1:4">
      <c r="A1893" s="226" t="s">
        <v>3304</v>
      </c>
      <c r="B1893" s="226">
        <v>526512</v>
      </c>
      <c r="C1893" s="226" t="s">
        <v>486</v>
      </c>
      <c r="D1893" s="226" t="s">
        <v>549</v>
      </c>
    </row>
    <row r="1894" spans="1:4">
      <c r="A1894" s="226" t="s">
        <v>3305</v>
      </c>
      <c r="B1894" s="226">
        <v>505737</v>
      </c>
      <c r="C1894" s="226" t="s">
        <v>486</v>
      </c>
      <c r="D1894" s="226" t="s">
        <v>494</v>
      </c>
    </row>
    <row r="1895" spans="1:4">
      <c r="A1895" s="226" t="s">
        <v>3306</v>
      </c>
      <c r="B1895" s="226">
        <v>505737</v>
      </c>
      <c r="C1895" s="226" t="s">
        <v>486</v>
      </c>
      <c r="D1895" s="226" t="s">
        <v>494</v>
      </c>
    </row>
    <row r="1896" spans="1:4">
      <c r="A1896" s="226" t="s">
        <v>3307</v>
      </c>
      <c r="B1896" s="226" t="s">
        <v>486</v>
      </c>
      <c r="C1896" s="226" t="s">
        <v>3308</v>
      </c>
      <c r="D1896" s="226" t="s">
        <v>577</v>
      </c>
    </row>
    <row r="1897" spans="1:4">
      <c r="A1897" s="226" t="s">
        <v>3309</v>
      </c>
      <c r="B1897" s="226">
        <v>509709</v>
      </c>
      <c r="C1897" s="226" t="s">
        <v>486</v>
      </c>
      <c r="D1897" s="226" t="s">
        <v>605</v>
      </c>
    </row>
    <row r="1898" spans="1:4">
      <c r="A1898" s="226" t="s">
        <v>3310</v>
      </c>
      <c r="B1898" s="226">
        <v>517044</v>
      </c>
      <c r="C1898" s="226" t="s">
        <v>486</v>
      </c>
      <c r="D1898" s="226" t="s">
        <v>570</v>
      </c>
    </row>
    <row r="1899" spans="1:4">
      <c r="A1899" s="226" t="s">
        <v>3311</v>
      </c>
      <c r="B1899" s="226">
        <v>530781</v>
      </c>
      <c r="C1899" s="226" t="s">
        <v>486</v>
      </c>
      <c r="D1899" s="226" t="s">
        <v>544</v>
      </c>
    </row>
    <row r="1900" spans="1:4">
      <c r="A1900" s="226" t="s">
        <v>3312</v>
      </c>
      <c r="B1900" s="226">
        <v>502330</v>
      </c>
      <c r="C1900" s="226" t="s">
        <v>3313</v>
      </c>
      <c r="D1900" s="226" t="s">
        <v>480</v>
      </c>
    </row>
    <row r="1901" spans="1:4">
      <c r="A1901" s="226" t="s">
        <v>3314</v>
      </c>
      <c r="B1901" s="226">
        <v>500213</v>
      </c>
      <c r="C1901" s="226" t="s">
        <v>486</v>
      </c>
      <c r="D1901" s="226" t="s">
        <v>1486</v>
      </c>
    </row>
    <row r="1902" spans="1:4">
      <c r="A1902" s="226" t="s">
        <v>3315</v>
      </c>
      <c r="B1902" s="226">
        <v>532072</v>
      </c>
      <c r="C1902" s="226" t="s">
        <v>486</v>
      </c>
      <c r="D1902" s="226" t="s">
        <v>489</v>
      </c>
    </row>
    <row r="1903" spans="1:4">
      <c r="A1903" s="226" t="s">
        <v>3316</v>
      </c>
      <c r="B1903" s="226">
        <v>533181</v>
      </c>
      <c r="C1903" s="226" t="s">
        <v>3317</v>
      </c>
      <c r="D1903" s="226" t="s">
        <v>3242</v>
      </c>
    </row>
    <row r="1904" spans="1:4">
      <c r="A1904" s="226" t="s">
        <v>3318</v>
      </c>
      <c r="B1904" s="226">
        <v>533506</v>
      </c>
      <c r="C1904" s="226" t="s">
        <v>3319</v>
      </c>
      <c r="D1904" s="226" t="s">
        <v>470</v>
      </c>
    </row>
    <row r="1905" spans="1:4">
      <c r="A1905" s="226" t="s">
        <v>3320</v>
      </c>
      <c r="B1905" s="226">
        <v>533172</v>
      </c>
      <c r="C1905" s="226" t="s">
        <v>3321</v>
      </c>
      <c r="D1905" s="226" t="s">
        <v>470</v>
      </c>
    </row>
    <row r="1906" spans="1:4">
      <c r="A1906" s="226" t="s">
        <v>3322</v>
      </c>
      <c r="B1906" s="226">
        <v>504786</v>
      </c>
      <c r="C1906" s="226" t="s">
        <v>486</v>
      </c>
      <c r="D1906" s="226" t="s">
        <v>1403</v>
      </c>
    </row>
    <row r="1907" spans="1:4">
      <c r="A1907" s="226" t="s">
        <v>3323</v>
      </c>
      <c r="B1907" s="226">
        <v>523844</v>
      </c>
      <c r="C1907" s="226" t="s">
        <v>486</v>
      </c>
      <c r="D1907" s="226" t="s">
        <v>1650</v>
      </c>
    </row>
    <row r="1908" spans="1:4">
      <c r="A1908" s="226" t="s">
        <v>3324</v>
      </c>
      <c r="B1908" s="226">
        <v>523752</v>
      </c>
      <c r="C1908" s="226" t="s">
        <v>486</v>
      </c>
      <c r="D1908" s="226" t="s">
        <v>494</v>
      </c>
    </row>
    <row r="1909" spans="1:4">
      <c r="A1909" s="226" t="s">
        <v>3325</v>
      </c>
      <c r="B1909" s="226">
        <v>524164</v>
      </c>
      <c r="C1909" s="226" t="s">
        <v>3326</v>
      </c>
      <c r="D1909" s="226" t="s">
        <v>524</v>
      </c>
    </row>
    <row r="1910" spans="1:4">
      <c r="A1910" s="226" t="s">
        <v>3327</v>
      </c>
      <c r="B1910" s="226">
        <v>500214</v>
      </c>
      <c r="C1910" s="226" t="s">
        <v>486</v>
      </c>
      <c r="D1910" s="226" t="s">
        <v>494</v>
      </c>
    </row>
    <row r="1911" spans="1:4">
      <c r="A1911" s="226" t="s">
        <v>3328</v>
      </c>
      <c r="B1911" s="226">
        <v>500214</v>
      </c>
      <c r="C1911" s="226" t="s">
        <v>486</v>
      </c>
      <c r="D1911" s="226" t="s">
        <v>494</v>
      </c>
    </row>
    <row r="1912" spans="1:4">
      <c r="A1912" s="226" t="s">
        <v>3329</v>
      </c>
      <c r="B1912" s="226">
        <v>523638</v>
      </c>
      <c r="C1912" s="226" t="s">
        <v>486</v>
      </c>
      <c r="D1912" s="226" t="s">
        <v>840</v>
      </c>
    </row>
    <row r="1913" spans="1:4">
      <c r="A1913" s="226" t="s">
        <v>3330</v>
      </c>
      <c r="B1913" s="226">
        <v>524494</v>
      </c>
      <c r="C1913" s="226" t="s">
        <v>3331</v>
      </c>
      <c r="D1913" s="226" t="s">
        <v>524</v>
      </c>
    </row>
    <row r="1914" spans="1:4">
      <c r="A1914" s="226" t="s">
        <v>3332</v>
      </c>
      <c r="B1914" s="226">
        <v>512405</v>
      </c>
      <c r="C1914" s="226" t="s">
        <v>486</v>
      </c>
      <c r="D1914" s="226" t="s">
        <v>492</v>
      </c>
    </row>
    <row r="1915" spans="1:4">
      <c r="A1915" s="226" t="s">
        <v>3333</v>
      </c>
      <c r="B1915" s="226">
        <v>512405</v>
      </c>
      <c r="C1915" s="226" t="s">
        <v>486</v>
      </c>
      <c r="D1915" s="226" t="s">
        <v>492</v>
      </c>
    </row>
    <row r="1916" spans="1:4">
      <c r="A1916" s="226" t="s">
        <v>3334</v>
      </c>
      <c r="B1916" s="226">
        <v>532947</v>
      </c>
      <c r="C1916" s="226" t="s">
        <v>3335</v>
      </c>
      <c r="D1916" s="226" t="s">
        <v>1080</v>
      </c>
    </row>
    <row r="1917" spans="1:4">
      <c r="A1917" s="226" t="s">
        <v>3336</v>
      </c>
      <c r="B1917" s="226">
        <v>540526</v>
      </c>
      <c r="C1917" s="226" t="s">
        <v>3337</v>
      </c>
      <c r="D1917" s="226" t="s">
        <v>506</v>
      </c>
    </row>
    <row r="1918" spans="1:4">
      <c r="A1918" s="226" t="s">
        <v>3338</v>
      </c>
      <c r="B1918" s="226">
        <v>541956</v>
      </c>
      <c r="C1918" s="226" t="s">
        <v>3339</v>
      </c>
      <c r="D1918" s="226" t="s">
        <v>883</v>
      </c>
    </row>
    <row r="1919" spans="1:4">
      <c r="A1919" s="226" t="s">
        <v>3340</v>
      </c>
      <c r="B1919" s="226">
        <v>540735</v>
      </c>
      <c r="C1919" s="226" t="s">
        <v>486</v>
      </c>
      <c r="D1919" s="226" t="s">
        <v>579</v>
      </c>
    </row>
    <row r="1920" spans="1:4">
      <c r="A1920" s="226" t="s">
        <v>3341</v>
      </c>
      <c r="B1920" s="226" t="s">
        <v>486</v>
      </c>
      <c r="C1920" s="226" t="s">
        <v>3342</v>
      </c>
      <c r="D1920" s="226" t="s">
        <v>497</v>
      </c>
    </row>
    <row r="1921" spans="1:4">
      <c r="A1921" s="226" t="s">
        <v>3343</v>
      </c>
      <c r="B1921" s="226">
        <v>531337</v>
      </c>
      <c r="C1921" s="226" t="s">
        <v>486</v>
      </c>
      <c r="D1921" s="226" t="s">
        <v>470</v>
      </c>
    </row>
    <row r="1922" spans="1:4">
      <c r="A1922" s="226" t="s">
        <v>3344</v>
      </c>
      <c r="B1922" s="226">
        <v>526859</v>
      </c>
      <c r="C1922" s="226" t="s">
        <v>486</v>
      </c>
      <c r="D1922" s="226" t="s">
        <v>503</v>
      </c>
    </row>
    <row r="1923" spans="1:4">
      <c r="A1923" s="226" t="s">
        <v>3345</v>
      </c>
      <c r="B1923" s="226">
        <v>533033</v>
      </c>
      <c r="C1923" s="226" t="s">
        <v>486</v>
      </c>
      <c r="D1923" s="226" t="s">
        <v>494</v>
      </c>
    </row>
    <row r="1924" spans="1:4">
      <c r="A1924" s="226" t="s">
        <v>3346</v>
      </c>
      <c r="B1924" s="226">
        <v>540134</v>
      </c>
      <c r="C1924" s="226" t="s">
        <v>486</v>
      </c>
      <c r="D1924" s="226" t="s">
        <v>883</v>
      </c>
    </row>
    <row r="1925" spans="1:4">
      <c r="A1925" s="226" t="s">
        <v>3347</v>
      </c>
      <c r="B1925" s="226">
        <v>531109</v>
      </c>
      <c r="C1925" s="226" t="s">
        <v>486</v>
      </c>
      <c r="D1925" s="226" t="s">
        <v>645</v>
      </c>
    </row>
    <row r="1926" spans="1:4">
      <c r="A1926" s="226" t="s">
        <v>3348</v>
      </c>
      <c r="B1926" s="226">
        <v>524400</v>
      </c>
      <c r="C1926" s="226" t="s">
        <v>486</v>
      </c>
      <c r="D1926" s="226" t="s">
        <v>524</v>
      </c>
    </row>
    <row r="1927" spans="1:4">
      <c r="A1927" s="226" t="s">
        <v>3349</v>
      </c>
      <c r="B1927" s="226">
        <v>506161</v>
      </c>
      <c r="C1927" s="226" t="s">
        <v>486</v>
      </c>
      <c r="D1927" s="226" t="s">
        <v>503</v>
      </c>
    </row>
    <row r="1928" spans="1:4">
      <c r="A1928" s="226" t="s">
        <v>3350</v>
      </c>
      <c r="B1928" s="226">
        <v>511609</v>
      </c>
      <c r="C1928" s="226" t="s">
        <v>486</v>
      </c>
      <c r="D1928" s="226" t="s">
        <v>503</v>
      </c>
    </row>
    <row r="1929" spans="1:4">
      <c r="A1929" s="226" t="s">
        <v>3351</v>
      </c>
      <c r="B1929" s="226">
        <v>532479</v>
      </c>
      <c r="C1929" s="226" t="s">
        <v>3352</v>
      </c>
      <c r="D1929" s="226" t="s">
        <v>518</v>
      </c>
    </row>
    <row r="1930" spans="1:4">
      <c r="A1930" s="226" t="s">
        <v>3353</v>
      </c>
      <c r="B1930" s="226">
        <v>508807</v>
      </c>
      <c r="C1930" s="226" t="s">
        <v>486</v>
      </c>
      <c r="D1930" s="226" t="s">
        <v>840</v>
      </c>
    </row>
    <row r="1931" spans="1:4">
      <c r="A1931" s="226" t="s">
        <v>3354</v>
      </c>
      <c r="B1931" s="226">
        <v>524622</v>
      </c>
      <c r="C1931" s="226" t="s">
        <v>486</v>
      </c>
      <c r="D1931" s="226" t="s">
        <v>3242</v>
      </c>
    </row>
    <row r="1932" spans="1:4">
      <c r="A1932" s="226" t="s">
        <v>1</v>
      </c>
      <c r="B1932" s="226">
        <v>500875</v>
      </c>
      <c r="C1932" s="226" t="s">
        <v>279</v>
      </c>
      <c r="D1932" s="226" t="s">
        <v>2653</v>
      </c>
    </row>
    <row r="1933" spans="1:4">
      <c r="A1933" s="226" t="s">
        <v>3355</v>
      </c>
      <c r="B1933" s="226">
        <v>509496</v>
      </c>
      <c r="C1933" s="226" t="s">
        <v>3356</v>
      </c>
      <c r="D1933" s="226" t="s">
        <v>883</v>
      </c>
    </row>
    <row r="1934" spans="1:4">
      <c r="A1934" s="226" t="s">
        <v>3357</v>
      </c>
      <c r="B1934" s="226">
        <v>509496</v>
      </c>
      <c r="C1934" s="226" t="s">
        <v>3356</v>
      </c>
      <c r="D1934" s="226" t="s">
        <v>883</v>
      </c>
    </row>
    <row r="1935" spans="1:4">
      <c r="A1935" s="226" t="s">
        <v>3358</v>
      </c>
      <c r="B1935" s="226">
        <v>523610</v>
      </c>
      <c r="C1935" s="226" t="s">
        <v>3359</v>
      </c>
      <c r="D1935" s="226" t="s">
        <v>631</v>
      </c>
    </row>
    <row r="1936" spans="1:4">
      <c r="A1936" s="226" t="s">
        <v>3360</v>
      </c>
      <c r="B1936" s="226">
        <v>522183</v>
      </c>
      <c r="C1936" s="226" t="s">
        <v>486</v>
      </c>
      <c r="D1936" s="226" t="s">
        <v>494</v>
      </c>
    </row>
    <row r="1937" spans="1:4">
      <c r="A1937" s="226" t="s">
        <v>3361</v>
      </c>
      <c r="B1937" s="226">
        <v>507580</v>
      </c>
      <c r="C1937" s="226" t="s">
        <v>3362</v>
      </c>
      <c r="D1937" s="226" t="s">
        <v>534</v>
      </c>
    </row>
    <row r="1938" spans="1:4">
      <c r="A1938" s="226" t="s">
        <v>3363</v>
      </c>
      <c r="B1938" s="226">
        <v>530773</v>
      </c>
      <c r="C1938" s="226" t="s">
        <v>3364</v>
      </c>
      <c r="D1938" s="226" t="s">
        <v>883</v>
      </c>
    </row>
    <row r="1939" spans="1:4">
      <c r="A1939" s="226" t="s">
        <v>3365</v>
      </c>
      <c r="B1939" s="226">
        <v>522245</v>
      </c>
      <c r="C1939" s="226" t="s">
        <v>486</v>
      </c>
      <c r="D1939" s="226" t="s">
        <v>670</v>
      </c>
    </row>
    <row r="1940" spans="1:4">
      <c r="A1940" s="226" t="s">
        <v>3366</v>
      </c>
      <c r="B1940" s="226">
        <v>532341</v>
      </c>
      <c r="C1940" s="226" t="s">
        <v>3367</v>
      </c>
      <c r="D1940" s="226" t="s">
        <v>473</v>
      </c>
    </row>
    <row r="1941" spans="1:4">
      <c r="A1941" s="226" t="s">
        <v>3368</v>
      </c>
      <c r="B1941" s="226">
        <v>538539</v>
      </c>
      <c r="C1941" s="226" t="s">
        <v>486</v>
      </c>
      <c r="D1941" s="226" t="s">
        <v>506</v>
      </c>
    </row>
    <row r="1942" spans="1:4">
      <c r="A1942" s="226" t="s">
        <v>3369</v>
      </c>
      <c r="B1942" s="226">
        <v>530049</v>
      </c>
      <c r="C1942" s="226" t="s">
        <v>486</v>
      </c>
      <c r="D1942" s="226" t="s">
        <v>501</v>
      </c>
    </row>
    <row r="1943" spans="1:4">
      <c r="A1943" s="226" t="s">
        <v>3370</v>
      </c>
      <c r="B1943" s="226">
        <v>523062</v>
      </c>
      <c r="C1943" s="226" t="s">
        <v>486</v>
      </c>
      <c r="D1943" s="226" t="s">
        <v>503</v>
      </c>
    </row>
    <row r="1944" spans="1:4">
      <c r="A1944" s="226" t="s">
        <v>3371</v>
      </c>
      <c r="B1944" s="226">
        <v>532940</v>
      </c>
      <c r="C1944" s="226" t="s">
        <v>3372</v>
      </c>
      <c r="D1944" s="226" t="s">
        <v>883</v>
      </c>
    </row>
    <row r="1945" spans="1:4">
      <c r="A1945" s="226" t="s">
        <v>3373</v>
      </c>
      <c r="B1945" s="226">
        <v>506522</v>
      </c>
      <c r="C1945" s="226" t="s">
        <v>486</v>
      </c>
      <c r="D1945" s="226" t="s">
        <v>667</v>
      </c>
    </row>
    <row r="1946" spans="1:4">
      <c r="A1946" s="226" t="s">
        <v>3374</v>
      </c>
      <c r="B1946" s="226">
        <v>506522</v>
      </c>
      <c r="C1946" s="226" t="s">
        <v>486</v>
      </c>
      <c r="D1946" s="226" t="s">
        <v>667</v>
      </c>
    </row>
    <row r="1947" spans="1:4">
      <c r="A1947" s="226" t="s">
        <v>3375</v>
      </c>
      <c r="B1947" s="226">
        <v>530915</v>
      </c>
      <c r="C1947" s="226" t="s">
        <v>486</v>
      </c>
      <c r="D1947" s="226" t="s">
        <v>734</v>
      </c>
    </row>
    <row r="1948" spans="1:4">
      <c r="A1948" s="226" t="s">
        <v>3376</v>
      </c>
      <c r="B1948" s="226">
        <v>538422</v>
      </c>
      <c r="C1948" s="226" t="s">
        <v>486</v>
      </c>
      <c r="D1948" s="226" t="s">
        <v>506</v>
      </c>
    </row>
    <row r="1949" spans="1:4">
      <c r="A1949" s="226" t="s">
        <v>3377</v>
      </c>
      <c r="B1949" s="226">
        <v>530711</v>
      </c>
      <c r="C1949" s="226" t="s">
        <v>486</v>
      </c>
      <c r="D1949" s="226" t="s">
        <v>840</v>
      </c>
    </row>
    <row r="1950" spans="1:4">
      <c r="A1950" s="226" t="s">
        <v>3378</v>
      </c>
      <c r="B1950" s="226">
        <v>507155</v>
      </c>
      <c r="C1950" s="226" t="s">
        <v>486</v>
      </c>
      <c r="D1950" s="226" t="s">
        <v>1117</v>
      </c>
    </row>
    <row r="1951" spans="1:4">
      <c r="A1951" s="226" t="s">
        <v>3379</v>
      </c>
      <c r="B1951" s="226">
        <v>532825</v>
      </c>
      <c r="C1951" s="226" t="s">
        <v>486</v>
      </c>
      <c r="D1951" s="226" t="s">
        <v>501</v>
      </c>
    </row>
    <row r="1952" spans="1:4">
      <c r="A1952" s="226" t="s">
        <v>3380</v>
      </c>
      <c r="B1952" s="226">
        <v>532705</v>
      </c>
      <c r="C1952" s="226" t="s">
        <v>3381</v>
      </c>
      <c r="D1952" s="226" t="s">
        <v>1009</v>
      </c>
    </row>
    <row r="1953" spans="1:4">
      <c r="A1953" s="226" t="s">
        <v>3382</v>
      </c>
      <c r="B1953" s="226">
        <v>520139</v>
      </c>
      <c r="C1953" s="226" t="s">
        <v>486</v>
      </c>
      <c r="D1953" s="226" t="s">
        <v>2620</v>
      </c>
    </row>
    <row r="1954" spans="1:4">
      <c r="A1954" s="226" t="s">
        <v>3383</v>
      </c>
      <c r="B1954" s="226">
        <v>530601</v>
      </c>
      <c r="C1954" s="226" t="s">
        <v>486</v>
      </c>
      <c r="D1954" s="226" t="s">
        <v>503</v>
      </c>
    </row>
    <row r="1955" spans="1:4">
      <c r="A1955" s="226" t="s">
        <v>3384</v>
      </c>
      <c r="B1955" s="226">
        <v>507789</v>
      </c>
      <c r="C1955" s="226" t="s">
        <v>3385</v>
      </c>
      <c r="D1955" s="226" t="s">
        <v>524</v>
      </c>
    </row>
    <row r="1956" spans="1:4">
      <c r="A1956" s="226" t="s">
        <v>3386</v>
      </c>
      <c r="B1956" s="226">
        <v>532976</v>
      </c>
      <c r="C1956" s="226" t="s">
        <v>3387</v>
      </c>
      <c r="D1956" s="226" t="s">
        <v>518</v>
      </c>
    </row>
    <row r="1957" spans="1:4">
      <c r="A1957" s="226" t="s">
        <v>3388</v>
      </c>
      <c r="B1957" s="226">
        <v>512237</v>
      </c>
      <c r="C1957" s="226" t="s">
        <v>3389</v>
      </c>
      <c r="D1957" s="226" t="s">
        <v>518</v>
      </c>
    </row>
    <row r="1958" spans="1:4">
      <c r="A1958" s="226" t="s">
        <v>3390</v>
      </c>
      <c r="B1958" s="226">
        <v>523467</v>
      </c>
      <c r="C1958" s="226" t="s">
        <v>486</v>
      </c>
      <c r="D1958" s="226" t="s">
        <v>1013</v>
      </c>
    </row>
    <row r="1959" spans="1:4">
      <c r="A1959" s="226" t="s">
        <v>3391</v>
      </c>
      <c r="B1959" s="226">
        <v>531339</v>
      </c>
      <c r="C1959" s="226" t="s">
        <v>3392</v>
      </c>
      <c r="D1959" s="226" t="s">
        <v>883</v>
      </c>
    </row>
    <row r="1960" spans="1:4">
      <c r="A1960" s="226" t="s">
        <v>3393</v>
      </c>
      <c r="B1960" s="226">
        <v>514312</v>
      </c>
      <c r="C1960" s="226" t="s">
        <v>486</v>
      </c>
      <c r="D1960" s="226" t="s">
        <v>501</v>
      </c>
    </row>
    <row r="1961" spans="1:4">
      <c r="A1961" s="226" t="s">
        <v>3394</v>
      </c>
      <c r="B1961" s="226">
        <v>500219</v>
      </c>
      <c r="C1961" s="226" t="s">
        <v>3395</v>
      </c>
      <c r="D1961" s="226" t="s">
        <v>605</v>
      </c>
    </row>
    <row r="1962" spans="1:4">
      <c r="A1962" s="226" t="s">
        <v>3394</v>
      </c>
      <c r="B1962" s="226">
        <v>570004</v>
      </c>
      <c r="C1962" s="226" t="s">
        <v>3396</v>
      </c>
      <c r="D1962" s="226" t="s">
        <v>605</v>
      </c>
    </row>
    <row r="1963" spans="1:4">
      <c r="A1963" s="226" t="s">
        <v>3397</v>
      </c>
      <c r="B1963" s="226">
        <v>539119</v>
      </c>
      <c r="C1963" s="226" t="s">
        <v>486</v>
      </c>
      <c r="D1963" s="226" t="s">
        <v>1013</v>
      </c>
    </row>
    <row r="1964" spans="1:4">
      <c r="A1964" s="226" t="s">
        <v>3398</v>
      </c>
      <c r="B1964" s="226">
        <v>532033</v>
      </c>
      <c r="C1964" s="226" t="s">
        <v>3399</v>
      </c>
      <c r="D1964" s="226" t="s">
        <v>1222</v>
      </c>
    </row>
    <row r="1965" spans="1:4">
      <c r="A1965" s="226" t="s">
        <v>3400</v>
      </c>
      <c r="B1965" s="226">
        <v>526865</v>
      </c>
      <c r="C1965" s="226" t="s">
        <v>486</v>
      </c>
      <c r="D1965" s="226" t="s">
        <v>508</v>
      </c>
    </row>
    <row r="1966" spans="1:4">
      <c r="A1966" s="226" t="s">
        <v>3401</v>
      </c>
      <c r="B1966" s="226">
        <v>526865</v>
      </c>
      <c r="C1966" s="226" t="s">
        <v>486</v>
      </c>
      <c r="D1966" s="226" t="s">
        <v>508</v>
      </c>
    </row>
    <row r="1967" spans="1:4">
      <c r="A1967" s="226" t="s">
        <v>3402</v>
      </c>
      <c r="B1967" s="226">
        <v>505212</v>
      </c>
      <c r="C1967" s="226" t="s">
        <v>486</v>
      </c>
      <c r="D1967" s="226" t="s">
        <v>840</v>
      </c>
    </row>
    <row r="1968" spans="1:4">
      <c r="A1968" s="226" t="s">
        <v>3403</v>
      </c>
      <c r="B1968" s="226">
        <v>505840</v>
      </c>
      <c r="C1968" s="226" t="s">
        <v>486</v>
      </c>
      <c r="D1968" s="226" t="s">
        <v>1248</v>
      </c>
    </row>
    <row r="1969" spans="1:4">
      <c r="A1969" s="226" t="s">
        <v>3404</v>
      </c>
      <c r="B1969" s="226">
        <v>532532</v>
      </c>
      <c r="C1969" s="226" t="s">
        <v>3405</v>
      </c>
      <c r="D1969" s="226" t="s">
        <v>883</v>
      </c>
    </row>
    <row r="1970" spans="1:4">
      <c r="A1970" s="226" t="s">
        <v>3406</v>
      </c>
      <c r="B1970" s="226">
        <v>532627</v>
      </c>
      <c r="C1970" s="226" t="s">
        <v>3407</v>
      </c>
      <c r="D1970" s="226" t="s">
        <v>624</v>
      </c>
    </row>
    <row r="1971" spans="1:4">
      <c r="A1971" s="226" t="s">
        <v>3408</v>
      </c>
      <c r="B1971" s="226">
        <v>780001</v>
      </c>
      <c r="C1971" s="226" t="s">
        <v>486</v>
      </c>
      <c r="D1971" s="226" t="s">
        <v>577</v>
      </c>
    </row>
    <row r="1972" spans="1:4">
      <c r="A1972" s="226" t="s">
        <v>3409</v>
      </c>
      <c r="B1972" s="226" t="s">
        <v>486</v>
      </c>
      <c r="C1972" s="226" t="s">
        <v>3410</v>
      </c>
      <c r="D1972" s="226" t="s">
        <v>497</v>
      </c>
    </row>
    <row r="1973" spans="1:4">
      <c r="A1973" s="226" t="s">
        <v>3411</v>
      </c>
      <c r="B1973" s="226" t="s">
        <v>486</v>
      </c>
      <c r="C1973" s="226" t="s">
        <v>3412</v>
      </c>
      <c r="D1973" s="226" t="s">
        <v>497</v>
      </c>
    </row>
    <row r="1974" spans="1:4">
      <c r="A1974" s="226" t="s">
        <v>3413</v>
      </c>
      <c r="B1974" s="226" t="s">
        <v>486</v>
      </c>
      <c r="C1974" s="226" t="s">
        <v>3412</v>
      </c>
      <c r="D1974" s="226" t="s">
        <v>497</v>
      </c>
    </row>
    <row r="1975" spans="1:4">
      <c r="A1975" s="226" t="s">
        <v>3414</v>
      </c>
      <c r="B1975" s="226">
        <v>538564</v>
      </c>
      <c r="C1975" s="226" t="s">
        <v>486</v>
      </c>
      <c r="D1975" s="226" t="s">
        <v>892</v>
      </c>
    </row>
    <row r="1976" spans="1:4">
      <c r="A1976" s="226" t="s">
        <v>3415</v>
      </c>
      <c r="B1976" s="226">
        <v>520051</v>
      </c>
      <c r="C1976" s="226" t="s">
        <v>3416</v>
      </c>
      <c r="D1976" s="226" t="s">
        <v>840</v>
      </c>
    </row>
    <row r="1977" spans="1:4">
      <c r="A1977" s="226" t="s">
        <v>3417</v>
      </c>
      <c r="B1977" s="226">
        <v>502901</v>
      </c>
      <c r="C1977" s="226" t="s">
        <v>486</v>
      </c>
      <c r="D1977" s="226" t="s">
        <v>501</v>
      </c>
    </row>
    <row r="1978" spans="1:4">
      <c r="A1978" s="226" t="s">
        <v>3418</v>
      </c>
      <c r="B1978" s="226">
        <v>500220</v>
      </c>
      <c r="C1978" s="226" t="s">
        <v>486</v>
      </c>
      <c r="D1978" s="226" t="s">
        <v>501</v>
      </c>
    </row>
    <row r="1979" spans="1:4">
      <c r="A1979" s="226" t="s">
        <v>3419</v>
      </c>
      <c r="B1979" s="226">
        <v>540394</v>
      </c>
      <c r="C1979" s="226" t="s">
        <v>486</v>
      </c>
      <c r="D1979" s="226" t="s">
        <v>508</v>
      </c>
    </row>
    <row r="1980" spans="1:4">
      <c r="A1980" s="226" t="s">
        <v>3420</v>
      </c>
      <c r="B1980" s="226" t="s">
        <v>486</v>
      </c>
      <c r="C1980" s="226" t="s">
        <v>3421</v>
      </c>
      <c r="D1980" s="226" t="s">
        <v>497</v>
      </c>
    </row>
    <row r="1981" spans="1:4">
      <c r="A1981" s="226" t="s">
        <v>3422</v>
      </c>
      <c r="B1981" s="226">
        <v>514318</v>
      </c>
      <c r="C1981" s="226" t="s">
        <v>486</v>
      </c>
      <c r="D1981" s="226" t="s">
        <v>501</v>
      </c>
    </row>
    <row r="1982" spans="1:4">
      <c r="A1982" s="226" t="s">
        <v>3423</v>
      </c>
      <c r="B1982" s="226">
        <v>526001</v>
      </c>
      <c r="C1982" s="226" t="s">
        <v>486</v>
      </c>
      <c r="D1982" s="226" t="s">
        <v>680</v>
      </c>
    </row>
    <row r="1983" spans="1:4">
      <c r="A1983" s="226" t="s">
        <v>3424</v>
      </c>
      <c r="B1983" s="226">
        <v>520066</v>
      </c>
      <c r="C1983" s="226" t="s">
        <v>3425</v>
      </c>
      <c r="D1983" s="226" t="s">
        <v>840</v>
      </c>
    </row>
    <row r="1984" spans="1:4">
      <c r="A1984" s="226" t="s">
        <v>3426</v>
      </c>
      <c r="B1984" s="226">
        <v>509715</v>
      </c>
      <c r="C1984" s="226" t="s">
        <v>486</v>
      </c>
      <c r="D1984" s="226" t="s">
        <v>892</v>
      </c>
    </row>
    <row r="1985" spans="1:4">
      <c r="A1985" s="226" t="s">
        <v>3427</v>
      </c>
      <c r="B1985" s="226">
        <v>513252</v>
      </c>
      <c r="C1985" s="226" t="s">
        <v>486</v>
      </c>
      <c r="D1985" s="226" t="s">
        <v>840</v>
      </c>
    </row>
    <row r="1986" spans="1:4">
      <c r="A1986" s="226" t="s">
        <v>3428</v>
      </c>
      <c r="B1986" s="226">
        <v>524330</v>
      </c>
      <c r="C1986" s="226" t="s">
        <v>3429</v>
      </c>
      <c r="D1986" s="226" t="s">
        <v>645</v>
      </c>
    </row>
    <row r="1987" spans="1:4">
      <c r="A1987" s="226" t="s">
        <v>3430</v>
      </c>
      <c r="B1987" s="226">
        <v>522285</v>
      </c>
      <c r="C1987" s="226" t="s">
        <v>3431</v>
      </c>
      <c r="D1987" s="226" t="s">
        <v>518</v>
      </c>
    </row>
    <row r="1988" spans="1:4">
      <c r="A1988" s="226" t="s">
        <v>3432</v>
      </c>
      <c r="B1988" s="226">
        <v>539005</v>
      </c>
      <c r="C1988" s="226" t="s">
        <v>486</v>
      </c>
      <c r="D1988" s="226" t="s">
        <v>906</v>
      </c>
    </row>
    <row r="1989" spans="1:4">
      <c r="A1989" s="226" t="s">
        <v>3433</v>
      </c>
      <c r="B1989" s="226">
        <v>531323</v>
      </c>
      <c r="C1989" s="226" t="s">
        <v>486</v>
      </c>
      <c r="D1989" s="226" t="s">
        <v>501</v>
      </c>
    </row>
    <row r="1990" spans="1:4">
      <c r="A1990" s="226" t="s">
        <v>3434</v>
      </c>
      <c r="B1990" s="226">
        <v>512233</v>
      </c>
      <c r="C1990" s="226" t="s">
        <v>486</v>
      </c>
      <c r="D1990" s="226" t="s">
        <v>501</v>
      </c>
    </row>
    <row r="1991" spans="1:4">
      <c r="A1991" s="226" t="s">
        <v>3435</v>
      </c>
      <c r="B1991" s="226">
        <v>500306</v>
      </c>
      <c r="C1991" s="226" t="s">
        <v>486</v>
      </c>
      <c r="D1991" s="226" t="s">
        <v>503</v>
      </c>
    </row>
    <row r="1992" spans="1:4">
      <c r="A1992" s="226" t="s">
        <v>3436</v>
      </c>
      <c r="B1992" s="226">
        <v>533207</v>
      </c>
      <c r="C1992" s="226" t="s">
        <v>3437</v>
      </c>
      <c r="D1992" s="226" t="s">
        <v>1080</v>
      </c>
    </row>
    <row r="1993" spans="1:4">
      <c r="A1993" s="226" t="s">
        <v>3438</v>
      </c>
      <c r="B1993" s="226">
        <v>506520</v>
      </c>
      <c r="C1993" s="226" t="s">
        <v>486</v>
      </c>
      <c r="D1993" s="226" t="s">
        <v>534</v>
      </c>
    </row>
    <row r="1994" spans="1:4">
      <c r="A1994" s="226" t="s">
        <v>3439</v>
      </c>
      <c r="B1994" s="226" t="s">
        <v>486</v>
      </c>
      <c r="C1994" s="226" t="s">
        <v>3440</v>
      </c>
      <c r="D1994" s="226" t="s">
        <v>577</v>
      </c>
    </row>
    <row r="1995" spans="1:4">
      <c r="A1995" s="226" t="s">
        <v>3441</v>
      </c>
      <c r="B1995" s="226">
        <v>506910</v>
      </c>
      <c r="C1995" s="226" t="s">
        <v>486</v>
      </c>
      <c r="D1995" s="226" t="s">
        <v>645</v>
      </c>
    </row>
    <row r="1996" spans="1:4">
      <c r="A1996" s="226" t="s">
        <v>3442</v>
      </c>
      <c r="B1996" s="226">
        <v>506910</v>
      </c>
      <c r="C1996" s="226" t="s">
        <v>486</v>
      </c>
      <c r="D1996" s="226" t="s">
        <v>645</v>
      </c>
    </row>
    <row r="1997" spans="1:4">
      <c r="A1997" s="226" t="s">
        <v>3443</v>
      </c>
      <c r="B1997" s="226">
        <v>506943</v>
      </c>
      <c r="C1997" s="226" t="s">
        <v>3444</v>
      </c>
      <c r="D1997" s="226" t="s">
        <v>524</v>
      </c>
    </row>
    <row r="1998" spans="1:4">
      <c r="A1998" s="226" t="s">
        <v>3445</v>
      </c>
      <c r="B1998" s="226">
        <v>514034</v>
      </c>
      <c r="C1998" s="226" t="s">
        <v>3446</v>
      </c>
      <c r="D1998" s="226" t="s">
        <v>862</v>
      </c>
    </row>
    <row r="1999" spans="1:4">
      <c r="A1999" s="226" t="s">
        <v>3447</v>
      </c>
      <c r="B1999" s="226">
        <v>532605</v>
      </c>
      <c r="C1999" s="226" t="s">
        <v>3448</v>
      </c>
      <c r="D1999" s="226" t="s">
        <v>840</v>
      </c>
    </row>
    <row r="2000" spans="1:4">
      <c r="A2000" s="226" t="s">
        <v>3449</v>
      </c>
      <c r="B2000" s="226">
        <v>500223</v>
      </c>
      <c r="C2000" s="226" t="s">
        <v>486</v>
      </c>
      <c r="D2000" s="226" t="s">
        <v>501</v>
      </c>
    </row>
    <row r="2001" spans="1:4">
      <c r="A2001" s="226" t="s">
        <v>3450</v>
      </c>
      <c r="B2001" s="226">
        <v>524592</v>
      </c>
      <c r="C2001" s="226" t="s">
        <v>486</v>
      </c>
      <c r="D2001" s="226" t="s">
        <v>645</v>
      </c>
    </row>
    <row r="2002" spans="1:4">
      <c r="A2002" s="226" t="s">
        <v>3451</v>
      </c>
      <c r="B2002" s="226">
        <v>538837</v>
      </c>
      <c r="C2002" s="226" t="s">
        <v>486</v>
      </c>
      <c r="D2002" s="226" t="s">
        <v>492</v>
      </c>
    </row>
    <row r="2003" spans="1:4">
      <c r="A2003" s="226" t="s">
        <v>3452</v>
      </c>
      <c r="B2003" s="226">
        <v>524731</v>
      </c>
      <c r="C2003" s="226" t="s">
        <v>486</v>
      </c>
      <c r="D2003" s="226" t="s">
        <v>524</v>
      </c>
    </row>
    <row r="2004" spans="1:4">
      <c r="A2004" s="226" t="s">
        <v>3453</v>
      </c>
      <c r="B2004" s="226">
        <v>532617</v>
      </c>
      <c r="C2004" s="226" t="s">
        <v>3454</v>
      </c>
      <c r="D2004" s="226" t="s">
        <v>2620</v>
      </c>
    </row>
    <row r="2005" spans="1:4">
      <c r="A2005" s="226" t="s">
        <v>3455</v>
      </c>
      <c r="B2005" s="226">
        <v>532617</v>
      </c>
      <c r="C2005" s="226" t="s">
        <v>3454</v>
      </c>
      <c r="D2005" s="226" t="s">
        <v>2620</v>
      </c>
    </row>
    <row r="2006" spans="1:4">
      <c r="A2006" s="226" t="s">
        <v>3456</v>
      </c>
      <c r="B2006" s="226" t="s">
        <v>486</v>
      </c>
      <c r="C2006" s="226" t="s">
        <v>3457</v>
      </c>
      <c r="D2006" s="226" t="s">
        <v>497</v>
      </c>
    </row>
    <row r="2007" spans="1:4">
      <c r="A2007" s="226" t="s">
        <v>3458</v>
      </c>
      <c r="B2007" s="226">
        <v>538794</v>
      </c>
      <c r="C2007" s="226" t="s">
        <v>486</v>
      </c>
      <c r="D2007" s="226" t="s">
        <v>572</v>
      </c>
    </row>
    <row r="2008" spans="1:4">
      <c r="A2008" s="226" t="s">
        <v>3459</v>
      </c>
      <c r="B2008" s="226" t="s">
        <v>486</v>
      </c>
      <c r="C2008" s="226" t="s">
        <v>3460</v>
      </c>
      <c r="D2008" s="226" t="s">
        <v>497</v>
      </c>
    </row>
    <row r="2009" spans="1:4">
      <c r="A2009" s="226" t="s">
        <v>3461</v>
      </c>
      <c r="B2009" s="226">
        <v>517063</v>
      </c>
      <c r="C2009" s="226" t="s">
        <v>486</v>
      </c>
      <c r="D2009" s="226" t="s">
        <v>970</v>
      </c>
    </row>
    <row r="2010" spans="1:4">
      <c r="A2010" s="226" t="s">
        <v>3462</v>
      </c>
      <c r="B2010" s="226">
        <v>540850</v>
      </c>
      <c r="C2010" s="226" t="s">
        <v>486</v>
      </c>
      <c r="D2010" s="226" t="s">
        <v>546</v>
      </c>
    </row>
    <row r="2011" spans="1:4">
      <c r="A2011" s="226" t="s">
        <v>3463</v>
      </c>
      <c r="B2011" s="226">
        <v>531550</v>
      </c>
      <c r="C2011" s="226" t="s">
        <v>486</v>
      </c>
      <c r="D2011" s="226" t="s">
        <v>470</v>
      </c>
    </row>
    <row r="2012" spans="1:4">
      <c r="A2012" s="226" t="s">
        <v>3464</v>
      </c>
      <c r="B2012" s="226">
        <v>532771</v>
      </c>
      <c r="C2012" s="226" t="s">
        <v>3465</v>
      </c>
      <c r="D2012" s="226" t="s">
        <v>667</v>
      </c>
    </row>
    <row r="2013" spans="1:4">
      <c r="A2013" s="226" t="s">
        <v>3466</v>
      </c>
      <c r="B2013" s="226">
        <v>540651</v>
      </c>
      <c r="C2013" s="226" t="s">
        <v>486</v>
      </c>
      <c r="D2013" s="226" t="s">
        <v>783</v>
      </c>
    </row>
    <row r="2014" spans="1:4">
      <c r="A2014" s="226" t="s">
        <v>3467</v>
      </c>
      <c r="B2014" s="226">
        <v>780019</v>
      </c>
      <c r="C2014" s="226" t="s">
        <v>486</v>
      </c>
      <c r="D2014" s="226" t="s">
        <v>577</v>
      </c>
    </row>
    <row r="2015" spans="1:4">
      <c r="A2015" s="226" t="s">
        <v>3468</v>
      </c>
      <c r="B2015" s="226">
        <v>511618</v>
      </c>
      <c r="C2015" s="226" t="s">
        <v>3469</v>
      </c>
      <c r="D2015" s="226" t="s">
        <v>508</v>
      </c>
    </row>
    <row r="2016" spans="1:4">
      <c r="A2016" s="226" t="s">
        <v>3470</v>
      </c>
      <c r="B2016" s="226">
        <v>542653</v>
      </c>
      <c r="C2016" s="226" t="s">
        <v>3471</v>
      </c>
      <c r="D2016" s="226" t="s">
        <v>1041</v>
      </c>
    </row>
    <row r="2017" spans="1:4">
      <c r="A2017" s="226" t="s">
        <v>3472</v>
      </c>
      <c r="B2017" s="226">
        <v>530405</v>
      </c>
      <c r="C2017" s="226" t="s">
        <v>486</v>
      </c>
      <c r="D2017" s="226" t="s">
        <v>470</v>
      </c>
    </row>
    <row r="2018" spans="1:4">
      <c r="A2018" s="226" t="s">
        <v>3473</v>
      </c>
      <c r="B2018" s="226">
        <v>533103</v>
      </c>
      <c r="C2018" s="226" t="s">
        <v>3474</v>
      </c>
      <c r="D2018" s="226" t="s">
        <v>501</v>
      </c>
    </row>
    <row r="2019" spans="1:4">
      <c r="A2019" s="226" t="s">
        <v>3475</v>
      </c>
      <c r="B2019" s="226">
        <v>511034</v>
      </c>
      <c r="C2019" s="226" t="s">
        <v>3476</v>
      </c>
      <c r="D2019" s="226" t="s">
        <v>549</v>
      </c>
    </row>
    <row r="2020" spans="1:4">
      <c r="A2020" s="226" t="s">
        <v>3477</v>
      </c>
      <c r="B2020" s="226">
        <v>507981</v>
      </c>
      <c r="C2020" s="226" t="s">
        <v>486</v>
      </c>
      <c r="D2020" s="226" t="s">
        <v>686</v>
      </c>
    </row>
    <row r="2021" spans="1:4">
      <c r="A2021" s="226" t="s">
        <v>3478</v>
      </c>
      <c r="B2021" s="226">
        <v>539947</v>
      </c>
      <c r="C2021" s="226" t="s">
        <v>486</v>
      </c>
      <c r="D2021" s="226" t="s">
        <v>506</v>
      </c>
    </row>
    <row r="2022" spans="1:4">
      <c r="A2022" s="226" t="s">
        <v>3479</v>
      </c>
      <c r="B2022" s="226">
        <v>532624</v>
      </c>
      <c r="C2022" s="226" t="s">
        <v>3480</v>
      </c>
      <c r="D2022" s="226" t="s">
        <v>1722</v>
      </c>
    </row>
    <row r="2023" spans="1:4">
      <c r="A2023" s="226" t="s">
        <v>3481</v>
      </c>
      <c r="B2023" s="226">
        <v>500227</v>
      </c>
      <c r="C2023" s="226" t="s">
        <v>3482</v>
      </c>
      <c r="D2023" s="226" t="s">
        <v>534</v>
      </c>
    </row>
    <row r="2024" spans="1:4">
      <c r="A2024" s="226" t="s">
        <v>3483</v>
      </c>
      <c r="B2024" s="226">
        <v>536773</v>
      </c>
      <c r="C2024" s="226" t="s">
        <v>3484</v>
      </c>
      <c r="D2024" s="226" t="s">
        <v>470</v>
      </c>
    </row>
    <row r="2025" spans="1:4">
      <c r="A2025" s="226" t="s">
        <v>3485</v>
      </c>
      <c r="B2025" s="226">
        <v>500378</v>
      </c>
      <c r="C2025" s="226" t="s">
        <v>3486</v>
      </c>
      <c r="D2025" s="226" t="s">
        <v>883</v>
      </c>
    </row>
    <row r="2026" spans="1:4">
      <c r="A2026" s="226" t="s">
        <v>3487</v>
      </c>
      <c r="B2026" s="226">
        <v>539597</v>
      </c>
      <c r="C2026" s="226" t="s">
        <v>3488</v>
      </c>
      <c r="D2026" s="226" t="s">
        <v>808</v>
      </c>
    </row>
    <row r="2027" spans="1:4">
      <c r="A2027" s="226" t="s">
        <v>3489</v>
      </c>
      <c r="B2027" s="226">
        <v>532508</v>
      </c>
      <c r="C2027" s="226" t="s">
        <v>3490</v>
      </c>
      <c r="D2027" s="226" t="s">
        <v>518</v>
      </c>
    </row>
    <row r="2028" spans="1:4">
      <c r="A2028" s="226" t="s">
        <v>3491</v>
      </c>
      <c r="B2028" s="226">
        <v>532286</v>
      </c>
      <c r="C2028" s="226" t="s">
        <v>3492</v>
      </c>
      <c r="D2028" s="226" t="s">
        <v>518</v>
      </c>
    </row>
    <row r="2029" spans="1:4">
      <c r="A2029" s="226" t="s">
        <v>3493</v>
      </c>
      <c r="B2029" s="226">
        <v>531543</v>
      </c>
      <c r="C2029" s="226" t="s">
        <v>3494</v>
      </c>
      <c r="D2029" s="226" t="s">
        <v>501</v>
      </c>
    </row>
    <row r="2030" spans="1:4">
      <c r="A2030" s="226" t="s">
        <v>3495</v>
      </c>
      <c r="B2030" s="226">
        <v>540311</v>
      </c>
      <c r="C2030" s="226" t="s">
        <v>3496</v>
      </c>
      <c r="D2030" s="226" t="s">
        <v>608</v>
      </c>
    </row>
    <row r="2031" spans="1:4">
      <c r="A2031" s="226" t="s">
        <v>3497</v>
      </c>
      <c r="B2031" s="226">
        <v>539225</v>
      </c>
      <c r="C2031" s="226" t="s">
        <v>486</v>
      </c>
      <c r="D2031" s="226" t="s">
        <v>511</v>
      </c>
    </row>
    <row r="2032" spans="1:4">
      <c r="A2032" s="226" t="s">
        <v>3498</v>
      </c>
      <c r="B2032" s="226">
        <v>536493</v>
      </c>
      <c r="C2032" s="226" t="s">
        <v>486</v>
      </c>
      <c r="D2032" s="226" t="s">
        <v>683</v>
      </c>
    </row>
    <row r="2033" spans="1:4">
      <c r="A2033" s="226" t="s">
        <v>3499</v>
      </c>
      <c r="B2033" s="226">
        <v>532644</v>
      </c>
      <c r="C2033" s="226" t="s">
        <v>3500</v>
      </c>
      <c r="D2033" s="226" t="s">
        <v>499</v>
      </c>
    </row>
    <row r="2034" spans="1:4">
      <c r="A2034" s="226" t="s">
        <v>3501</v>
      </c>
      <c r="B2034" s="226">
        <v>500380</v>
      </c>
      <c r="C2034" s="226" t="s">
        <v>3502</v>
      </c>
      <c r="D2034" s="226" t="s">
        <v>499</v>
      </c>
    </row>
    <row r="2035" spans="1:4">
      <c r="A2035" s="226" t="s">
        <v>3503</v>
      </c>
      <c r="B2035" s="226">
        <v>532162</v>
      </c>
      <c r="C2035" s="226" t="s">
        <v>3504</v>
      </c>
      <c r="D2035" s="226" t="s">
        <v>480</v>
      </c>
    </row>
    <row r="2036" spans="1:4">
      <c r="A2036" s="226" t="s">
        <v>3505</v>
      </c>
      <c r="B2036" s="226">
        <v>530007</v>
      </c>
      <c r="C2036" s="226" t="s">
        <v>3506</v>
      </c>
      <c r="D2036" s="226" t="s">
        <v>965</v>
      </c>
    </row>
    <row r="2037" spans="1:4">
      <c r="A2037" s="226" t="s">
        <v>3507</v>
      </c>
      <c r="B2037" s="226">
        <v>538765</v>
      </c>
      <c r="C2037" s="226" t="s">
        <v>486</v>
      </c>
      <c r="D2037" s="226" t="s">
        <v>3242</v>
      </c>
    </row>
    <row r="2038" spans="1:4">
      <c r="A2038" s="226" t="s">
        <v>3508</v>
      </c>
      <c r="B2038" s="226">
        <v>523405</v>
      </c>
      <c r="C2038" s="226" t="s">
        <v>3509</v>
      </c>
      <c r="D2038" s="226" t="s">
        <v>651</v>
      </c>
    </row>
    <row r="2039" spans="1:4">
      <c r="A2039" s="226" t="s">
        <v>3510</v>
      </c>
      <c r="B2039" s="226">
        <v>522263</v>
      </c>
      <c r="C2039" s="226" t="s">
        <v>3511</v>
      </c>
      <c r="D2039" s="226" t="s">
        <v>883</v>
      </c>
    </row>
    <row r="2040" spans="1:4">
      <c r="A2040" s="226" t="s">
        <v>3512</v>
      </c>
      <c r="B2040" s="226">
        <v>522263</v>
      </c>
      <c r="C2040" s="226" t="s">
        <v>3511</v>
      </c>
      <c r="D2040" s="226" t="s">
        <v>883</v>
      </c>
    </row>
    <row r="2041" spans="1:4">
      <c r="A2041" s="226" t="s">
        <v>3513</v>
      </c>
      <c r="B2041" s="226">
        <v>511092</v>
      </c>
      <c r="C2041" s="226" t="s">
        <v>486</v>
      </c>
      <c r="D2041" s="226" t="s">
        <v>489</v>
      </c>
    </row>
    <row r="2042" spans="1:4">
      <c r="A2042" s="226" t="s">
        <v>3514</v>
      </c>
      <c r="B2042" s="226">
        <v>523712</v>
      </c>
      <c r="C2042" s="226" t="s">
        <v>486</v>
      </c>
      <c r="D2042" s="226" t="s">
        <v>605</v>
      </c>
    </row>
    <row r="2043" spans="1:4">
      <c r="A2043" s="226" t="s">
        <v>3515</v>
      </c>
      <c r="B2043" s="226">
        <v>513691</v>
      </c>
      <c r="C2043" s="226" t="s">
        <v>3516</v>
      </c>
      <c r="D2043" s="226" t="s">
        <v>840</v>
      </c>
    </row>
    <row r="2044" spans="1:4">
      <c r="A2044" s="226" t="s">
        <v>3517</v>
      </c>
      <c r="B2044" s="226" t="s">
        <v>486</v>
      </c>
      <c r="C2044" s="226" t="s">
        <v>3518</v>
      </c>
      <c r="D2044" s="226" t="s">
        <v>577</v>
      </c>
    </row>
    <row r="2045" spans="1:4">
      <c r="A2045" s="226" t="s">
        <v>3519</v>
      </c>
      <c r="B2045" s="226">
        <v>523398</v>
      </c>
      <c r="C2045" s="226" t="s">
        <v>3520</v>
      </c>
      <c r="D2045" s="226" t="s">
        <v>854</v>
      </c>
    </row>
    <row r="2046" spans="1:4">
      <c r="A2046" s="226" t="s">
        <v>3521</v>
      </c>
      <c r="B2046" s="226">
        <v>523398</v>
      </c>
      <c r="C2046" s="226" t="s">
        <v>3520</v>
      </c>
      <c r="D2046" s="226" t="s">
        <v>854</v>
      </c>
    </row>
    <row r="2047" spans="1:4">
      <c r="A2047" s="226" t="s">
        <v>3522</v>
      </c>
      <c r="B2047" s="226">
        <v>531861</v>
      </c>
      <c r="C2047" s="226" t="s">
        <v>486</v>
      </c>
      <c r="D2047" s="226" t="s">
        <v>470</v>
      </c>
    </row>
    <row r="2048" spans="1:4">
      <c r="A2048" s="226" t="s">
        <v>3523</v>
      </c>
      <c r="B2048" s="226">
        <v>534659</v>
      </c>
      <c r="C2048" s="226" t="s">
        <v>486</v>
      </c>
      <c r="D2048" s="226" t="s">
        <v>473</v>
      </c>
    </row>
    <row r="2049" spans="1:4">
      <c r="A2049" s="226" t="s">
        <v>3524</v>
      </c>
      <c r="B2049" s="226">
        <v>542446</v>
      </c>
      <c r="C2049" s="226" t="s">
        <v>3525</v>
      </c>
      <c r="D2049" s="226" t="s">
        <v>570</v>
      </c>
    </row>
    <row r="2050" spans="1:4">
      <c r="A2050" s="226" t="s">
        <v>3526</v>
      </c>
      <c r="B2050" s="226">
        <v>538092</v>
      </c>
      <c r="C2050" s="226" t="s">
        <v>486</v>
      </c>
      <c r="D2050" s="226" t="s">
        <v>892</v>
      </c>
    </row>
    <row r="2051" spans="1:4">
      <c r="A2051" s="226" t="s">
        <v>3527</v>
      </c>
      <c r="B2051" s="226">
        <v>505750</v>
      </c>
      <c r="C2051" s="226" t="s">
        <v>486</v>
      </c>
      <c r="D2051" s="226" t="s">
        <v>494</v>
      </c>
    </row>
    <row r="2052" spans="1:4">
      <c r="A2052" s="226" t="s">
        <v>3528</v>
      </c>
      <c r="B2052" s="226">
        <v>508929</v>
      </c>
      <c r="C2052" s="226" t="s">
        <v>486</v>
      </c>
      <c r="D2052" s="226" t="s">
        <v>572</v>
      </c>
    </row>
    <row r="2053" spans="1:4">
      <c r="A2053" s="226" t="s">
        <v>3529</v>
      </c>
      <c r="B2053" s="226">
        <v>530985</v>
      </c>
      <c r="C2053" s="226" t="s">
        <v>486</v>
      </c>
      <c r="D2053" s="226" t="s">
        <v>503</v>
      </c>
    </row>
    <row r="2054" spans="1:4">
      <c r="A2054" s="226" t="s">
        <v>3530</v>
      </c>
      <c r="B2054" s="226">
        <v>506016</v>
      </c>
      <c r="C2054" s="226" t="s">
        <v>486</v>
      </c>
      <c r="D2054" s="226" t="s">
        <v>883</v>
      </c>
    </row>
    <row r="2055" spans="1:4">
      <c r="A2055" s="226" t="s">
        <v>3531</v>
      </c>
      <c r="B2055" s="226">
        <v>504080</v>
      </c>
      <c r="C2055" s="226" t="s">
        <v>486</v>
      </c>
      <c r="D2055" s="226" t="s">
        <v>783</v>
      </c>
    </row>
    <row r="2056" spans="1:4">
      <c r="A2056" s="226" t="s">
        <v>3532</v>
      </c>
      <c r="B2056" s="226">
        <v>533148</v>
      </c>
      <c r="C2056" s="226" t="s">
        <v>3533</v>
      </c>
      <c r="D2056" s="226" t="s">
        <v>624</v>
      </c>
    </row>
    <row r="2057" spans="1:4">
      <c r="A2057" s="226" t="s">
        <v>3534</v>
      </c>
      <c r="B2057" s="226">
        <v>532642</v>
      </c>
      <c r="C2057" s="226" t="s">
        <v>3535</v>
      </c>
      <c r="D2057" s="226" t="s">
        <v>651</v>
      </c>
    </row>
    <row r="2058" spans="1:4">
      <c r="A2058" s="226" t="s">
        <v>3536</v>
      </c>
      <c r="B2058" s="226">
        <v>500228</v>
      </c>
      <c r="C2058" s="226" t="s">
        <v>3537</v>
      </c>
      <c r="D2058" s="226" t="s">
        <v>518</v>
      </c>
    </row>
    <row r="2059" spans="1:4">
      <c r="A2059" s="226" t="s">
        <v>3538</v>
      </c>
      <c r="B2059" s="226">
        <v>520057</v>
      </c>
      <c r="C2059" s="226" t="s">
        <v>3539</v>
      </c>
      <c r="D2059" s="226" t="s">
        <v>840</v>
      </c>
    </row>
    <row r="2060" spans="1:4">
      <c r="A2060" s="226" t="s">
        <v>3540</v>
      </c>
      <c r="B2060" s="226">
        <v>520057</v>
      </c>
      <c r="C2060" s="226" t="s">
        <v>3541</v>
      </c>
      <c r="D2060" s="226" t="s">
        <v>840</v>
      </c>
    </row>
    <row r="2061" spans="1:4">
      <c r="A2061" s="226" t="s">
        <v>3542</v>
      </c>
      <c r="B2061" s="226">
        <v>534600</v>
      </c>
      <c r="C2061" s="226" t="s">
        <v>486</v>
      </c>
      <c r="D2061" s="226" t="s">
        <v>808</v>
      </c>
    </row>
    <row r="2062" spans="1:4">
      <c r="A2062" s="226" t="s">
        <v>3543</v>
      </c>
      <c r="B2062" s="226">
        <v>533155</v>
      </c>
      <c r="C2062" s="226" t="s">
        <v>3544</v>
      </c>
      <c r="D2062" s="226" t="s">
        <v>974</v>
      </c>
    </row>
    <row r="2063" spans="1:4">
      <c r="A2063" s="226" t="s">
        <v>3545</v>
      </c>
      <c r="B2063" s="226">
        <v>533320</v>
      </c>
      <c r="C2063" s="226" t="s">
        <v>3546</v>
      </c>
      <c r="D2063" s="226" t="s">
        <v>629</v>
      </c>
    </row>
    <row r="2064" spans="1:4">
      <c r="A2064" s="226" t="s">
        <v>3547</v>
      </c>
      <c r="B2064" s="226">
        <v>530019</v>
      </c>
      <c r="C2064" s="226" t="s">
        <v>3548</v>
      </c>
      <c r="D2064" s="226" t="s">
        <v>524</v>
      </c>
    </row>
    <row r="2065" spans="1:4">
      <c r="A2065" s="226" t="s">
        <v>3549</v>
      </c>
      <c r="B2065" s="226" t="s">
        <v>486</v>
      </c>
      <c r="C2065" s="226" t="s">
        <v>3550</v>
      </c>
      <c r="D2065" s="226" t="s">
        <v>577</v>
      </c>
    </row>
    <row r="2066" spans="1:4">
      <c r="A2066" s="226" t="s">
        <v>3551</v>
      </c>
      <c r="B2066" s="226">
        <v>516078</v>
      </c>
      <c r="C2066" s="226" t="s">
        <v>486</v>
      </c>
      <c r="D2066" s="226" t="s">
        <v>680</v>
      </c>
    </row>
    <row r="2067" spans="1:4">
      <c r="A2067" s="226" t="s">
        <v>3552</v>
      </c>
      <c r="B2067" s="226">
        <v>511060</v>
      </c>
      <c r="C2067" s="226" t="s">
        <v>486</v>
      </c>
      <c r="D2067" s="226" t="s">
        <v>906</v>
      </c>
    </row>
    <row r="2068" spans="1:4">
      <c r="A2068" s="226" t="s">
        <v>3553</v>
      </c>
      <c r="B2068" s="226">
        <v>539216</v>
      </c>
      <c r="C2068" s="226" t="s">
        <v>486</v>
      </c>
      <c r="D2068" s="226" t="s">
        <v>501</v>
      </c>
    </row>
    <row r="2069" spans="1:4">
      <c r="A2069" s="226" t="s">
        <v>3554</v>
      </c>
      <c r="B2069" s="226">
        <v>507987</v>
      </c>
      <c r="C2069" s="226" t="s">
        <v>486</v>
      </c>
      <c r="D2069" s="226" t="s">
        <v>503</v>
      </c>
    </row>
    <row r="2070" spans="1:4">
      <c r="A2070" s="226" t="s">
        <v>3555</v>
      </c>
      <c r="B2070" s="226">
        <v>534623</v>
      </c>
      <c r="C2070" s="226" t="s">
        <v>486</v>
      </c>
      <c r="D2070" s="226" t="s">
        <v>3242</v>
      </c>
    </row>
    <row r="2071" spans="1:4">
      <c r="A2071" s="226" t="s">
        <v>3556</v>
      </c>
      <c r="B2071" s="226">
        <v>535648</v>
      </c>
      <c r="C2071" s="226" t="s">
        <v>3557</v>
      </c>
      <c r="D2071" s="226" t="s">
        <v>1009</v>
      </c>
    </row>
    <row r="2072" spans="1:4">
      <c r="A2072" s="226" t="s">
        <v>3558</v>
      </c>
      <c r="B2072" s="226">
        <v>531035</v>
      </c>
      <c r="C2072" s="226" t="s">
        <v>486</v>
      </c>
      <c r="D2072" s="226" t="s">
        <v>1143</v>
      </c>
    </row>
    <row r="2073" spans="1:4">
      <c r="A2073" s="226" t="s">
        <v>3559</v>
      </c>
      <c r="B2073" s="226">
        <v>519248</v>
      </c>
      <c r="C2073" s="226" t="s">
        <v>3560</v>
      </c>
      <c r="D2073" s="226" t="s">
        <v>734</v>
      </c>
    </row>
    <row r="2074" spans="1:4">
      <c r="A2074" s="226" t="s">
        <v>3561</v>
      </c>
      <c r="B2074" s="226">
        <v>542544</v>
      </c>
      <c r="C2074" s="226" t="s">
        <v>3562</v>
      </c>
      <c r="D2074" s="226" t="s">
        <v>470</v>
      </c>
    </row>
    <row r="2075" spans="1:4">
      <c r="A2075" s="226" t="s">
        <v>3563</v>
      </c>
      <c r="B2075" s="226">
        <v>532926</v>
      </c>
      <c r="C2075" s="226" t="s">
        <v>3564</v>
      </c>
      <c r="D2075" s="226" t="s">
        <v>368</v>
      </c>
    </row>
    <row r="2076" spans="1:4">
      <c r="A2076" s="226" t="s">
        <v>3565</v>
      </c>
      <c r="B2076" s="226">
        <v>504076</v>
      </c>
      <c r="C2076" s="226" t="s">
        <v>486</v>
      </c>
      <c r="D2076" s="226" t="s">
        <v>529</v>
      </c>
    </row>
    <row r="2077" spans="1:4">
      <c r="A2077" s="226" t="s">
        <v>3566</v>
      </c>
      <c r="B2077" s="226">
        <v>514448</v>
      </c>
      <c r="C2077" s="226" t="s">
        <v>486</v>
      </c>
      <c r="D2077" s="226" t="s">
        <v>645</v>
      </c>
    </row>
    <row r="2078" spans="1:4">
      <c r="A2078" s="226" t="s">
        <v>3567</v>
      </c>
      <c r="B2078" s="226">
        <v>513250</v>
      </c>
      <c r="C2078" s="226" t="s">
        <v>3568</v>
      </c>
      <c r="D2078" s="226" t="s">
        <v>529</v>
      </c>
    </row>
    <row r="2079" spans="1:4">
      <c r="A2079" s="226" t="s">
        <v>3569</v>
      </c>
      <c r="B2079" s="226">
        <v>539246</v>
      </c>
      <c r="C2079" s="226" t="s">
        <v>486</v>
      </c>
      <c r="D2079" s="226" t="s">
        <v>508</v>
      </c>
    </row>
    <row r="2080" spans="1:4">
      <c r="A2080" s="226" t="s">
        <v>3570</v>
      </c>
      <c r="B2080" s="226">
        <v>532673</v>
      </c>
      <c r="C2080" s="226" t="s">
        <v>3571</v>
      </c>
      <c r="D2080" s="226" t="s">
        <v>1184</v>
      </c>
    </row>
    <row r="2081" spans="1:4">
      <c r="A2081" s="226" t="s">
        <v>3572</v>
      </c>
      <c r="B2081" s="226">
        <v>539686</v>
      </c>
      <c r="C2081" s="226" t="s">
        <v>486</v>
      </c>
      <c r="D2081" s="226" t="s">
        <v>624</v>
      </c>
    </row>
    <row r="2082" spans="1:4">
      <c r="A2082" s="226" t="s">
        <v>3573</v>
      </c>
      <c r="B2082" s="226">
        <v>532889</v>
      </c>
      <c r="C2082" s="226" t="s">
        <v>3574</v>
      </c>
      <c r="D2082" s="226" t="s">
        <v>501</v>
      </c>
    </row>
    <row r="2083" spans="1:4">
      <c r="A2083" s="226" t="s">
        <v>3575</v>
      </c>
      <c r="B2083" s="226">
        <v>511728</v>
      </c>
      <c r="C2083" s="226" t="s">
        <v>486</v>
      </c>
      <c r="D2083" s="226" t="s">
        <v>503</v>
      </c>
    </row>
    <row r="2084" spans="1:4">
      <c r="A2084" s="226" t="s">
        <v>3576</v>
      </c>
      <c r="B2084" s="226">
        <v>514360</v>
      </c>
      <c r="C2084" s="226" t="s">
        <v>486</v>
      </c>
      <c r="D2084" s="226" t="s">
        <v>883</v>
      </c>
    </row>
    <row r="2085" spans="1:4">
      <c r="A2085" s="226" t="s">
        <v>3577</v>
      </c>
      <c r="B2085" s="226">
        <v>542323</v>
      </c>
      <c r="C2085" s="226" t="s">
        <v>3578</v>
      </c>
      <c r="D2085" s="226" t="s">
        <v>624</v>
      </c>
    </row>
    <row r="2086" spans="1:4">
      <c r="A2086" s="226" t="s">
        <v>3579</v>
      </c>
      <c r="B2086" s="226">
        <v>540756</v>
      </c>
      <c r="C2086" s="226" t="s">
        <v>486</v>
      </c>
      <c r="D2086" s="226" t="s">
        <v>3263</v>
      </c>
    </row>
    <row r="2087" spans="1:4">
      <c r="A2087" s="226" t="s">
        <v>3580</v>
      </c>
      <c r="B2087" s="226">
        <v>539393</v>
      </c>
      <c r="C2087" s="226" t="s">
        <v>486</v>
      </c>
      <c r="D2087" s="226" t="s">
        <v>1163</v>
      </c>
    </row>
    <row r="2088" spans="1:4">
      <c r="A2088" s="226" t="s">
        <v>3581</v>
      </c>
      <c r="B2088" s="226">
        <v>524322</v>
      </c>
      <c r="C2088" s="226" t="s">
        <v>486</v>
      </c>
      <c r="D2088" s="226" t="s">
        <v>524</v>
      </c>
    </row>
    <row r="2089" spans="1:4">
      <c r="A2089" s="226" t="s">
        <v>3582</v>
      </c>
      <c r="B2089" s="226">
        <v>524109</v>
      </c>
      <c r="C2089" s="226" t="s">
        <v>3583</v>
      </c>
      <c r="D2089" s="226" t="s">
        <v>494</v>
      </c>
    </row>
    <row r="2090" spans="1:4">
      <c r="A2090" s="226" t="s">
        <v>3584</v>
      </c>
      <c r="B2090" s="226">
        <v>524675</v>
      </c>
      <c r="C2090" s="226" t="s">
        <v>486</v>
      </c>
      <c r="D2090" s="226" t="s">
        <v>508</v>
      </c>
    </row>
    <row r="2091" spans="1:4">
      <c r="A2091" s="226" t="s">
        <v>3585</v>
      </c>
      <c r="B2091" s="226">
        <v>531778</v>
      </c>
      <c r="C2091" s="226" t="s">
        <v>486</v>
      </c>
      <c r="D2091" s="226" t="s">
        <v>467</v>
      </c>
    </row>
    <row r="2092" spans="1:4">
      <c r="A2092" s="226" t="s">
        <v>3586</v>
      </c>
      <c r="B2092" s="226">
        <v>504840</v>
      </c>
      <c r="C2092" s="226" t="s">
        <v>486</v>
      </c>
      <c r="D2092" s="226" t="s">
        <v>680</v>
      </c>
    </row>
    <row r="2093" spans="1:4">
      <c r="A2093" s="226" t="s">
        <v>3587</v>
      </c>
      <c r="B2093" s="226">
        <v>531780</v>
      </c>
      <c r="C2093" s="226" t="s">
        <v>486</v>
      </c>
      <c r="D2093" s="226" t="s">
        <v>508</v>
      </c>
    </row>
    <row r="2094" spans="1:4">
      <c r="A2094" s="226" t="s">
        <v>3588</v>
      </c>
      <c r="B2094" s="226">
        <v>500233</v>
      </c>
      <c r="C2094" s="226" t="s">
        <v>3589</v>
      </c>
      <c r="D2094" s="226" t="s">
        <v>762</v>
      </c>
    </row>
    <row r="2095" spans="1:4">
      <c r="A2095" s="226" t="s">
        <v>3590</v>
      </c>
      <c r="B2095" s="226">
        <v>500234</v>
      </c>
      <c r="C2095" s="226" t="s">
        <v>3591</v>
      </c>
      <c r="D2095" s="226" t="s">
        <v>499</v>
      </c>
    </row>
    <row r="2096" spans="1:4">
      <c r="A2096" s="226" t="s">
        <v>3592</v>
      </c>
      <c r="B2096" s="226">
        <v>521054</v>
      </c>
      <c r="C2096" s="226" t="s">
        <v>486</v>
      </c>
      <c r="D2096" s="226" t="s">
        <v>501</v>
      </c>
    </row>
    <row r="2097" spans="1:4">
      <c r="A2097" s="226" t="s">
        <v>3593</v>
      </c>
      <c r="B2097" s="226">
        <v>530201</v>
      </c>
      <c r="C2097" s="226" t="s">
        <v>486</v>
      </c>
      <c r="D2097" s="226" t="s">
        <v>501</v>
      </c>
    </row>
    <row r="2098" spans="1:4">
      <c r="A2098" s="226" t="s">
        <v>3594</v>
      </c>
      <c r="B2098" s="226">
        <v>539014</v>
      </c>
      <c r="C2098" s="226" t="s">
        <v>486</v>
      </c>
      <c r="D2098" s="226" t="s">
        <v>508</v>
      </c>
    </row>
    <row r="2099" spans="1:4">
      <c r="A2099" s="226" t="s">
        <v>3595</v>
      </c>
      <c r="B2099" s="226">
        <v>522287</v>
      </c>
      <c r="C2099" s="226" t="s">
        <v>3596</v>
      </c>
      <c r="D2099" s="226" t="s">
        <v>529</v>
      </c>
    </row>
    <row r="2100" spans="1:4">
      <c r="A2100" s="226" t="s">
        <v>3597</v>
      </c>
      <c r="B2100" s="226" t="s">
        <v>486</v>
      </c>
      <c r="C2100" s="226" t="s">
        <v>3598</v>
      </c>
      <c r="D2100" s="226" t="s">
        <v>577</v>
      </c>
    </row>
    <row r="2101" spans="1:4">
      <c r="A2101" s="226" t="s">
        <v>3599</v>
      </c>
      <c r="B2101" s="226">
        <v>513509</v>
      </c>
      <c r="C2101" s="226" t="s">
        <v>3600</v>
      </c>
      <c r="D2101" s="226" t="s">
        <v>840</v>
      </c>
    </row>
    <row r="2102" spans="1:4">
      <c r="A2102" s="226" t="s">
        <v>3601</v>
      </c>
      <c r="B2102" s="226">
        <v>533302</v>
      </c>
      <c r="C2102" s="226" t="s">
        <v>3602</v>
      </c>
      <c r="D2102" s="226" t="s">
        <v>506</v>
      </c>
    </row>
    <row r="2103" spans="1:4">
      <c r="A2103" s="226" t="s">
        <v>3603</v>
      </c>
      <c r="B2103" s="226">
        <v>500235</v>
      </c>
      <c r="C2103" s="226" t="s">
        <v>3604</v>
      </c>
      <c r="D2103" s="226" t="s">
        <v>518</v>
      </c>
    </row>
    <row r="2104" spans="1:4">
      <c r="A2104" s="226" t="s">
        <v>3605</v>
      </c>
      <c r="B2104" s="226">
        <v>532468</v>
      </c>
      <c r="C2104" s="226" t="s">
        <v>486</v>
      </c>
      <c r="D2104" s="226" t="s">
        <v>651</v>
      </c>
    </row>
    <row r="2105" spans="1:4">
      <c r="A2105" s="226" t="s">
        <v>3606</v>
      </c>
      <c r="B2105" s="226">
        <v>514322</v>
      </c>
      <c r="C2105" s="226" t="s">
        <v>486</v>
      </c>
      <c r="D2105" s="226" t="s">
        <v>501</v>
      </c>
    </row>
    <row r="2106" spans="1:4">
      <c r="A2106" s="226" t="s">
        <v>3607</v>
      </c>
      <c r="B2106" s="226">
        <v>511131</v>
      </c>
      <c r="C2106" s="226" t="s">
        <v>486</v>
      </c>
      <c r="D2106" s="226" t="s">
        <v>572</v>
      </c>
    </row>
    <row r="2107" spans="1:4">
      <c r="A2107" s="226" t="s">
        <v>3608</v>
      </c>
      <c r="B2107" s="226">
        <v>526668</v>
      </c>
      <c r="C2107" s="226" t="s">
        <v>3609</v>
      </c>
      <c r="D2107" s="226" t="s">
        <v>686</v>
      </c>
    </row>
    <row r="2108" spans="1:4">
      <c r="A2108" s="226" t="s">
        <v>3610</v>
      </c>
      <c r="B2108" s="226">
        <v>532741</v>
      </c>
      <c r="C2108" s="226" t="s">
        <v>3611</v>
      </c>
      <c r="D2108" s="226" t="s">
        <v>518</v>
      </c>
    </row>
    <row r="2109" spans="1:4">
      <c r="A2109" s="226" t="s">
        <v>3612</v>
      </c>
      <c r="B2109" s="226">
        <v>524604</v>
      </c>
      <c r="C2109" s="226" t="s">
        <v>486</v>
      </c>
      <c r="D2109" s="226" t="s">
        <v>524</v>
      </c>
    </row>
    <row r="2110" spans="1:4">
      <c r="A2110" s="226" t="s">
        <v>3613</v>
      </c>
      <c r="B2110" s="226">
        <v>780003</v>
      </c>
      <c r="C2110" s="226" t="s">
        <v>486</v>
      </c>
      <c r="D2110" s="226" t="s">
        <v>577</v>
      </c>
    </row>
    <row r="2111" spans="1:4">
      <c r="A2111" s="226" t="s">
        <v>3614</v>
      </c>
      <c r="B2111" s="226">
        <v>506184</v>
      </c>
      <c r="C2111" s="226" t="s">
        <v>3615</v>
      </c>
      <c r="D2111" s="226" t="s">
        <v>599</v>
      </c>
    </row>
    <row r="2112" spans="1:4">
      <c r="A2112" s="226" t="s">
        <v>3616</v>
      </c>
      <c r="B2112" s="226">
        <v>538896</v>
      </c>
      <c r="C2112" s="226" t="s">
        <v>486</v>
      </c>
      <c r="D2112" s="226" t="s">
        <v>534</v>
      </c>
    </row>
    <row r="2113" spans="1:4">
      <c r="A2113" s="226" t="s">
        <v>3617</v>
      </c>
      <c r="B2113" s="226">
        <v>541005</v>
      </c>
      <c r="C2113" s="226" t="s">
        <v>486</v>
      </c>
      <c r="D2113" s="226" t="s">
        <v>892</v>
      </c>
    </row>
    <row r="2114" spans="1:4">
      <c r="A2114" s="226" t="s">
        <v>3618</v>
      </c>
      <c r="B2114" s="226">
        <v>521242</v>
      </c>
      <c r="C2114" s="226" t="s">
        <v>486</v>
      </c>
      <c r="D2114" s="226" t="s">
        <v>501</v>
      </c>
    </row>
    <row r="2115" spans="1:4">
      <c r="A2115" s="226" t="s">
        <v>3619</v>
      </c>
      <c r="B2115" s="226">
        <v>500236</v>
      </c>
      <c r="C2115" s="226" t="s">
        <v>3620</v>
      </c>
      <c r="D2115" s="226" t="s">
        <v>851</v>
      </c>
    </row>
    <row r="2116" spans="1:4">
      <c r="A2116" s="226" t="s">
        <v>3621</v>
      </c>
      <c r="B2116" s="226">
        <v>513456</v>
      </c>
      <c r="C2116" s="226" t="s">
        <v>486</v>
      </c>
      <c r="D2116" s="226" t="s">
        <v>808</v>
      </c>
    </row>
    <row r="2117" spans="1:4">
      <c r="A2117" s="226" t="s">
        <v>3622</v>
      </c>
      <c r="B2117" s="226">
        <v>506525</v>
      </c>
      <c r="C2117" s="226" t="s">
        <v>3623</v>
      </c>
      <c r="D2117" s="226" t="s">
        <v>534</v>
      </c>
    </row>
    <row r="2118" spans="1:4">
      <c r="A2118" s="226" t="s">
        <v>3624</v>
      </c>
      <c r="B2118" s="226">
        <v>507779</v>
      </c>
      <c r="C2118" s="226" t="s">
        <v>486</v>
      </c>
      <c r="D2118" s="226" t="s">
        <v>680</v>
      </c>
    </row>
    <row r="2119" spans="1:4">
      <c r="A2119" s="226" t="s">
        <v>3625</v>
      </c>
      <c r="B2119" s="226">
        <v>500165</v>
      </c>
      <c r="C2119" s="226" t="s">
        <v>3626</v>
      </c>
      <c r="D2119" s="226" t="s">
        <v>762</v>
      </c>
    </row>
    <row r="2120" spans="1:4">
      <c r="A2120" s="226" t="s">
        <v>3627</v>
      </c>
      <c r="B2120" s="226">
        <v>540515</v>
      </c>
      <c r="C2120" s="226" t="s">
        <v>486</v>
      </c>
      <c r="D2120" s="226" t="s">
        <v>470</v>
      </c>
    </row>
    <row r="2121" spans="1:4">
      <c r="A2121" s="226" t="s">
        <v>3628</v>
      </c>
      <c r="B2121" s="226">
        <v>512399</v>
      </c>
      <c r="C2121" s="226" t="s">
        <v>486</v>
      </c>
      <c r="D2121" s="226" t="s">
        <v>470</v>
      </c>
    </row>
    <row r="2122" spans="1:4">
      <c r="A2122" s="226" t="s">
        <v>3629</v>
      </c>
      <c r="B2122" s="226">
        <v>512036</v>
      </c>
      <c r="C2122" s="226" t="s">
        <v>486</v>
      </c>
      <c r="D2122" s="226" t="s">
        <v>501</v>
      </c>
    </row>
    <row r="2123" spans="1:4">
      <c r="A2123" s="226" t="s">
        <v>3630</v>
      </c>
      <c r="B2123" s="226">
        <v>539679</v>
      </c>
      <c r="C2123" s="226" t="s">
        <v>486</v>
      </c>
      <c r="D2123" s="226" t="s">
        <v>503</v>
      </c>
    </row>
    <row r="2124" spans="1:4">
      <c r="A2124" s="226" t="s">
        <v>3631</v>
      </c>
      <c r="B2124" s="226" t="s">
        <v>486</v>
      </c>
      <c r="C2124" s="226" t="s">
        <v>3632</v>
      </c>
      <c r="D2124" s="226" t="s">
        <v>497</v>
      </c>
    </row>
    <row r="2125" spans="1:4">
      <c r="A2125" s="226" t="s">
        <v>3633</v>
      </c>
      <c r="B2125" s="226">
        <v>526115</v>
      </c>
      <c r="C2125" s="226" t="s">
        <v>486</v>
      </c>
      <c r="D2125" s="226" t="s">
        <v>599</v>
      </c>
    </row>
    <row r="2126" spans="1:4">
      <c r="A2126" s="226" t="s">
        <v>3634</v>
      </c>
      <c r="B2126" s="226">
        <v>541161</v>
      </c>
      <c r="C2126" s="226" t="s">
        <v>3635</v>
      </c>
      <c r="D2126" s="226" t="s">
        <v>572</v>
      </c>
    </row>
    <row r="2127" spans="1:4">
      <c r="A2127" s="226" t="s">
        <v>3636</v>
      </c>
      <c r="B2127" s="226">
        <v>533451</v>
      </c>
      <c r="C2127" s="226" t="s">
        <v>3637</v>
      </c>
      <c r="D2127" s="226" t="s">
        <v>624</v>
      </c>
    </row>
    <row r="2128" spans="1:4">
      <c r="A2128" s="226" t="s">
        <v>3638</v>
      </c>
      <c r="B2128" s="226">
        <v>538928</v>
      </c>
      <c r="C2128" s="226" t="s">
        <v>486</v>
      </c>
      <c r="D2128" s="226" t="s">
        <v>503</v>
      </c>
    </row>
    <row r="2129" spans="1:4">
      <c r="A2129" s="226" t="s">
        <v>3639</v>
      </c>
      <c r="B2129" s="226">
        <v>537784</v>
      </c>
      <c r="C2129" s="226" t="s">
        <v>486</v>
      </c>
      <c r="D2129" s="226" t="s">
        <v>906</v>
      </c>
    </row>
    <row r="2130" spans="1:4">
      <c r="A2130" s="226" t="s">
        <v>3640</v>
      </c>
      <c r="B2130" s="226">
        <v>590003</v>
      </c>
      <c r="C2130" s="226" t="s">
        <v>3641</v>
      </c>
      <c r="D2130" s="226" t="s">
        <v>803</v>
      </c>
    </row>
    <row r="2131" spans="1:4">
      <c r="A2131" s="226" t="s">
        <v>3642</v>
      </c>
      <c r="B2131" s="226">
        <v>531687</v>
      </c>
      <c r="C2131" s="226" t="s">
        <v>3643</v>
      </c>
      <c r="D2131" s="226" t="s">
        <v>683</v>
      </c>
    </row>
    <row r="2132" spans="1:4">
      <c r="A2132" s="226" t="s">
        <v>3644</v>
      </c>
      <c r="B2132" s="226">
        <v>539533</v>
      </c>
      <c r="C2132" s="226" t="s">
        <v>486</v>
      </c>
      <c r="D2132" s="226" t="s">
        <v>470</v>
      </c>
    </row>
    <row r="2133" spans="1:4">
      <c r="A2133" s="226" t="s">
        <v>3645</v>
      </c>
      <c r="B2133" s="226">
        <v>502933</v>
      </c>
      <c r="C2133" s="226" t="s">
        <v>486</v>
      </c>
      <c r="D2133" s="226" t="s">
        <v>501</v>
      </c>
    </row>
    <row r="2134" spans="1:4">
      <c r="A2134" s="226" t="s">
        <v>3646</v>
      </c>
      <c r="B2134" s="226">
        <v>532925</v>
      </c>
      <c r="C2134" s="226" t="s">
        <v>3647</v>
      </c>
      <c r="D2134" s="226" t="s">
        <v>883</v>
      </c>
    </row>
    <row r="2135" spans="1:4">
      <c r="A2135" s="226" t="s">
        <v>3648</v>
      </c>
      <c r="B2135" s="226">
        <v>532899</v>
      </c>
      <c r="C2135" s="226" t="s">
        <v>3649</v>
      </c>
      <c r="D2135" s="226" t="s">
        <v>683</v>
      </c>
    </row>
    <row r="2136" spans="1:4">
      <c r="A2136" s="226" t="s">
        <v>3650</v>
      </c>
      <c r="B2136" s="226">
        <v>524444</v>
      </c>
      <c r="C2136" s="226" t="s">
        <v>486</v>
      </c>
      <c r="D2136" s="226" t="s">
        <v>734</v>
      </c>
    </row>
    <row r="2137" spans="1:4">
      <c r="A2137" s="226" t="s">
        <v>3651</v>
      </c>
      <c r="B2137" s="226">
        <v>535136</v>
      </c>
      <c r="C2137" s="226" t="s">
        <v>486</v>
      </c>
      <c r="D2137" s="226" t="s">
        <v>501</v>
      </c>
    </row>
    <row r="2138" spans="1:4">
      <c r="A2138" s="226" t="s">
        <v>3652</v>
      </c>
      <c r="B2138" s="226">
        <v>590041</v>
      </c>
      <c r="C2138" s="226" t="s">
        <v>3653</v>
      </c>
      <c r="D2138" s="226" t="s">
        <v>631</v>
      </c>
    </row>
    <row r="2139" spans="1:4">
      <c r="A2139" s="226" t="s">
        <v>3654</v>
      </c>
      <c r="B2139" s="226">
        <v>530255</v>
      </c>
      <c r="C2139" s="226" t="s">
        <v>486</v>
      </c>
      <c r="D2139" s="226" t="s">
        <v>480</v>
      </c>
    </row>
    <row r="2140" spans="1:4">
      <c r="A2140" s="226" t="s">
        <v>3655</v>
      </c>
      <c r="B2140" s="226">
        <v>539276</v>
      </c>
      <c r="C2140" s="226" t="s">
        <v>3656</v>
      </c>
      <c r="D2140" s="226" t="s">
        <v>3263</v>
      </c>
    </row>
    <row r="2141" spans="1:4">
      <c r="A2141" s="226" t="s">
        <v>3657</v>
      </c>
      <c r="B2141" s="226">
        <v>504084</v>
      </c>
      <c r="C2141" s="226" t="s">
        <v>486</v>
      </c>
      <c r="D2141" s="226" t="s">
        <v>783</v>
      </c>
    </row>
    <row r="2142" spans="1:4">
      <c r="A2142" s="226" t="s">
        <v>3658</v>
      </c>
      <c r="B2142" s="226">
        <v>539562</v>
      </c>
      <c r="C2142" s="226" t="s">
        <v>486</v>
      </c>
      <c r="D2142" s="226" t="s">
        <v>470</v>
      </c>
    </row>
    <row r="2143" spans="1:4">
      <c r="A2143" s="226" t="s">
        <v>3659</v>
      </c>
      <c r="B2143" s="226">
        <v>530357</v>
      </c>
      <c r="C2143" s="226" t="s">
        <v>486</v>
      </c>
      <c r="D2143" s="226" t="s">
        <v>470</v>
      </c>
    </row>
    <row r="2144" spans="1:4">
      <c r="A2144" s="226" t="s">
        <v>3660</v>
      </c>
      <c r="B2144" s="226">
        <v>530357</v>
      </c>
      <c r="C2144" s="226" t="s">
        <v>486</v>
      </c>
      <c r="D2144" s="226" t="s">
        <v>470</v>
      </c>
    </row>
    <row r="2145" spans="1:4">
      <c r="A2145" s="226" t="s">
        <v>3661</v>
      </c>
      <c r="B2145" s="226">
        <v>526067</v>
      </c>
      <c r="C2145" s="226" t="s">
        <v>486</v>
      </c>
      <c r="D2145" s="226" t="s">
        <v>680</v>
      </c>
    </row>
    <row r="2146" spans="1:4">
      <c r="A2146" s="226" t="s">
        <v>3662</v>
      </c>
      <c r="B2146" s="226">
        <v>531784</v>
      </c>
      <c r="C2146" s="226" t="s">
        <v>486</v>
      </c>
      <c r="D2146" s="226" t="s">
        <v>883</v>
      </c>
    </row>
    <row r="2147" spans="1:4">
      <c r="A2147" s="226" t="s">
        <v>3663</v>
      </c>
      <c r="B2147" s="226">
        <v>590066</v>
      </c>
      <c r="C2147" s="226" t="s">
        <v>3664</v>
      </c>
      <c r="D2147" s="226" t="s">
        <v>499</v>
      </c>
    </row>
    <row r="2148" spans="1:4">
      <c r="A2148" s="226" t="s">
        <v>3665</v>
      </c>
      <c r="B2148" s="226">
        <v>533192</v>
      </c>
      <c r="C2148" s="226" t="s">
        <v>3666</v>
      </c>
      <c r="D2148" s="226" t="s">
        <v>1184</v>
      </c>
    </row>
    <row r="2149" spans="1:4">
      <c r="A2149" s="226" t="s">
        <v>3667</v>
      </c>
      <c r="B2149" s="226">
        <v>540385</v>
      </c>
      <c r="C2149" s="226" t="s">
        <v>486</v>
      </c>
      <c r="D2149" s="226" t="s">
        <v>470</v>
      </c>
    </row>
    <row r="2150" spans="1:4">
      <c r="A2150" s="226" t="s">
        <v>3668</v>
      </c>
      <c r="B2150" s="226">
        <v>532054</v>
      </c>
      <c r="C2150" s="226" t="s">
        <v>3669</v>
      </c>
      <c r="D2150" s="226" t="s">
        <v>599</v>
      </c>
    </row>
    <row r="2151" spans="1:4">
      <c r="A2151" s="226" t="s">
        <v>3670</v>
      </c>
      <c r="B2151" s="226">
        <v>532714</v>
      </c>
      <c r="C2151" s="226" t="s">
        <v>3671</v>
      </c>
      <c r="D2151" s="226" t="s">
        <v>529</v>
      </c>
    </row>
    <row r="2152" spans="1:4">
      <c r="A2152" s="226" t="s">
        <v>3672</v>
      </c>
      <c r="B2152" s="226">
        <v>508993</v>
      </c>
      <c r="C2152" s="226" t="s">
        <v>486</v>
      </c>
      <c r="D2152" s="226" t="s">
        <v>572</v>
      </c>
    </row>
    <row r="2153" spans="1:4">
      <c r="A2153" s="226" t="s">
        <v>3673</v>
      </c>
      <c r="B2153" s="226">
        <v>518011</v>
      </c>
      <c r="C2153" s="226" t="s">
        <v>486</v>
      </c>
      <c r="D2153" s="226" t="s">
        <v>499</v>
      </c>
    </row>
    <row r="2154" spans="1:4">
      <c r="A2154" s="226" t="s">
        <v>3674</v>
      </c>
      <c r="B2154" s="226" t="s">
        <v>486</v>
      </c>
      <c r="C2154" s="226" t="s">
        <v>3675</v>
      </c>
      <c r="D2154" s="226" t="s">
        <v>497</v>
      </c>
    </row>
    <row r="2155" spans="1:4">
      <c r="A2155" s="226" t="s">
        <v>3676</v>
      </c>
      <c r="B2155" s="226">
        <v>517569</v>
      </c>
      <c r="C2155" s="226" t="s">
        <v>3677</v>
      </c>
      <c r="D2155" s="226" t="s">
        <v>783</v>
      </c>
    </row>
    <row r="2156" spans="1:4">
      <c r="A2156" s="226" t="s">
        <v>3678</v>
      </c>
      <c r="B2156" s="226">
        <v>519602</v>
      </c>
      <c r="C2156" s="226" t="s">
        <v>3679</v>
      </c>
      <c r="D2156" s="226" t="s">
        <v>579</v>
      </c>
    </row>
    <row r="2157" spans="1:4">
      <c r="A2157" s="226" t="s">
        <v>3680</v>
      </c>
      <c r="B2157" s="226">
        <v>506528</v>
      </c>
      <c r="C2157" s="226" t="s">
        <v>486</v>
      </c>
      <c r="D2157" s="226" t="s">
        <v>645</v>
      </c>
    </row>
    <row r="2158" spans="1:4">
      <c r="A2158" s="226" t="s">
        <v>3681</v>
      </c>
      <c r="B2158" s="226">
        <v>531163</v>
      </c>
      <c r="C2158" s="226" t="s">
        <v>3682</v>
      </c>
      <c r="D2158" s="226" t="s">
        <v>645</v>
      </c>
    </row>
    <row r="2159" spans="1:4">
      <c r="A2159" s="226" t="s">
        <v>3683</v>
      </c>
      <c r="B2159" s="226">
        <v>506530</v>
      </c>
      <c r="C2159" s="226" t="s">
        <v>486</v>
      </c>
      <c r="D2159" s="226" t="s">
        <v>680</v>
      </c>
    </row>
    <row r="2160" spans="1:4">
      <c r="A2160" s="226" t="s">
        <v>3684</v>
      </c>
      <c r="B2160" s="226">
        <v>505890</v>
      </c>
      <c r="C2160" s="226" t="s">
        <v>486</v>
      </c>
      <c r="D2160" s="226" t="s">
        <v>494</v>
      </c>
    </row>
    <row r="2161" spans="1:4">
      <c r="A2161" s="226" t="s">
        <v>3685</v>
      </c>
      <c r="B2161" s="226">
        <v>505890</v>
      </c>
      <c r="C2161" s="226" t="s">
        <v>486</v>
      </c>
      <c r="D2161" s="226" t="s">
        <v>494</v>
      </c>
    </row>
    <row r="2162" spans="1:4">
      <c r="A2162" s="226" t="s">
        <v>3686</v>
      </c>
      <c r="B2162" s="226">
        <v>540953</v>
      </c>
      <c r="C2162" s="226" t="s">
        <v>486</v>
      </c>
      <c r="D2162" s="226" t="s">
        <v>599</v>
      </c>
    </row>
    <row r="2163" spans="1:4">
      <c r="A2163" s="226" t="s">
        <v>3687</v>
      </c>
      <c r="B2163" s="226">
        <v>530163</v>
      </c>
      <c r="C2163" s="226" t="s">
        <v>486</v>
      </c>
      <c r="D2163" s="226" t="s">
        <v>524</v>
      </c>
    </row>
    <row r="2164" spans="1:4">
      <c r="A2164" s="226" t="s">
        <v>3688</v>
      </c>
      <c r="B2164" s="226">
        <v>532686</v>
      </c>
      <c r="C2164" s="226" t="s">
        <v>3689</v>
      </c>
      <c r="D2164" s="226" t="s">
        <v>608</v>
      </c>
    </row>
    <row r="2165" spans="1:4">
      <c r="A2165" s="226" t="s">
        <v>3690</v>
      </c>
      <c r="B2165" s="226">
        <v>532686</v>
      </c>
      <c r="C2165" s="226" t="s">
        <v>3689</v>
      </c>
      <c r="D2165" s="226" t="s">
        <v>608</v>
      </c>
    </row>
    <row r="2166" spans="1:4">
      <c r="A2166" s="226" t="s">
        <v>3691</v>
      </c>
      <c r="B2166" s="226">
        <v>507180</v>
      </c>
      <c r="C2166" s="226" t="s">
        <v>3692</v>
      </c>
      <c r="D2166" s="226" t="s">
        <v>1184</v>
      </c>
    </row>
    <row r="2167" spans="1:4">
      <c r="A2167" s="226" t="s">
        <v>3693</v>
      </c>
      <c r="B2167" s="226">
        <v>524174</v>
      </c>
      <c r="C2167" s="226" t="s">
        <v>486</v>
      </c>
      <c r="D2167" s="226" t="s">
        <v>534</v>
      </c>
    </row>
    <row r="2168" spans="1:4">
      <c r="A2168" s="226" t="s">
        <v>3694</v>
      </c>
      <c r="B2168" s="226">
        <v>533289</v>
      </c>
      <c r="C2168" s="226" t="s">
        <v>3695</v>
      </c>
      <c r="D2168" s="226" t="s">
        <v>806</v>
      </c>
    </row>
    <row r="2169" spans="1:4">
      <c r="A2169" s="226" t="s">
        <v>3696</v>
      </c>
      <c r="B2169" s="226">
        <v>502937</v>
      </c>
      <c r="C2169" s="226" t="s">
        <v>3697</v>
      </c>
      <c r="D2169" s="226" t="s">
        <v>346</v>
      </c>
    </row>
    <row r="2170" spans="1:4">
      <c r="A2170" s="226" t="s">
        <v>3698</v>
      </c>
      <c r="B2170" s="226">
        <v>532732</v>
      </c>
      <c r="C2170" s="226" t="s">
        <v>3699</v>
      </c>
      <c r="D2170" s="226" t="s">
        <v>599</v>
      </c>
    </row>
    <row r="2171" spans="1:4">
      <c r="A2171" s="226" t="s">
        <v>3700</v>
      </c>
      <c r="B2171" s="226">
        <v>507948</v>
      </c>
      <c r="C2171" s="226" t="s">
        <v>486</v>
      </c>
      <c r="D2171" s="226" t="s">
        <v>503</v>
      </c>
    </row>
    <row r="2172" spans="1:4">
      <c r="A2172" s="226" t="s">
        <v>3701</v>
      </c>
      <c r="B2172" s="226">
        <v>512597</v>
      </c>
      <c r="C2172" s="226" t="s">
        <v>3702</v>
      </c>
      <c r="D2172" s="226" t="s">
        <v>503</v>
      </c>
    </row>
    <row r="2173" spans="1:4">
      <c r="A2173" s="226" t="s">
        <v>3703</v>
      </c>
      <c r="B2173" s="226" t="s">
        <v>486</v>
      </c>
      <c r="C2173" s="226" t="s">
        <v>3704</v>
      </c>
      <c r="D2173" s="226" t="s">
        <v>503</v>
      </c>
    </row>
    <row r="2174" spans="1:4">
      <c r="A2174" s="226" t="s">
        <v>3705</v>
      </c>
      <c r="B2174" s="226">
        <v>500239</v>
      </c>
      <c r="C2174" s="226" t="s">
        <v>486</v>
      </c>
      <c r="D2174" s="226" t="s">
        <v>501</v>
      </c>
    </row>
    <row r="2175" spans="1:4">
      <c r="A2175" s="226" t="s">
        <v>3706</v>
      </c>
      <c r="B2175" s="226">
        <v>531609</v>
      </c>
      <c r="C2175" s="226" t="s">
        <v>486</v>
      </c>
      <c r="D2175" s="226" t="s">
        <v>680</v>
      </c>
    </row>
    <row r="2176" spans="1:4">
      <c r="A2176" s="226" t="s">
        <v>3707</v>
      </c>
      <c r="B2176" s="226">
        <v>540775</v>
      </c>
      <c r="C2176" s="226" t="s">
        <v>3708</v>
      </c>
      <c r="D2176" s="226" t="s">
        <v>911</v>
      </c>
    </row>
    <row r="2177" spans="1:4">
      <c r="A2177" s="226" t="s">
        <v>3709</v>
      </c>
      <c r="B2177" s="226">
        <v>540775</v>
      </c>
      <c r="C2177" s="226" t="s">
        <v>3708</v>
      </c>
      <c r="D2177" s="226" t="s">
        <v>911</v>
      </c>
    </row>
    <row r="2178" spans="1:4">
      <c r="A2178" s="226" t="s">
        <v>3710</v>
      </c>
      <c r="B2178" s="226">
        <v>590068</v>
      </c>
      <c r="C2178" s="226" t="s">
        <v>3711</v>
      </c>
      <c r="D2178" s="226" t="s">
        <v>508</v>
      </c>
    </row>
    <row r="2179" spans="1:4">
      <c r="A2179" s="226" t="s">
        <v>3712</v>
      </c>
      <c r="B2179" s="226">
        <v>507794</v>
      </c>
      <c r="C2179" s="226" t="s">
        <v>486</v>
      </c>
      <c r="D2179" s="226" t="s">
        <v>993</v>
      </c>
    </row>
    <row r="2180" spans="1:4">
      <c r="A2180" s="226" t="s">
        <v>3713</v>
      </c>
      <c r="B2180" s="226">
        <v>504269</v>
      </c>
      <c r="C2180" s="226" t="s">
        <v>3714</v>
      </c>
      <c r="D2180" s="226" t="s">
        <v>1248</v>
      </c>
    </row>
    <row r="2181" spans="1:4">
      <c r="A2181" s="226" t="s">
        <v>3715</v>
      </c>
      <c r="B2181" s="226">
        <v>590068</v>
      </c>
      <c r="C2181" s="226" t="s">
        <v>3711</v>
      </c>
      <c r="D2181" s="226" t="s">
        <v>508</v>
      </c>
    </row>
    <row r="2182" spans="1:4">
      <c r="A2182" s="226" t="s">
        <v>3716</v>
      </c>
      <c r="B2182" s="226">
        <v>519064</v>
      </c>
      <c r="C2182" s="226" t="s">
        <v>486</v>
      </c>
      <c r="D2182" s="226" t="s">
        <v>683</v>
      </c>
    </row>
    <row r="2183" spans="1:4">
      <c r="A2183" s="226" t="s">
        <v>3717</v>
      </c>
      <c r="B2183" s="226">
        <v>531892</v>
      </c>
      <c r="C2183" s="226" t="s">
        <v>3718</v>
      </c>
      <c r="D2183" s="226" t="s">
        <v>470</v>
      </c>
    </row>
    <row r="2184" spans="1:4">
      <c r="A2184" s="226" t="s">
        <v>3719</v>
      </c>
      <c r="B2184" s="226">
        <v>506178</v>
      </c>
      <c r="C2184" s="226" t="s">
        <v>486</v>
      </c>
      <c r="D2184" s="226" t="s">
        <v>508</v>
      </c>
    </row>
    <row r="2185" spans="1:4">
      <c r="A2185" s="226" t="s">
        <v>3720</v>
      </c>
      <c r="B2185" s="226">
        <v>521127</v>
      </c>
      <c r="C2185" s="226" t="s">
        <v>486</v>
      </c>
      <c r="D2185" s="226" t="s">
        <v>501</v>
      </c>
    </row>
    <row r="2186" spans="1:4">
      <c r="A2186" s="226" t="s">
        <v>3721</v>
      </c>
      <c r="B2186" s="226">
        <v>539788</v>
      </c>
      <c r="C2186" s="226" t="s">
        <v>486</v>
      </c>
      <c r="D2186" s="226" t="s">
        <v>520</v>
      </c>
    </row>
    <row r="2187" spans="1:4">
      <c r="A2187" s="226" t="s">
        <v>3722</v>
      </c>
      <c r="B2187" s="226">
        <v>507435</v>
      </c>
      <c r="C2187" s="226" t="s">
        <v>486</v>
      </c>
      <c r="D2187" s="226" t="s">
        <v>1117</v>
      </c>
    </row>
    <row r="2188" spans="1:4">
      <c r="A2188" s="226" t="s">
        <v>3723</v>
      </c>
      <c r="B2188" s="226">
        <v>507435</v>
      </c>
      <c r="C2188" s="226" t="s">
        <v>486</v>
      </c>
      <c r="D2188" s="226" t="s">
        <v>1117</v>
      </c>
    </row>
    <row r="2189" spans="1:4">
      <c r="A2189" s="226" t="s">
        <v>3724</v>
      </c>
      <c r="B2189" s="226">
        <v>535730</v>
      </c>
      <c r="C2189" s="226" t="s">
        <v>486</v>
      </c>
      <c r="D2189" s="226" t="s">
        <v>501</v>
      </c>
    </row>
    <row r="2190" spans="1:4">
      <c r="A2190" s="226" t="s">
        <v>3725</v>
      </c>
      <c r="B2190" s="226">
        <v>531692</v>
      </c>
      <c r="C2190" s="226" t="s">
        <v>486</v>
      </c>
      <c r="D2190" s="226" t="s">
        <v>686</v>
      </c>
    </row>
    <row r="2191" spans="1:4">
      <c r="A2191" s="226" t="s">
        <v>3726</v>
      </c>
      <c r="B2191" s="226">
        <v>513693</v>
      </c>
      <c r="C2191" s="226" t="s">
        <v>486</v>
      </c>
      <c r="D2191" s="226" t="s">
        <v>518</v>
      </c>
    </row>
    <row r="2192" spans="1:4">
      <c r="A2192" s="226" t="s">
        <v>3727</v>
      </c>
      <c r="B2192" s="226">
        <v>540812</v>
      </c>
      <c r="C2192" s="226" t="s">
        <v>486</v>
      </c>
      <c r="D2192" s="226" t="s">
        <v>955</v>
      </c>
    </row>
    <row r="2193" spans="1:4">
      <c r="A2193" s="226" t="s">
        <v>3728</v>
      </c>
      <c r="B2193" s="226">
        <v>507946</v>
      </c>
      <c r="C2193" s="226" t="s">
        <v>486</v>
      </c>
      <c r="D2193" s="226" t="s">
        <v>508</v>
      </c>
    </row>
    <row r="2194" spans="1:4">
      <c r="A2194" s="226" t="s">
        <v>3729</v>
      </c>
      <c r="B2194" s="226">
        <v>507946</v>
      </c>
      <c r="C2194" s="226" t="s">
        <v>486</v>
      </c>
      <c r="D2194" s="226" t="s">
        <v>508</v>
      </c>
    </row>
    <row r="2195" spans="1:4">
      <c r="A2195" s="226" t="s">
        <v>3730</v>
      </c>
      <c r="B2195" s="226">
        <v>535566</v>
      </c>
      <c r="C2195" s="226" t="s">
        <v>486</v>
      </c>
      <c r="D2195" s="226" t="s">
        <v>503</v>
      </c>
    </row>
    <row r="2196" spans="1:4">
      <c r="A2196" s="226" t="s">
        <v>3731</v>
      </c>
      <c r="B2196" s="226">
        <v>524699</v>
      </c>
      <c r="C2196" s="226" t="s">
        <v>486</v>
      </c>
      <c r="D2196" s="226" t="s">
        <v>534</v>
      </c>
    </row>
    <row r="2197" spans="1:4">
      <c r="A2197" s="226" t="s">
        <v>3732</v>
      </c>
      <c r="B2197" s="226">
        <v>522101</v>
      </c>
      <c r="C2197" s="226" t="s">
        <v>486</v>
      </c>
      <c r="D2197" s="226" t="s">
        <v>494</v>
      </c>
    </row>
    <row r="2198" spans="1:4">
      <c r="A2198" s="226" t="s">
        <v>3733</v>
      </c>
      <c r="B2198" s="226">
        <v>523218</v>
      </c>
      <c r="C2198" s="226" t="s">
        <v>3734</v>
      </c>
      <c r="D2198" s="226" t="s">
        <v>1027</v>
      </c>
    </row>
    <row r="2199" spans="1:4">
      <c r="A2199" s="226" t="s">
        <v>3735</v>
      </c>
      <c r="B2199" s="226">
        <v>524500</v>
      </c>
      <c r="C2199" s="226" t="s">
        <v>3736</v>
      </c>
      <c r="D2199" s="226" t="s">
        <v>524</v>
      </c>
    </row>
    <row r="2200" spans="1:4">
      <c r="A2200" s="226" t="s">
        <v>3737</v>
      </c>
      <c r="B2200" s="226">
        <v>524500</v>
      </c>
      <c r="C2200" s="226" t="s">
        <v>3736</v>
      </c>
      <c r="D2200" s="226" t="s">
        <v>524</v>
      </c>
    </row>
    <row r="2201" spans="1:4">
      <c r="A2201" s="226" t="s">
        <v>3738</v>
      </c>
      <c r="B2201" s="226">
        <v>532067</v>
      </c>
      <c r="C2201" s="226" t="s">
        <v>486</v>
      </c>
      <c r="D2201" s="226" t="s">
        <v>629</v>
      </c>
    </row>
    <row r="2202" spans="1:4">
      <c r="A2202" s="226" t="s">
        <v>3739</v>
      </c>
      <c r="B2202" s="226">
        <v>532067</v>
      </c>
      <c r="C2202" s="226" t="s">
        <v>486</v>
      </c>
      <c r="D2202" s="226" t="s">
        <v>629</v>
      </c>
    </row>
    <row r="2203" spans="1:4">
      <c r="A2203" s="226" t="s">
        <v>3740</v>
      </c>
      <c r="B2203" s="226">
        <v>530313</v>
      </c>
      <c r="C2203" s="226" t="s">
        <v>3741</v>
      </c>
      <c r="D2203" s="226" t="s">
        <v>524</v>
      </c>
    </row>
    <row r="2204" spans="1:4">
      <c r="A2204" s="226" t="s">
        <v>3742</v>
      </c>
      <c r="B2204" s="226">
        <v>500240</v>
      </c>
      <c r="C2204" s="226" t="s">
        <v>486</v>
      </c>
      <c r="D2204" s="226" t="s">
        <v>1143</v>
      </c>
    </row>
    <row r="2205" spans="1:4">
      <c r="A2205" s="226" t="s">
        <v>3743</v>
      </c>
      <c r="B2205" s="226">
        <v>531274</v>
      </c>
      <c r="C2205" s="226" t="s">
        <v>486</v>
      </c>
      <c r="D2205" s="226" t="s">
        <v>503</v>
      </c>
    </row>
    <row r="2206" spans="1:4">
      <c r="A2206" s="226" t="s">
        <v>3744</v>
      </c>
      <c r="B2206" s="226">
        <v>524019</v>
      </c>
      <c r="C2206" s="226" t="s">
        <v>3745</v>
      </c>
      <c r="D2206" s="226" t="s">
        <v>605</v>
      </c>
    </row>
    <row r="2207" spans="1:4">
      <c r="A2207" s="226" t="s">
        <v>3746</v>
      </c>
      <c r="B2207" s="226">
        <v>524019</v>
      </c>
      <c r="C2207" s="226" t="s">
        <v>3745</v>
      </c>
      <c r="D2207" s="226" t="s">
        <v>605</v>
      </c>
    </row>
    <row r="2208" spans="1:4">
      <c r="A2208" s="226" t="s">
        <v>3747</v>
      </c>
      <c r="B2208" s="226">
        <v>530215</v>
      </c>
      <c r="C2208" s="226" t="s">
        <v>486</v>
      </c>
      <c r="D2208" s="226" t="s">
        <v>572</v>
      </c>
    </row>
    <row r="2209" spans="1:4">
      <c r="A2209" s="226" t="s">
        <v>3748</v>
      </c>
      <c r="B2209" s="226">
        <v>512329</v>
      </c>
      <c r="C2209" s="226" t="s">
        <v>486</v>
      </c>
      <c r="D2209" s="226" t="s">
        <v>906</v>
      </c>
    </row>
    <row r="2210" spans="1:4">
      <c r="A2210" s="226" t="s">
        <v>3749</v>
      </c>
      <c r="B2210" s="226">
        <v>540680</v>
      </c>
      <c r="C2210" s="226" t="s">
        <v>3750</v>
      </c>
      <c r="D2210" s="226" t="s">
        <v>518</v>
      </c>
    </row>
    <row r="2211" spans="1:4">
      <c r="A2211" s="226" t="s">
        <v>3751</v>
      </c>
      <c r="B2211" s="226">
        <v>531413</v>
      </c>
      <c r="C2211" s="226" t="s">
        <v>486</v>
      </c>
      <c r="D2211" s="226" t="s">
        <v>2475</v>
      </c>
    </row>
    <row r="2212" spans="1:4">
      <c r="A2212" s="226" t="s">
        <v>3752</v>
      </c>
      <c r="B2212" s="226">
        <v>537750</v>
      </c>
      <c r="C2212" s="226" t="s">
        <v>486</v>
      </c>
      <c r="D2212" s="226" t="s">
        <v>506</v>
      </c>
    </row>
    <row r="2213" spans="1:4">
      <c r="A2213" s="226" t="s">
        <v>3753</v>
      </c>
      <c r="B2213" s="226">
        <v>532967</v>
      </c>
      <c r="C2213" s="226" t="s">
        <v>3754</v>
      </c>
      <c r="D2213" s="226" t="s">
        <v>645</v>
      </c>
    </row>
    <row r="2214" spans="1:4">
      <c r="A2214" s="226" t="s">
        <v>3755</v>
      </c>
      <c r="B2214" s="226">
        <v>500241</v>
      </c>
      <c r="C2214" s="226" t="s">
        <v>3756</v>
      </c>
      <c r="D2214" s="226" t="s">
        <v>494</v>
      </c>
    </row>
    <row r="2215" spans="1:4">
      <c r="A2215" s="226" t="s">
        <v>3757</v>
      </c>
      <c r="B2215" s="226">
        <v>533193</v>
      </c>
      <c r="C2215" s="226" t="s">
        <v>3758</v>
      </c>
      <c r="D2215" s="226" t="s">
        <v>783</v>
      </c>
    </row>
    <row r="2216" spans="1:4">
      <c r="A2216" s="226" t="s">
        <v>3759</v>
      </c>
      <c r="B2216" s="226">
        <v>500245</v>
      </c>
      <c r="C2216" s="226" t="s">
        <v>486</v>
      </c>
      <c r="D2216" s="226" t="s">
        <v>518</v>
      </c>
    </row>
    <row r="2217" spans="1:4">
      <c r="A2217" s="226" t="s">
        <v>3760</v>
      </c>
      <c r="B2217" s="226">
        <v>500243</v>
      </c>
      <c r="C2217" s="226" t="s">
        <v>3761</v>
      </c>
      <c r="D2217" s="226" t="s">
        <v>494</v>
      </c>
    </row>
    <row r="2218" spans="1:4">
      <c r="A2218" s="226" t="s">
        <v>3762</v>
      </c>
      <c r="B2218" s="226">
        <v>533293</v>
      </c>
      <c r="C2218" s="226" t="s">
        <v>3763</v>
      </c>
      <c r="D2218" s="226" t="s">
        <v>840</v>
      </c>
    </row>
    <row r="2219" spans="1:4">
      <c r="A2219" s="226" t="s">
        <v>3764</v>
      </c>
      <c r="B2219" s="226">
        <v>505283</v>
      </c>
      <c r="C2219" s="226" t="s">
        <v>486</v>
      </c>
      <c r="D2219" s="226" t="s">
        <v>494</v>
      </c>
    </row>
    <row r="2220" spans="1:4">
      <c r="A2220" s="226" t="s">
        <v>3765</v>
      </c>
      <c r="B2220" s="226">
        <v>530145</v>
      </c>
      <c r="C2220" s="226" t="s">
        <v>486</v>
      </c>
      <c r="D2220" s="226" t="s">
        <v>605</v>
      </c>
    </row>
    <row r="2221" spans="1:4">
      <c r="A2221" s="226" t="s">
        <v>3766</v>
      </c>
      <c r="B2221" s="226">
        <v>521248</v>
      </c>
      <c r="C2221" s="226" t="s">
        <v>3767</v>
      </c>
      <c r="D2221" s="226" t="s">
        <v>599</v>
      </c>
    </row>
    <row r="2222" spans="1:4">
      <c r="A2222" s="226" t="s">
        <v>3768</v>
      </c>
      <c r="B2222" s="226">
        <v>532304</v>
      </c>
      <c r="C2222" s="226" t="s">
        <v>486</v>
      </c>
      <c r="D2222" s="226" t="s">
        <v>470</v>
      </c>
    </row>
    <row r="2223" spans="1:4">
      <c r="A2223" s="226" t="s">
        <v>3769</v>
      </c>
      <c r="B2223" s="226">
        <v>532304</v>
      </c>
      <c r="C2223" s="226" t="s">
        <v>486</v>
      </c>
      <c r="D2223" s="226" t="s">
        <v>470</v>
      </c>
    </row>
    <row r="2224" spans="1:4">
      <c r="A2224" s="226" t="s">
        <v>3770</v>
      </c>
      <c r="B2224" s="226">
        <v>530235</v>
      </c>
      <c r="C2224" s="226" t="s">
        <v>486</v>
      </c>
      <c r="D2224" s="226" t="s">
        <v>503</v>
      </c>
    </row>
    <row r="2225" spans="1:4">
      <c r="A2225" s="226" t="s">
        <v>3771</v>
      </c>
      <c r="B2225" s="226">
        <v>526409</v>
      </c>
      <c r="C2225" s="226" t="s">
        <v>486</v>
      </c>
      <c r="D2225" s="226" t="s">
        <v>605</v>
      </c>
    </row>
    <row r="2226" spans="1:4">
      <c r="A2226" s="226" t="s">
        <v>3772</v>
      </c>
      <c r="B2226" s="226">
        <v>526409</v>
      </c>
      <c r="C2226" s="226" t="s">
        <v>486</v>
      </c>
      <c r="D2226" s="226" t="s">
        <v>605</v>
      </c>
    </row>
    <row r="2227" spans="1:4">
      <c r="A2227" s="226" t="s">
        <v>3773</v>
      </c>
      <c r="B2227" s="226">
        <v>523652</v>
      </c>
      <c r="C2227" s="226" t="s">
        <v>486</v>
      </c>
      <c r="D2227" s="226" t="s">
        <v>605</v>
      </c>
    </row>
    <row r="2228" spans="1:4">
      <c r="A2228" s="226" t="s">
        <v>3774</v>
      </c>
      <c r="B2228" s="226">
        <v>521238</v>
      </c>
      <c r="C2228" s="226" t="s">
        <v>486</v>
      </c>
      <c r="D2228" s="226" t="s">
        <v>810</v>
      </c>
    </row>
    <row r="2229" spans="1:4">
      <c r="A2229" s="226" t="s">
        <v>3775</v>
      </c>
      <c r="B2229" s="226" t="s">
        <v>486</v>
      </c>
      <c r="C2229" s="226" t="s">
        <v>3776</v>
      </c>
      <c r="D2229" s="226" t="s">
        <v>497</v>
      </c>
    </row>
    <row r="2230" spans="1:4">
      <c r="A2230" s="226" t="s">
        <v>3777</v>
      </c>
      <c r="B2230" s="226">
        <v>530771</v>
      </c>
      <c r="C2230" s="226" t="s">
        <v>486</v>
      </c>
      <c r="D2230" s="226" t="s">
        <v>503</v>
      </c>
    </row>
    <row r="2231" spans="1:4">
      <c r="A2231" s="226" t="s">
        <v>3778</v>
      </c>
      <c r="B2231" s="226">
        <v>514221</v>
      </c>
      <c r="C2231" s="226" t="s">
        <v>486</v>
      </c>
      <c r="D2231" s="226" t="s">
        <v>501</v>
      </c>
    </row>
    <row r="2232" spans="1:4">
      <c r="A2232" s="226" t="s">
        <v>3779</v>
      </c>
      <c r="B2232" s="226">
        <v>517170</v>
      </c>
      <c r="C2232" s="226" t="s">
        <v>3780</v>
      </c>
      <c r="D2232" s="226" t="s">
        <v>783</v>
      </c>
    </row>
    <row r="2233" spans="1:4">
      <c r="A2233" s="226" t="s">
        <v>3781</v>
      </c>
      <c r="B2233" s="226">
        <v>524520</v>
      </c>
      <c r="C2233" s="226" t="s">
        <v>486</v>
      </c>
      <c r="D2233" s="226" t="s">
        <v>674</v>
      </c>
    </row>
    <row r="2234" spans="1:4">
      <c r="A2234" s="226" t="s">
        <v>3782</v>
      </c>
      <c r="B2234" s="226">
        <v>524520</v>
      </c>
      <c r="C2234" s="226" t="s">
        <v>486</v>
      </c>
      <c r="D2234" s="226" t="s">
        <v>674</v>
      </c>
    </row>
    <row r="2235" spans="1:4">
      <c r="A2235" s="226" t="s">
        <v>3783</v>
      </c>
      <c r="B2235" s="226">
        <v>531578</v>
      </c>
      <c r="C2235" s="226" t="s">
        <v>486</v>
      </c>
      <c r="D2235" s="226" t="s">
        <v>572</v>
      </c>
    </row>
    <row r="2236" spans="1:4">
      <c r="A2236" s="226" t="s">
        <v>3784</v>
      </c>
      <c r="B2236" s="226">
        <v>519415</v>
      </c>
      <c r="C2236" s="226" t="s">
        <v>486</v>
      </c>
      <c r="D2236" s="226" t="s">
        <v>546</v>
      </c>
    </row>
    <row r="2237" spans="1:4">
      <c r="A2237" s="226" t="s">
        <v>3785</v>
      </c>
      <c r="B2237" s="226">
        <v>540468</v>
      </c>
      <c r="C2237" s="226" t="s">
        <v>486</v>
      </c>
      <c r="D2237" s="226" t="s">
        <v>1448</v>
      </c>
    </row>
    <row r="2238" spans="1:4">
      <c r="A2238" s="226" t="s">
        <v>3786</v>
      </c>
      <c r="B2238" s="226">
        <v>532942</v>
      </c>
      <c r="C2238" s="226" t="s">
        <v>3787</v>
      </c>
      <c r="D2238" s="226" t="s">
        <v>883</v>
      </c>
    </row>
    <row r="2239" spans="1:4">
      <c r="A2239" s="226" t="s">
        <v>3788</v>
      </c>
      <c r="B2239" s="226">
        <v>512559</v>
      </c>
      <c r="C2239" s="226" t="s">
        <v>3789</v>
      </c>
      <c r="D2239" s="226" t="s">
        <v>683</v>
      </c>
    </row>
    <row r="2240" spans="1:4">
      <c r="A2240" s="226" t="s">
        <v>3790</v>
      </c>
      <c r="B2240" s="226">
        <v>523207</v>
      </c>
      <c r="C2240" s="226" t="s">
        <v>3791</v>
      </c>
      <c r="D2240" s="226" t="s">
        <v>1031</v>
      </c>
    </row>
    <row r="2241" spans="1:4">
      <c r="A2241" s="226" t="s">
        <v>3792</v>
      </c>
      <c r="B2241" s="226">
        <v>532924</v>
      </c>
      <c r="C2241" s="226" t="s">
        <v>3793</v>
      </c>
      <c r="D2241" s="226" t="s">
        <v>572</v>
      </c>
    </row>
    <row r="2242" spans="1:4">
      <c r="A2242" s="226" t="s">
        <v>3794</v>
      </c>
      <c r="B2242" s="226">
        <v>539910</v>
      </c>
      <c r="C2242" s="226" t="s">
        <v>486</v>
      </c>
      <c r="D2242" s="226" t="s">
        <v>489</v>
      </c>
    </row>
    <row r="2243" spans="1:4">
      <c r="A2243" s="226" t="s">
        <v>3795</v>
      </c>
      <c r="B2243" s="226">
        <v>514128</v>
      </c>
      <c r="C2243" s="226" t="s">
        <v>486</v>
      </c>
      <c r="D2243" s="226" t="s">
        <v>501</v>
      </c>
    </row>
    <row r="2244" spans="1:4">
      <c r="A2244" s="226" t="s">
        <v>3796</v>
      </c>
      <c r="B2244" s="226">
        <v>524280</v>
      </c>
      <c r="C2244" s="226" t="s">
        <v>3797</v>
      </c>
      <c r="D2244" s="226" t="s">
        <v>524</v>
      </c>
    </row>
    <row r="2245" spans="1:4">
      <c r="A2245" s="226" t="s">
        <v>3798</v>
      </c>
      <c r="B2245" s="226">
        <v>500247</v>
      </c>
      <c r="C2245" s="226" t="s">
        <v>3799</v>
      </c>
      <c r="D2245" s="226" t="s">
        <v>803</v>
      </c>
    </row>
    <row r="2246" spans="1:4">
      <c r="A2246" s="226" t="s">
        <v>3800</v>
      </c>
      <c r="B2246" s="226">
        <v>590097</v>
      </c>
      <c r="C2246" s="226" t="s">
        <v>3801</v>
      </c>
      <c r="D2246" s="226" t="s">
        <v>470</v>
      </c>
    </row>
    <row r="2247" spans="1:4">
      <c r="A2247" s="226" t="s">
        <v>3802</v>
      </c>
      <c r="B2247" s="226">
        <v>590107</v>
      </c>
      <c r="C2247" s="226" t="s">
        <v>3803</v>
      </c>
      <c r="D2247" s="226" t="s">
        <v>470</v>
      </c>
    </row>
    <row r="2248" spans="1:4">
      <c r="A2248" s="226" t="s">
        <v>3804</v>
      </c>
      <c r="B2248" s="226">
        <v>532985</v>
      </c>
      <c r="C2248" s="226" t="s">
        <v>3805</v>
      </c>
      <c r="D2248" s="226" t="s">
        <v>470</v>
      </c>
    </row>
    <row r="2249" spans="1:4">
      <c r="A2249" s="226" t="s">
        <v>3806</v>
      </c>
      <c r="B2249" s="226">
        <v>507474</v>
      </c>
      <c r="C2249" s="226" t="s">
        <v>486</v>
      </c>
      <c r="D2249" s="226" t="s">
        <v>566</v>
      </c>
    </row>
    <row r="2250" spans="1:4">
      <c r="A2250" s="226" t="s">
        <v>3807</v>
      </c>
      <c r="B2250" s="226" t="s">
        <v>486</v>
      </c>
      <c r="C2250" s="226" t="s">
        <v>3808</v>
      </c>
      <c r="D2250" s="226" t="s">
        <v>577</v>
      </c>
    </row>
    <row r="2251" spans="1:4">
      <c r="A2251" s="226" t="s">
        <v>3809</v>
      </c>
      <c r="B2251" s="226">
        <v>530299</v>
      </c>
      <c r="C2251" s="226" t="s">
        <v>3810</v>
      </c>
      <c r="D2251" s="226" t="s">
        <v>508</v>
      </c>
    </row>
    <row r="2252" spans="1:4">
      <c r="A2252" s="226" t="s">
        <v>3811</v>
      </c>
      <c r="B2252" s="226" t="s">
        <v>486</v>
      </c>
      <c r="C2252" s="226" t="s">
        <v>3812</v>
      </c>
      <c r="D2252" s="226" t="s">
        <v>577</v>
      </c>
    </row>
    <row r="2253" spans="1:4">
      <c r="A2253" s="226" t="s">
        <v>3813</v>
      </c>
      <c r="B2253" s="226">
        <v>511138</v>
      </c>
      <c r="C2253" s="226" t="s">
        <v>486</v>
      </c>
      <c r="D2253" s="226" t="s">
        <v>503</v>
      </c>
    </row>
    <row r="2254" spans="1:4">
      <c r="A2254" s="226" t="s">
        <v>3814</v>
      </c>
      <c r="B2254" s="226">
        <v>539599</v>
      </c>
      <c r="C2254" s="226" t="s">
        <v>486</v>
      </c>
      <c r="D2254" s="226" t="s">
        <v>520</v>
      </c>
    </row>
    <row r="2255" spans="1:4">
      <c r="A2255" s="226" t="s">
        <v>3815</v>
      </c>
      <c r="B2255" s="226">
        <v>523323</v>
      </c>
      <c r="C2255" s="226" t="s">
        <v>486</v>
      </c>
      <c r="D2255" s="226" t="s">
        <v>674</v>
      </c>
    </row>
    <row r="2256" spans="1:4">
      <c r="A2256" s="226" t="s">
        <v>3816</v>
      </c>
      <c r="B2256" s="226">
        <v>505585</v>
      </c>
      <c r="C2256" s="226" t="s">
        <v>486</v>
      </c>
      <c r="D2256" s="226" t="s">
        <v>906</v>
      </c>
    </row>
    <row r="2257" spans="1:4">
      <c r="A2257" s="226" t="s">
        <v>3817</v>
      </c>
      <c r="B2257" s="226">
        <v>507598</v>
      </c>
      <c r="C2257" s="226" t="s">
        <v>486</v>
      </c>
      <c r="D2257" s="226" t="s">
        <v>566</v>
      </c>
    </row>
    <row r="2258" spans="1:4">
      <c r="A2258" s="226" t="s">
        <v>3818</v>
      </c>
      <c r="B2258" s="226">
        <v>532400</v>
      </c>
      <c r="C2258" s="226" t="s">
        <v>3819</v>
      </c>
      <c r="D2258" s="226" t="s">
        <v>473</v>
      </c>
    </row>
    <row r="2259" spans="1:4">
      <c r="A2259" s="226" t="s">
        <v>3820</v>
      </c>
      <c r="B2259" s="226">
        <v>542651</v>
      </c>
      <c r="C2259" s="226" t="s">
        <v>3821</v>
      </c>
      <c r="D2259" s="226" t="s">
        <v>3822</v>
      </c>
    </row>
    <row r="2260" spans="1:4">
      <c r="A2260" s="226" t="s">
        <v>3823</v>
      </c>
      <c r="B2260" s="226">
        <v>542459</v>
      </c>
      <c r="C2260" s="226" t="s">
        <v>3824</v>
      </c>
      <c r="D2260" s="226" t="s">
        <v>3822</v>
      </c>
    </row>
    <row r="2261" spans="1:4">
      <c r="A2261" s="226" t="s">
        <v>3825</v>
      </c>
      <c r="B2261" s="226">
        <v>501261</v>
      </c>
      <c r="C2261" s="226" t="s">
        <v>486</v>
      </c>
      <c r="D2261" s="226" t="s">
        <v>470</v>
      </c>
    </row>
    <row r="2262" spans="1:4">
      <c r="A2262" s="226" t="s">
        <v>3826</v>
      </c>
      <c r="B2262" s="226">
        <v>530813</v>
      </c>
      <c r="C2262" s="226" t="s">
        <v>3827</v>
      </c>
      <c r="D2262" s="226" t="s">
        <v>546</v>
      </c>
    </row>
    <row r="2263" spans="1:4">
      <c r="A2263" s="226" t="s">
        <v>3828</v>
      </c>
      <c r="B2263" s="226">
        <v>524518</v>
      </c>
      <c r="C2263" s="226" t="s">
        <v>3829</v>
      </c>
      <c r="D2263" s="226" t="s">
        <v>524</v>
      </c>
    </row>
    <row r="2264" spans="1:4">
      <c r="A2264" s="226" t="s">
        <v>3830</v>
      </c>
      <c r="B2264" s="226">
        <v>530139</v>
      </c>
      <c r="C2264" s="226" t="s">
        <v>486</v>
      </c>
      <c r="D2264" s="226" t="s">
        <v>503</v>
      </c>
    </row>
    <row r="2265" spans="1:4">
      <c r="A2265" s="226" t="s">
        <v>3831</v>
      </c>
      <c r="B2265" s="226">
        <v>531328</v>
      </c>
      <c r="C2265" s="226" t="s">
        <v>486</v>
      </c>
      <c r="D2265" s="226" t="s">
        <v>1448</v>
      </c>
    </row>
    <row r="2266" spans="1:4">
      <c r="A2266" s="226" t="s">
        <v>3832</v>
      </c>
      <c r="B2266" s="226">
        <v>533482</v>
      </c>
      <c r="C2266" s="226" t="s">
        <v>3833</v>
      </c>
      <c r="D2266" s="226" t="s">
        <v>883</v>
      </c>
    </row>
    <row r="2267" spans="1:4">
      <c r="A2267" s="226" t="s">
        <v>3834</v>
      </c>
      <c r="B2267" s="226" t="s">
        <v>486</v>
      </c>
      <c r="C2267" s="226" t="s">
        <v>3835</v>
      </c>
      <c r="D2267" s="226" t="s">
        <v>497</v>
      </c>
    </row>
    <row r="2268" spans="1:4">
      <c r="A2268" s="226" t="s">
        <v>3836</v>
      </c>
      <c r="B2268" s="226">
        <v>539384</v>
      </c>
      <c r="C2268" s="226" t="s">
        <v>486</v>
      </c>
      <c r="D2268" s="226" t="s">
        <v>503</v>
      </c>
    </row>
    <row r="2269" spans="1:4">
      <c r="A2269" s="226" t="s">
        <v>3837</v>
      </c>
      <c r="B2269" s="226">
        <v>504392</v>
      </c>
      <c r="C2269" s="226" t="s">
        <v>486</v>
      </c>
      <c r="D2269" s="226" t="s">
        <v>470</v>
      </c>
    </row>
    <row r="2270" spans="1:4">
      <c r="A2270" s="226" t="s">
        <v>3838</v>
      </c>
      <c r="B2270" s="226">
        <v>526423</v>
      </c>
      <c r="C2270" s="226" t="s">
        <v>486</v>
      </c>
      <c r="D2270" s="226" t="s">
        <v>605</v>
      </c>
    </row>
    <row r="2271" spans="1:4">
      <c r="A2271" s="226" t="s">
        <v>3839</v>
      </c>
      <c r="B2271" s="226">
        <v>526423</v>
      </c>
      <c r="C2271" s="226" t="s">
        <v>486</v>
      </c>
      <c r="D2271" s="226" t="s">
        <v>605</v>
      </c>
    </row>
    <row r="2272" spans="1:4">
      <c r="A2272" s="226" t="s">
        <v>3840</v>
      </c>
      <c r="B2272" s="226">
        <v>533210</v>
      </c>
      <c r="C2272" s="226" t="s">
        <v>486</v>
      </c>
      <c r="D2272" s="226" t="s">
        <v>734</v>
      </c>
    </row>
    <row r="2273" spans="1:4">
      <c r="A2273" s="226" t="s">
        <v>3841</v>
      </c>
      <c r="B2273" s="226" t="s">
        <v>486</v>
      </c>
      <c r="C2273" s="226" t="s">
        <v>3842</v>
      </c>
      <c r="D2273" s="226" t="s">
        <v>497</v>
      </c>
    </row>
    <row r="2274" spans="1:4">
      <c r="A2274" s="226" t="s">
        <v>3843</v>
      </c>
      <c r="B2274" s="226">
        <v>523550</v>
      </c>
      <c r="C2274" s="226" t="s">
        <v>486</v>
      </c>
      <c r="D2274" s="226" t="s">
        <v>346</v>
      </c>
    </row>
    <row r="2275" spans="1:4">
      <c r="A2275" s="226" t="s">
        <v>3844</v>
      </c>
      <c r="B2275" s="226">
        <v>500249</v>
      </c>
      <c r="C2275" s="226" t="s">
        <v>3845</v>
      </c>
      <c r="D2275" s="226" t="s">
        <v>494</v>
      </c>
    </row>
    <row r="2276" spans="1:4">
      <c r="A2276" s="226" t="s">
        <v>3846</v>
      </c>
      <c r="B2276" s="226">
        <v>519421</v>
      </c>
      <c r="C2276" s="226" t="s">
        <v>486</v>
      </c>
      <c r="D2276" s="226" t="s">
        <v>546</v>
      </c>
    </row>
    <row r="2277" spans="1:4">
      <c r="A2277" s="226" t="s">
        <v>3847</v>
      </c>
      <c r="B2277" s="226" t="s">
        <v>486</v>
      </c>
      <c r="C2277" s="226" t="s">
        <v>3848</v>
      </c>
      <c r="D2277" s="226" t="s">
        <v>497</v>
      </c>
    </row>
    <row r="2278" spans="1:4">
      <c r="A2278" s="226" t="s">
        <v>3849</v>
      </c>
      <c r="B2278" s="226">
        <v>503626</v>
      </c>
      <c r="C2278" s="226" t="s">
        <v>486</v>
      </c>
      <c r="D2278" s="226" t="s">
        <v>470</v>
      </c>
    </row>
    <row r="2279" spans="1:4">
      <c r="A2279" s="226" t="s">
        <v>3850</v>
      </c>
      <c r="B2279" s="226">
        <v>532997</v>
      </c>
      <c r="C2279" s="226" t="s">
        <v>3851</v>
      </c>
      <c r="D2279" s="226" t="s">
        <v>624</v>
      </c>
    </row>
    <row r="2280" spans="1:4">
      <c r="A2280" s="226" t="s">
        <v>3852</v>
      </c>
      <c r="B2280" s="226">
        <v>530149</v>
      </c>
      <c r="C2280" s="226" t="s">
        <v>486</v>
      </c>
      <c r="D2280" s="226" t="s">
        <v>501</v>
      </c>
    </row>
    <row r="2281" spans="1:4">
      <c r="A2281" s="226" t="s">
        <v>3853</v>
      </c>
      <c r="B2281" s="226">
        <v>532081</v>
      </c>
      <c r="C2281" s="226" t="s">
        <v>3854</v>
      </c>
      <c r="D2281" s="226" t="s">
        <v>489</v>
      </c>
    </row>
    <row r="2282" spans="1:4">
      <c r="A2282" s="226" t="s">
        <v>3855</v>
      </c>
      <c r="B2282" s="226">
        <v>532937</v>
      </c>
      <c r="C2282" s="226" t="s">
        <v>486</v>
      </c>
      <c r="D2282" s="226" t="s">
        <v>480</v>
      </c>
    </row>
    <row r="2283" spans="1:4">
      <c r="A2283" s="226" t="s">
        <v>3856</v>
      </c>
      <c r="B2283" s="226">
        <v>539408</v>
      </c>
      <c r="C2283" s="226" t="s">
        <v>486</v>
      </c>
      <c r="D2283" s="226" t="s">
        <v>503</v>
      </c>
    </row>
    <row r="2284" spans="1:4">
      <c r="A2284" s="226" t="s">
        <v>3857</v>
      </c>
      <c r="B2284" s="226">
        <v>505299</v>
      </c>
      <c r="C2284" s="226" t="s">
        <v>486</v>
      </c>
      <c r="D2284" s="226" t="s">
        <v>494</v>
      </c>
    </row>
    <row r="2285" spans="1:4">
      <c r="A2285" s="226" t="s">
        <v>3858</v>
      </c>
      <c r="B2285" s="226">
        <v>513703</v>
      </c>
      <c r="C2285" s="226" t="s">
        <v>486</v>
      </c>
      <c r="D2285" s="226" t="s">
        <v>501</v>
      </c>
    </row>
    <row r="2286" spans="1:4">
      <c r="A2286" s="226" t="s">
        <v>3859</v>
      </c>
      <c r="B2286" s="226">
        <v>523594</v>
      </c>
      <c r="C2286" s="226" t="s">
        <v>486</v>
      </c>
      <c r="D2286" s="226" t="s">
        <v>605</v>
      </c>
    </row>
    <row r="2287" spans="1:4">
      <c r="A2287" s="226" t="s">
        <v>3860</v>
      </c>
      <c r="B2287" s="226">
        <v>511048</v>
      </c>
      <c r="C2287" s="226" t="s">
        <v>486</v>
      </c>
      <c r="D2287" s="226" t="s">
        <v>508</v>
      </c>
    </row>
    <row r="2288" spans="1:4">
      <c r="A2288" s="226" t="s">
        <v>3861</v>
      </c>
      <c r="B2288" s="226">
        <v>514240</v>
      </c>
      <c r="C2288" s="226" t="s">
        <v>486</v>
      </c>
      <c r="D2288" s="226" t="s">
        <v>501</v>
      </c>
    </row>
    <row r="2289" spans="1:4">
      <c r="A2289" s="226" t="s">
        <v>3862</v>
      </c>
      <c r="B2289" s="226">
        <v>536170</v>
      </c>
      <c r="C2289" s="226" t="s">
        <v>486</v>
      </c>
      <c r="D2289" s="226" t="s">
        <v>508</v>
      </c>
    </row>
    <row r="2290" spans="1:4">
      <c r="A2290" s="226" t="s">
        <v>3863</v>
      </c>
      <c r="B2290" s="226">
        <v>530421</v>
      </c>
      <c r="C2290" s="226" t="s">
        <v>486</v>
      </c>
      <c r="D2290" s="226" t="s">
        <v>534</v>
      </c>
    </row>
    <row r="2291" spans="1:4">
      <c r="A2291" s="226" t="s">
        <v>3864</v>
      </c>
      <c r="B2291" s="226">
        <v>531206</v>
      </c>
      <c r="C2291" s="226" t="s">
        <v>486</v>
      </c>
      <c r="D2291" s="226" t="s">
        <v>503</v>
      </c>
    </row>
    <row r="2292" spans="1:4">
      <c r="A2292" s="226" t="s">
        <v>3865</v>
      </c>
      <c r="B2292" s="226">
        <v>531882</v>
      </c>
      <c r="C2292" s="226" t="s">
        <v>3866</v>
      </c>
      <c r="D2292" s="226" t="s">
        <v>546</v>
      </c>
    </row>
    <row r="2293" spans="1:4">
      <c r="A2293" s="226" t="s">
        <v>3867</v>
      </c>
      <c r="B2293" s="226">
        <v>539997</v>
      </c>
      <c r="C2293" s="226" t="s">
        <v>486</v>
      </c>
      <c r="D2293" s="226" t="s">
        <v>524</v>
      </c>
    </row>
    <row r="2294" spans="1:4">
      <c r="A2294" s="226" t="s">
        <v>3868</v>
      </c>
      <c r="B2294" s="226">
        <v>537669</v>
      </c>
      <c r="C2294" s="226" t="s">
        <v>486</v>
      </c>
      <c r="D2294" s="226" t="s">
        <v>564</v>
      </c>
    </row>
    <row r="2295" spans="1:4">
      <c r="A2295" s="226" t="s">
        <v>3869</v>
      </c>
      <c r="B2295" s="226">
        <v>533519</v>
      </c>
      <c r="C2295" s="226" t="s">
        <v>3870</v>
      </c>
      <c r="D2295" s="226" t="s">
        <v>651</v>
      </c>
    </row>
    <row r="2296" spans="1:4">
      <c r="A2296" s="226" t="s">
        <v>3871</v>
      </c>
      <c r="B2296" s="226">
        <v>540115</v>
      </c>
      <c r="C2296" s="226" t="s">
        <v>3872</v>
      </c>
      <c r="D2296" s="226" t="s">
        <v>492</v>
      </c>
    </row>
    <row r="2297" spans="1:4">
      <c r="A2297" s="226" t="s">
        <v>3873</v>
      </c>
      <c r="B2297" s="226">
        <v>526947</v>
      </c>
      <c r="C2297" s="226" t="s">
        <v>3874</v>
      </c>
      <c r="D2297" s="226" t="s">
        <v>1529</v>
      </c>
    </row>
    <row r="2298" spans="1:4">
      <c r="A2298" s="226" t="s">
        <v>3875</v>
      </c>
      <c r="B2298" s="226">
        <v>505693</v>
      </c>
      <c r="C2298" s="226" t="s">
        <v>3876</v>
      </c>
      <c r="D2298" s="226" t="s">
        <v>670</v>
      </c>
    </row>
    <row r="2299" spans="1:4">
      <c r="A2299" s="226" t="s">
        <v>3877</v>
      </c>
      <c r="B2299" s="226">
        <v>524202</v>
      </c>
      <c r="C2299" s="226" t="s">
        <v>486</v>
      </c>
      <c r="D2299" s="226" t="s">
        <v>566</v>
      </c>
    </row>
    <row r="2300" spans="1:4">
      <c r="A2300" s="226" t="s">
        <v>3878</v>
      </c>
      <c r="B2300" s="226">
        <v>524202</v>
      </c>
      <c r="C2300" s="226" t="s">
        <v>486</v>
      </c>
      <c r="D2300" s="226" t="s">
        <v>566</v>
      </c>
    </row>
    <row r="2301" spans="1:4">
      <c r="A2301" s="226" t="s">
        <v>3879</v>
      </c>
      <c r="B2301" s="226">
        <v>540026</v>
      </c>
      <c r="C2301" s="226" t="s">
        <v>486</v>
      </c>
      <c r="D2301" s="226" t="s">
        <v>572</v>
      </c>
    </row>
    <row r="2302" spans="1:4">
      <c r="A2302" s="226" t="s">
        <v>3880</v>
      </c>
      <c r="B2302" s="226">
        <v>530577</v>
      </c>
      <c r="C2302" s="226" t="s">
        <v>486</v>
      </c>
      <c r="D2302" s="226" t="s">
        <v>503</v>
      </c>
    </row>
    <row r="2303" spans="1:4">
      <c r="A2303" s="226" t="s">
        <v>3881</v>
      </c>
      <c r="B2303" s="226">
        <v>524522</v>
      </c>
      <c r="C2303" s="226" t="s">
        <v>486</v>
      </c>
      <c r="D2303" s="226" t="s">
        <v>534</v>
      </c>
    </row>
    <row r="2304" spans="1:4">
      <c r="A2304" s="226" t="s">
        <v>3882</v>
      </c>
      <c r="B2304" s="226" t="s">
        <v>486</v>
      </c>
      <c r="C2304" s="226" t="s">
        <v>3883</v>
      </c>
      <c r="D2304" s="226" t="s">
        <v>497</v>
      </c>
    </row>
    <row r="2305" spans="1:4">
      <c r="A2305" s="226" t="s">
        <v>3884</v>
      </c>
      <c r="B2305" s="226">
        <v>531842</v>
      </c>
      <c r="C2305" s="226" t="s">
        <v>486</v>
      </c>
      <c r="D2305" s="226" t="s">
        <v>508</v>
      </c>
    </row>
    <row r="2306" spans="1:4">
      <c r="A2306" s="226" t="s">
        <v>3885</v>
      </c>
      <c r="B2306" s="226">
        <v>535387</v>
      </c>
      <c r="C2306" s="226" t="s">
        <v>486</v>
      </c>
      <c r="D2306" s="226" t="s">
        <v>501</v>
      </c>
    </row>
    <row r="2307" spans="1:4">
      <c r="A2307" s="226" t="s">
        <v>3886</v>
      </c>
      <c r="B2307" s="226">
        <v>535387</v>
      </c>
      <c r="C2307" s="226" t="s">
        <v>486</v>
      </c>
      <c r="D2307" s="226" t="s">
        <v>501</v>
      </c>
    </row>
    <row r="2308" spans="1:4">
      <c r="A2308" s="226" t="s">
        <v>3887</v>
      </c>
      <c r="B2308" s="226">
        <v>505302</v>
      </c>
      <c r="C2308" s="226" t="s">
        <v>486</v>
      </c>
      <c r="D2308" s="226" t="s">
        <v>494</v>
      </c>
    </row>
    <row r="2309" spans="1:4">
      <c r="A2309" s="226" t="s">
        <v>3888</v>
      </c>
      <c r="B2309" s="226">
        <v>504258</v>
      </c>
      <c r="C2309" s="226" t="s">
        <v>486</v>
      </c>
      <c r="D2309" s="226" t="s">
        <v>783</v>
      </c>
    </row>
    <row r="2310" spans="1:4">
      <c r="A2310" s="226" t="s">
        <v>3889</v>
      </c>
      <c r="B2310" s="226" t="s">
        <v>486</v>
      </c>
      <c r="C2310" s="226" t="s">
        <v>3890</v>
      </c>
      <c r="D2310" s="226" t="s">
        <v>577</v>
      </c>
    </row>
    <row r="2311" spans="1:4">
      <c r="A2311" s="226" t="s">
        <v>3891</v>
      </c>
      <c r="B2311" s="226">
        <v>500252</v>
      </c>
      <c r="C2311" s="226" t="s">
        <v>3892</v>
      </c>
      <c r="D2311" s="226" t="s">
        <v>494</v>
      </c>
    </row>
    <row r="2312" spans="1:4">
      <c r="A2312" s="226" t="s">
        <v>3893</v>
      </c>
      <c r="B2312" s="226">
        <v>502958</v>
      </c>
      <c r="C2312" s="226" t="s">
        <v>486</v>
      </c>
      <c r="D2312" s="226" t="s">
        <v>501</v>
      </c>
    </row>
    <row r="2313" spans="1:4">
      <c r="A2313" s="226" t="s">
        <v>3894</v>
      </c>
      <c r="B2313" s="226">
        <v>506079</v>
      </c>
      <c r="C2313" s="226" t="s">
        <v>3895</v>
      </c>
      <c r="D2313" s="226" t="s">
        <v>808</v>
      </c>
    </row>
    <row r="2314" spans="1:4">
      <c r="A2314" s="226" t="s">
        <v>3896</v>
      </c>
      <c r="B2314" s="226">
        <v>534690</v>
      </c>
      <c r="C2314" s="226" t="s">
        <v>3897</v>
      </c>
      <c r="D2314" s="226" t="s">
        <v>803</v>
      </c>
    </row>
    <row r="2315" spans="1:4">
      <c r="A2315" s="226" t="s">
        <v>3898</v>
      </c>
      <c r="B2315" s="226">
        <v>590075</v>
      </c>
      <c r="C2315" s="226" t="s">
        <v>3899</v>
      </c>
      <c r="D2315" s="226" t="s">
        <v>501</v>
      </c>
    </row>
    <row r="2316" spans="1:4">
      <c r="A2316" s="226" t="s">
        <v>3900</v>
      </c>
      <c r="B2316" s="226">
        <v>539841</v>
      </c>
      <c r="C2316" s="226" t="s">
        <v>486</v>
      </c>
      <c r="D2316" s="226" t="s">
        <v>806</v>
      </c>
    </row>
    <row r="2317" spans="1:4">
      <c r="A2317" s="226" t="s">
        <v>3901</v>
      </c>
      <c r="B2317" s="226">
        <v>509048</v>
      </c>
      <c r="C2317" s="226" t="s">
        <v>486</v>
      </c>
      <c r="D2317" s="226" t="s">
        <v>572</v>
      </c>
    </row>
    <row r="2318" spans="1:4">
      <c r="A2318" s="226" t="s">
        <v>3902</v>
      </c>
      <c r="B2318" s="226">
        <v>532275</v>
      </c>
      <c r="C2318" s="226" t="s">
        <v>486</v>
      </c>
      <c r="D2318" s="226" t="s">
        <v>503</v>
      </c>
    </row>
    <row r="2319" spans="1:4">
      <c r="A2319" s="226" t="s">
        <v>3903</v>
      </c>
      <c r="B2319" s="226">
        <v>533012</v>
      </c>
      <c r="C2319" s="226" t="s">
        <v>3904</v>
      </c>
      <c r="D2319" s="226" t="s">
        <v>572</v>
      </c>
    </row>
    <row r="2320" spans="1:4">
      <c r="A2320" s="226" t="s">
        <v>3905</v>
      </c>
      <c r="B2320" s="226">
        <v>540005</v>
      </c>
      <c r="C2320" s="226" t="s">
        <v>3906</v>
      </c>
      <c r="D2320" s="226" t="s">
        <v>473</v>
      </c>
    </row>
    <row r="2321" spans="1:4">
      <c r="A2321" s="226" t="s">
        <v>3907</v>
      </c>
      <c r="B2321" s="226">
        <v>500510</v>
      </c>
      <c r="C2321" s="226" t="s">
        <v>3908</v>
      </c>
      <c r="D2321" s="226" t="s">
        <v>883</v>
      </c>
    </row>
    <row r="2322" spans="1:4">
      <c r="A2322" s="226" t="s">
        <v>3909</v>
      </c>
      <c r="B2322" s="226">
        <v>540702</v>
      </c>
      <c r="C2322" s="226" t="s">
        <v>3910</v>
      </c>
      <c r="D2322" s="226" t="s">
        <v>674</v>
      </c>
    </row>
    <row r="2323" spans="1:4">
      <c r="A2323" s="226" t="s">
        <v>3911</v>
      </c>
      <c r="B2323" s="226">
        <v>531164</v>
      </c>
      <c r="C2323" s="226" t="s">
        <v>486</v>
      </c>
      <c r="D2323" s="226" t="s">
        <v>599</v>
      </c>
    </row>
    <row r="2324" spans="1:4">
      <c r="A2324" s="226" t="s">
        <v>3912</v>
      </c>
      <c r="B2324" s="226">
        <v>539909</v>
      </c>
      <c r="C2324" s="226" t="s">
        <v>486</v>
      </c>
      <c r="D2324" s="226" t="s">
        <v>503</v>
      </c>
    </row>
    <row r="2325" spans="1:4">
      <c r="A2325" s="226" t="s">
        <v>3913</v>
      </c>
      <c r="B2325" s="226" t="s">
        <v>486</v>
      </c>
      <c r="C2325" s="226" t="s">
        <v>3914</v>
      </c>
      <c r="D2325" s="226" t="s">
        <v>497</v>
      </c>
    </row>
    <row r="2326" spans="1:4">
      <c r="A2326" s="226" t="s">
        <v>3915</v>
      </c>
      <c r="B2326" s="226">
        <v>540222</v>
      </c>
      <c r="C2326" s="226" t="s">
        <v>3916</v>
      </c>
      <c r="D2326" s="226" t="s">
        <v>524</v>
      </c>
    </row>
    <row r="2327" spans="1:4">
      <c r="A2327" s="226" t="s">
        <v>3917</v>
      </c>
      <c r="B2327" s="226">
        <v>532829</v>
      </c>
      <c r="C2327" s="226" t="s">
        <v>486</v>
      </c>
      <c r="D2327" s="226" t="s">
        <v>911</v>
      </c>
    </row>
    <row r="2328" spans="1:4">
      <c r="A2328" s="226" t="s">
        <v>3918</v>
      </c>
      <c r="B2328" s="226" t="s">
        <v>486</v>
      </c>
      <c r="C2328" s="226" t="s">
        <v>3919</v>
      </c>
      <c r="D2328" s="226" t="s">
        <v>497</v>
      </c>
    </row>
    <row r="2329" spans="1:4">
      <c r="A2329" s="226" t="s">
        <v>3920</v>
      </c>
      <c r="B2329" s="226">
        <v>531288</v>
      </c>
      <c r="C2329" s="226" t="s">
        <v>486</v>
      </c>
      <c r="D2329" s="226" t="s">
        <v>503</v>
      </c>
    </row>
    <row r="2330" spans="1:4">
      <c r="A2330" s="226" t="s">
        <v>3921</v>
      </c>
      <c r="B2330" s="226">
        <v>540360</v>
      </c>
      <c r="C2330" s="226" t="s">
        <v>486</v>
      </c>
      <c r="D2330" s="226" t="s">
        <v>470</v>
      </c>
    </row>
    <row r="2331" spans="1:4">
      <c r="A2331" s="226" t="s">
        <v>3922</v>
      </c>
      <c r="B2331" s="226">
        <v>508306</v>
      </c>
      <c r="C2331" s="226" t="s">
        <v>486</v>
      </c>
      <c r="D2331" s="226" t="s">
        <v>892</v>
      </c>
    </row>
    <row r="2332" spans="1:4">
      <c r="A2332" s="226" t="s">
        <v>3923</v>
      </c>
      <c r="B2332" s="226">
        <v>517415</v>
      </c>
      <c r="C2332" s="226" t="s">
        <v>486</v>
      </c>
      <c r="D2332" s="226" t="s">
        <v>815</v>
      </c>
    </row>
    <row r="2333" spans="1:4">
      <c r="A2333" s="226" t="s">
        <v>3924</v>
      </c>
      <c r="B2333" s="226">
        <v>517518</v>
      </c>
      <c r="C2333" s="226" t="s">
        <v>3925</v>
      </c>
      <c r="D2333" s="226" t="s">
        <v>494</v>
      </c>
    </row>
    <row r="2334" spans="1:4">
      <c r="A2334" s="226" t="s">
        <v>3926</v>
      </c>
      <c r="B2334" s="226">
        <v>509046</v>
      </c>
      <c r="C2334" s="226" t="s">
        <v>486</v>
      </c>
      <c r="D2334" s="226" t="s">
        <v>906</v>
      </c>
    </row>
    <row r="2335" spans="1:4">
      <c r="A2335" s="226" t="s">
        <v>3927</v>
      </c>
      <c r="B2335" s="226">
        <v>780021</v>
      </c>
      <c r="C2335" s="226" t="s">
        <v>486</v>
      </c>
      <c r="D2335" s="226" t="s">
        <v>577</v>
      </c>
    </row>
    <row r="2336" spans="1:4">
      <c r="A2336" s="226" t="s">
        <v>3928</v>
      </c>
      <c r="B2336" s="226">
        <v>541233</v>
      </c>
      <c r="C2336" s="226" t="s">
        <v>3929</v>
      </c>
      <c r="D2336" s="226" t="s">
        <v>686</v>
      </c>
    </row>
    <row r="2337" spans="1:4">
      <c r="A2337" s="226" t="s">
        <v>3930</v>
      </c>
      <c r="B2337" s="226">
        <v>533602</v>
      </c>
      <c r="C2337" s="226" t="s">
        <v>486</v>
      </c>
      <c r="D2337" s="226" t="s">
        <v>506</v>
      </c>
    </row>
    <row r="2338" spans="1:4">
      <c r="A2338" s="226" t="s">
        <v>3931</v>
      </c>
      <c r="B2338" s="226">
        <v>541196</v>
      </c>
      <c r="C2338" s="226" t="s">
        <v>486</v>
      </c>
      <c r="D2338" s="226" t="s">
        <v>570</v>
      </c>
    </row>
    <row r="2339" spans="1:4">
      <c r="A2339" s="226" t="s">
        <v>3932</v>
      </c>
      <c r="B2339" s="226" t="s">
        <v>486</v>
      </c>
      <c r="C2339" s="226" t="s">
        <v>3933</v>
      </c>
      <c r="D2339" s="226" t="s">
        <v>497</v>
      </c>
    </row>
    <row r="2340" spans="1:4">
      <c r="A2340" s="226" t="s">
        <v>3934</v>
      </c>
      <c r="B2340" s="226" t="s">
        <v>486</v>
      </c>
      <c r="C2340" s="226" t="s">
        <v>3933</v>
      </c>
      <c r="D2340" s="226" t="s">
        <v>497</v>
      </c>
    </row>
    <row r="2341" spans="1:4">
      <c r="A2341" s="226" t="s">
        <v>3935</v>
      </c>
      <c r="B2341" s="226">
        <v>500250</v>
      </c>
      <c r="C2341" s="226" t="s">
        <v>3936</v>
      </c>
      <c r="D2341" s="226" t="s">
        <v>840</v>
      </c>
    </row>
    <row r="2342" spans="1:4">
      <c r="A2342" s="226" t="s">
        <v>3937</v>
      </c>
      <c r="B2342" s="226">
        <v>533007</v>
      </c>
      <c r="C2342" s="226" t="s">
        <v>3938</v>
      </c>
      <c r="D2342" s="226" t="s">
        <v>1403</v>
      </c>
    </row>
    <row r="2343" spans="1:4">
      <c r="A2343" s="226" t="s">
        <v>3939</v>
      </c>
      <c r="B2343" s="226" t="s">
        <v>486</v>
      </c>
      <c r="C2343" s="226" t="s">
        <v>3940</v>
      </c>
      <c r="D2343" s="226" t="s">
        <v>497</v>
      </c>
    </row>
    <row r="2344" spans="1:4">
      <c r="A2344" s="226" t="s">
        <v>3941</v>
      </c>
      <c r="B2344" s="226">
        <v>526596</v>
      </c>
      <c r="C2344" s="226" t="s">
        <v>3942</v>
      </c>
      <c r="D2344" s="226" t="s">
        <v>911</v>
      </c>
    </row>
    <row r="2345" spans="1:4">
      <c r="A2345" s="226" t="s">
        <v>3943</v>
      </c>
      <c r="B2345" s="226">
        <v>511593</v>
      </c>
      <c r="C2345" s="226" t="s">
        <v>486</v>
      </c>
      <c r="D2345" s="226" t="s">
        <v>503</v>
      </c>
    </row>
    <row r="2346" spans="1:4">
      <c r="A2346" s="226" t="s">
        <v>3944</v>
      </c>
      <c r="B2346" s="226">
        <v>531027</v>
      </c>
      <c r="C2346" s="226" t="s">
        <v>486</v>
      </c>
      <c r="D2346" s="226" t="s">
        <v>470</v>
      </c>
    </row>
    <row r="2347" spans="1:4">
      <c r="A2347" s="226" t="s">
        <v>3945</v>
      </c>
      <c r="B2347" s="226">
        <v>500253</v>
      </c>
      <c r="C2347" s="226" t="s">
        <v>3946</v>
      </c>
      <c r="D2347" s="226" t="s">
        <v>544</v>
      </c>
    </row>
    <row r="2348" spans="1:4">
      <c r="A2348" s="226" t="s">
        <v>3947</v>
      </c>
      <c r="B2348" s="226">
        <v>539927</v>
      </c>
      <c r="C2348" s="226" t="s">
        <v>486</v>
      </c>
      <c r="D2348" s="226" t="s">
        <v>570</v>
      </c>
    </row>
    <row r="2349" spans="1:4">
      <c r="A2349" s="226" t="s">
        <v>3948</v>
      </c>
      <c r="B2349" s="226">
        <v>507759</v>
      </c>
      <c r="C2349" s="226" t="s">
        <v>486</v>
      </c>
      <c r="D2349" s="226" t="s">
        <v>534</v>
      </c>
    </row>
    <row r="2350" spans="1:4">
      <c r="A2350" s="226" t="s">
        <v>3949</v>
      </c>
      <c r="B2350" s="226">
        <v>517463</v>
      </c>
      <c r="C2350" s="226" t="s">
        <v>3950</v>
      </c>
      <c r="D2350" s="226" t="s">
        <v>1027</v>
      </c>
    </row>
    <row r="2351" spans="1:4">
      <c r="A2351" s="226" t="s">
        <v>3951</v>
      </c>
      <c r="B2351" s="226">
        <v>531241</v>
      </c>
      <c r="C2351" s="226" t="s">
        <v>3952</v>
      </c>
      <c r="D2351" s="226" t="s">
        <v>1031</v>
      </c>
    </row>
    <row r="2352" spans="1:4">
      <c r="A2352" s="226" t="s">
        <v>3953</v>
      </c>
      <c r="B2352" s="226">
        <v>531633</v>
      </c>
      <c r="C2352" s="226" t="s">
        <v>3954</v>
      </c>
      <c r="D2352" s="226" t="s">
        <v>524</v>
      </c>
    </row>
    <row r="2353" spans="1:4">
      <c r="A2353" s="226" t="s">
        <v>3955</v>
      </c>
      <c r="B2353" s="226">
        <v>523457</v>
      </c>
      <c r="C2353" s="226" t="s">
        <v>3956</v>
      </c>
      <c r="D2353" s="226" t="s">
        <v>1519</v>
      </c>
    </row>
    <row r="2354" spans="1:4">
      <c r="A2354" s="226" t="s">
        <v>3957</v>
      </c>
      <c r="B2354" s="226">
        <v>523457</v>
      </c>
      <c r="C2354" s="226" t="s">
        <v>3958</v>
      </c>
      <c r="D2354" s="226" t="s">
        <v>1519</v>
      </c>
    </row>
    <row r="2355" spans="1:4">
      <c r="A2355" s="226" t="s">
        <v>3959</v>
      </c>
      <c r="B2355" s="226">
        <v>524748</v>
      </c>
      <c r="C2355" s="226" t="s">
        <v>486</v>
      </c>
      <c r="D2355" s="226" t="s">
        <v>534</v>
      </c>
    </row>
    <row r="2356" spans="1:4">
      <c r="A2356" s="226" t="s">
        <v>3960</v>
      </c>
      <c r="B2356" s="226">
        <v>526604</v>
      </c>
      <c r="C2356" s="226" t="s">
        <v>486</v>
      </c>
      <c r="D2356" s="226" t="s">
        <v>494</v>
      </c>
    </row>
    <row r="2357" spans="1:4">
      <c r="A2357" s="226" t="s">
        <v>3961</v>
      </c>
      <c r="B2357" s="226">
        <v>507912</v>
      </c>
      <c r="C2357" s="226" t="s">
        <v>486</v>
      </c>
      <c r="D2357" s="226" t="s">
        <v>470</v>
      </c>
    </row>
    <row r="2358" spans="1:4">
      <c r="A2358" s="226" t="s">
        <v>3962</v>
      </c>
      <c r="B2358" s="226">
        <v>540192</v>
      </c>
      <c r="C2358" s="226" t="s">
        <v>486</v>
      </c>
      <c r="D2358" s="226" t="s">
        <v>470</v>
      </c>
    </row>
    <row r="2359" spans="1:4">
      <c r="A2359" s="226" t="s">
        <v>3963</v>
      </c>
      <c r="B2359" s="226">
        <v>512455</v>
      </c>
      <c r="C2359" s="226" t="s">
        <v>486</v>
      </c>
      <c r="D2359" s="226" t="s">
        <v>518</v>
      </c>
    </row>
    <row r="2360" spans="1:4">
      <c r="A2360" s="226" t="s">
        <v>3964</v>
      </c>
      <c r="B2360" s="226">
        <v>539992</v>
      </c>
      <c r="C2360" s="226" t="s">
        <v>3965</v>
      </c>
      <c r="D2360" s="226" t="s">
        <v>494</v>
      </c>
    </row>
    <row r="2361" spans="1:4">
      <c r="A2361" s="226" t="s">
        <v>3966</v>
      </c>
      <c r="B2361" s="226">
        <v>590082</v>
      </c>
      <c r="C2361" s="226" t="s">
        <v>486</v>
      </c>
      <c r="D2361" s="226" t="s">
        <v>470</v>
      </c>
    </row>
    <row r="2362" spans="1:4">
      <c r="A2362" s="226" t="s">
        <v>3967</v>
      </c>
      <c r="B2362" s="226">
        <v>532740</v>
      </c>
      <c r="C2362" s="226" t="s">
        <v>3968</v>
      </c>
      <c r="D2362" s="226" t="s">
        <v>494</v>
      </c>
    </row>
    <row r="2363" spans="1:4">
      <c r="A2363" s="226" t="s">
        <v>3969</v>
      </c>
      <c r="B2363" s="226">
        <v>526568</v>
      </c>
      <c r="C2363" s="226" t="s">
        <v>486</v>
      </c>
      <c r="D2363" s="226" t="s">
        <v>892</v>
      </c>
    </row>
    <row r="2364" spans="1:4">
      <c r="A2364" s="226" t="s">
        <v>3970</v>
      </c>
      <c r="B2364" s="226">
        <v>534422</v>
      </c>
      <c r="C2364" s="226" t="s">
        <v>486</v>
      </c>
      <c r="D2364" s="226" t="s">
        <v>955</v>
      </c>
    </row>
    <row r="2365" spans="1:4">
      <c r="A2365" s="226" t="s">
        <v>3971</v>
      </c>
      <c r="B2365" s="226">
        <v>500284</v>
      </c>
      <c r="C2365" s="226" t="s">
        <v>486</v>
      </c>
      <c r="D2365" s="226" t="s">
        <v>534</v>
      </c>
    </row>
    <row r="2366" spans="1:4">
      <c r="A2366" s="226" t="s">
        <v>3972</v>
      </c>
      <c r="B2366" s="226">
        <v>530065</v>
      </c>
      <c r="C2366" s="226" t="s">
        <v>486</v>
      </c>
      <c r="D2366" s="226" t="s">
        <v>686</v>
      </c>
    </row>
    <row r="2367" spans="1:4">
      <c r="A2367" s="226" t="s">
        <v>3973</v>
      </c>
      <c r="B2367" s="226">
        <v>540952</v>
      </c>
      <c r="C2367" s="226" t="s">
        <v>486</v>
      </c>
      <c r="D2367" s="226" t="s">
        <v>599</v>
      </c>
    </row>
    <row r="2368" spans="1:4">
      <c r="A2368" s="226" t="s">
        <v>3974</v>
      </c>
      <c r="B2368" s="226">
        <v>523475</v>
      </c>
      <c r="C2368" s="226" t="s">
        <v>486</v>
      </c>
      <c r="D2368" s="226" t="s">
        <v>546</v>
      </c>
    </row>
    <row r="2369" spans="1:4">
      <c r="A2369" s="226" t="s">
        <v>3975</v>
      </c>
      <c r="B2369" s="226">
        <v>532998</v>
      </c>
      <c r="C2369" s="226" t="s">
        <v>3976</v>
      </c>
      <c r="D2369" s="226" t="s">
        <v>955</v>
      </c>
    </row>
    <row r="2370" spans="1:4">
      <c r="A2370" s="226" t="s">
        <v>3977</v>
      </c>
      <c r="B2370" s="226">
        <v>533343</v>
      </c>
      <c r="C2370" s="226" t="s">
        <v>3978</v>
      </c>
      <c r="D2370" s="226" t="s">
        <v>599</v>
      </c>
    </row>
    <row r="2371" spans="1:4">
      <c r="A2371" s="226" t="s">
        <v>3979</v>
      </c>
      <c r="B2371" s="226">
        <v>539227</v>
      </c>
      <c r="C2371" s="226" t="s">
        <v>486</v>
      </c>
      <c r="D2371" s="226" t="s">
        <v>494</v>
      </c>
    </row>
    <row r="2372" spans="1:4">
      <c r="A2372" s="226" t="s">
        <v>3980</v>
      </c>
      <c r="B2372" s="226">
        <v>514036</v>
      </c>
      <c r="C2372" s="226" t="s">
        <v>486</v>
      </c>
      <c r="D2372" s="226" t="s">
        <v>501</v>
      </c>
    </row>
    <row r="2373" spans="1:4">
      <c r="A2373" s="226" t="s">
        <v>3981</v>
      </c>
      <c r="B2373" s="226">
        <v>532783</v>
      </c>
      <c r="C2373" s="226" t="s">
        <v>3982</v>
      </c>
      <c r="D2373" s="226" t="s">
        <v>546</v>
      </c>
    </row>
    <row r="2374" spans="1:4">
      <c r="A2374" s="226" t="s">
        <v>3983</v>
      </c>
      <c r="B2374" s="226">
        <v>526179</v>
      </c>
      <c r="C2374" s="226" t="s">
        <v>486</v>
      </c>
      <c r="D2374" s="226" t="s">
        <v>722</v>
      </c>
    </row>
    <row r="2375" spans="1:4">
      <c r="A2375" s="226" t="s">
        <v>3984</v>
      </c>
      <c r="B2375" s="226">
        <v>512048</v>
      </c>
      <c r="C2375" s="226" t="s">
        <v>486</v>
      </c>
      <c r="D2375" s="226" t="s">
        <v>572</v>
      </c>
    </row>
    <row r="2376" spans="1:4">
      <c r="A2376" s="226" t="s">
        <v>3985</v>
      </c>
      <c r="B2376" s="226">
        <v>532796</v>
      </c>
      <c r="C2376" s="226" t="s">
        <v>3986</v>
      </c>
      <c r="D2376" s="226" t="s">
        <v>840</v>
      </c>
    </row>
    <row r="2377" spans="1:4">
      <c r="A2377" s="226" t="s">
        <v>3987</v>
      </c>
      <c r="B2377" s="226">
        <v>517206</v>
      </c>
      <c r="C2377" s="226" t="s">
        <v>3988</v>
      </c>
      <c r="D2377" s="226" t="s">
        <v>840</v>
      </c>
    </row>
    <row r="2378" spans="1:4">
      <c r="A2378" s="226" t="s">
        <v>3989</v>
      </c>
      <c r="B2378" s="226">
        <v>500257</v>
      </c>
      <c r="C2378" s="226" t="s">
        <v>3990</v>
      </c>
      <c r="D2378" s="226" t="s">
        <v>524</v>
      </c>
    </row>
    <row r="2379" spans="1:4">
      <c r="A2379" s="226" t="s">
        <v>3991</v>
      </c>
      <c r="B2379" s="226">
        <v>539542</v>
      </c>
      <c r="C2379" s="226" t="s">
        <v>3992</v>
      </c>
      <c r="D2379" s="226" t="s">
        <v>599</v>
      </c>
    </row>
    <row r="2380" spans="1:4">
      <c r="A2380" s="226" t="s">
        <v>3993</v>
      </c>
      <c r="B2380" s="226">
        <v>531402</v>
      </c>
      <c r="C2380" s="226" t="s">
        <v>486</v>
      </c>
      <c r="D2380" s="226" t="s">
        <v>508</v>
      </c>
    </row>
    <row r="2381" spans="1:4">
      <c r="A2381" s="226" t="s">
        <v>3994</v>
      </c>
      <c r="B2381" s="226">
        <v>500259</v>
      </c>
      <c r="C2381" s="226" t="s">
        <v>3995</v>
      </c>
      <c r="D2381" s="226" t="s">
        <v>524</v>
      </c>
    </row>
    <row r="2382" spans="1:4">
      <c r="A2382" s="226" t="s">
        <v>3996</v>
      </c>
      <c r="B2382" s="226">
        <v>530689</v>
      </c>
      <c r="C2382" s="226" t="s">
        <v>486</v>
      </c>
      <c r="D2382" s="226" t="s">
        <v>667</v>
      </c>
    </row>
    <row r="2383" spans="1:4">
      <c r="A2383" s="226" t="s">
        <v>3997</v>
      </c>
      <c r="B2383" s="226">
        <v>505320</v>
      </c>
      <c r="C2383" s="226" t="s">
        <v>486</v>
      </c>
      <c r="D2383" s="226" t="s">
        <v>494</v>
      </c>
    </row>
    <row r="2384" spans="1:4">
      <c r="A2384" s="226" t="s">
        <v>3998</v>
      </c>
      <c r="B2384" s="226">
        <v>534532</v>
      </c>
      <c r="C2384" s="226" t="s">
        <v>3999</v>
      </c>
      <c r="D2384" s="226" t="s">
        <v>599</v>
      </c>
    </row>
    <row r="2385" spans="1:4">
      <c r="A2385" s="226" t="s">
        <v>4000</v>
      </c>
      <c r="B2385" s="226">
        <v>526935</v>
      </c>
      <c r="C2385" s="226" t="s">
        <v>486</v>
      </c>
      <c r="D2385" s="226" t="s">
        <v>470</v>
      </c>
    </row>
    <row r="2386" spans="1:4">
      <c r="A2386" s="226" t="s">
        <v>4001</v>
      </c>
      <c r="B2386" s="226">
        <v>538890</v>
      </c>
      <c r="C2386" s="226" t="s">
        <v>486</v>
      </c>
      <c r="D2386" s="226" t="s">
        <v>501</v>
      </c>
    </row>
    <row r="2387" spans="1:4">
      <c r="A2387" s="226" t="s">
        <v>4002</v>
      </c>
      <c r="B2387" s="226">
        <v>538890</v>
      </c>
      <c r="C2387" s="226" t="s">
        <v>486</v>
      </c>
      <c r="D2387" s="226" t="s">
        <v>501</v>
      </c>
    </row>
    <row r="2388" spans="1:4">
      <c r="A2388" s="226" t="s">
        <v>4003</v>
      </c>
      <c r="B2388" s="226" t="s">
        <v>486</v>
      </c>
      <c r="C2388" s="226" t="s">
        <v>4004</v>
      </c>
      <c r="D2388" s="226" t="s">
        <v>497</v>
      </c>
    </row>
    <row r="2389" spans="1:4">
      <c r="A2389" s="226" t="s">
        <v>4005</v>
      </c>
      <c r="B2389" s="226">
        <v>506543</v>
      </c>
      <c r="C2389" s="226" t="s">
        <v>486</v>
      </c>
      <c r="D2389" s="226" t="s">
        <v>993</v>
      </c>
    </row>
    <row r="2390" spans="1:4">
      <c r="A2390" s="226" t="s">
        <v>4006</v>
      </c>
      <c r="B2390" s="226">
        <v>532906</v>
      </c>
      <c r="C2390" s="226" t="s">
        <v>4007</v>
      </c>
      <c r="D2390" s="226" t="s">
        <v>883</v>
      </c>
    </row>
    <row r="2391" spans="1:4">
      <c r="A2391" s="226" t="s">
        <v>4008</v>
      </c>
      <c r="B2391" s="226">
        <v>507836</v>
      </c>
      <c r="C2391" s="226" t="s">
        <v>486</v>
      </c>
      <c r="D2391" s="226" t="s">
        <v>686</v>
      </c>
    </row>
    <row r="2392" spans="1:4">
      <c r="A2392" s="226" t="s">
        <v>4009</v>
      </c>
      <c r="B2392" s="226">
        <v>507836</v>
      </c>
      <c r="C2392" s="226" t="s">
        <v>486</v>
      </c>
      <c r="D2392" s="226" t="s">
        <v>686</v>
      </c>
    </row>
    <row r="2393" spans="1:4">
      <c r="A2393" s="226" t="s">
        <v>4010</v>
      </c>
      <c r="B2393" s="226">
        <v>541973</v>
      </c>
      <c r="C2393" s="226" t="s">
        <v>486</v>
      </c>
      <c r="D2393" s="226" t="s">
        <v>686</v>
      </c>
    </row>
    <row r="2394" spans="1:4">
      <c r="A2394" s="226" t="s">
        <v>4011</v>
      </c>
      <c r="B2394" s="226">
        <v>523248</v>
      </c>
      <c r="C2394" s="226" t="s">
        <v>486</v>
      </c>
      <c r="D2394" s="226" t="s">
        <v>605</v>
      </c>
    </row>
    <row r="2395" spans="1:4">
      <c r="A2395" s="226" t="s">
        <v>4012</v>
      </c>
      <c r="B2395" s="226">
        <v>501471</v>
      </c>
      <c r="C2395" s="226" t="s">
        <v>486</v>
      </c>
      <c r="D2395" s="226" t="s">
        <v>508</v>
      </c>
    </row>
    <row r="2396" spans="1:4">
      <c r="A2396" s="226" t="s">
        <v>4013</v>
      </c>
      <c r="B2396" s="226" t="s">
        <v>486</v>
      </c>
      <c r="C2396" s="226" t="s">
        <v>4014</v>
      </c>
      <c r="D2396" s="226" t="s">
        <v>497</v>
      </c>
    </row>
    <row r="2397" spans="1:4">
      <c r="A2397" s="226" t="s">
        <v>4015</v>
      </c>
      <c r="B2397" s="226">
        <v>512600</v>
      </c>
      <c r="C2397" s="226" t="s">
        <v>486</v>
      </c>
      <c r="D2397" s="226" t="s">
        <v>508</v>
      </c>
    </row>
    <row r="2398" spans="1:4">
      <c r="A2398" s="226" t="s">
        <v>4016</v>
      </c>
      <c r="B2398" s="226" t="s">
        <v>486</v>
      </c>
      <c r="C2398" s="226" t="s">
        <v>4017</v>
      </c>
      <c r="D2398" s="226" t="s">
        <v>497</v>
      </c>
    </row>
    <row r="2399" spans="1:4">
      <c r="A2399" s="226" t="s">
        <v>4018</v>
      </c>
      <c r="B2399" s="226">
        <v>539894</v>
      </c>
      <c r="C2399" s="226" t="s">
        <v>486</v>
      </c>
      <c r="D2399" s="226" t="s">
        <v>883</v>
      </c>
    </row>
    <row r="2400" spans="1:4">
      <c r="A2400" s="226" t="s">
        <v>4019</v>
      </c>
      <c r="B2400" s="226">
        <v>515093</v>
      </c>
      <c r="C2400" s="226" t="s">
        <v>4020</v>
      </c>
      <c r="D2400" s="226" t="s">
        <v>1013</v>
      </c>
    </row>
    <row r="2401" spans="1:4">
      <c r="A2401" s="226" t="s">
        <v>4021</v>
      </c>
      <c r="B2401" s="226">
        <v>780009</v>
      </c>
      <c r="C2401" s="226" t="s">
        <v>486</v>
      </c>
      <c r="D2401" s="226" t="s">
        <v>577</v>
      </c>
    </row>
    <row r="2402" spans="1:4">
      <c r="A2402" s="226" t="s">
        <v>4022</v>
      </c>
      <c r="B2402" s="226">
        <v>531497</v>
      </c>
      <c r="C2402" s="226" t="s">
        <v>4023</v>
      </c>
      <c r="D2402" s="226" t="s">
        <v>883</v>
      </c>
    </row>
    <row r="2403" spans="1:4">
      <c r="A2403" s="226" t="s">
        <v>4024</v>
      </c>
      <c r="B2403" s="226">
        <v>519279</v>
      </c>
      <c r="C2403" s="226" t="s">
        <v>486</v>
      </c>
      <c r="D2403" s="226" t="s">
        <v>683</v>
      </c>
    </row>
    <row r="2404" spans="1:4">
      <c r="A2404" s="226" t="s">
        <v>4025</v>
      </c>
      <c r="B2404" s="226">
        <v>515059</v>
      </c>
      <c r="C2404" s="226" t="s">
        <v>486</v>
      </c>
      <c r="D2404" s="226" t="s">
        <v>734</v>
      </c>
    </row>
    <row r="2405" spans="1:4">
      <c r="A2405" s="226" t="s">
        <v>4026</v>
      </c>
      <c r="B2405" s="226">
        <v>511000</v>
      </c>
      <c r="C2405" s="226" t="s">
        <v>486</v>
      </c>
      <c r="D2405" s="226" t="s">
        <v>503</v>
      </c>
    </row>
    <row r="2406" spans="1:4">
      <c r="A2406" s="226" t="s">
        <v>4027</v>
      </c>
      <c r="B2406" s="226">
        <v>531910</v>
      </c>
      <c r="C2406" s="226" t="s">
        <v>486</v>
      </c>
      <c r="D2406" s="226" t="s">
        <v>524</v>
      </c>
    </row>
    <row r="2407" spans="1:4">
      <c r="A2407" s="226" t="s">
        <v>4028</v>
      </c>
      <c r="B2407" s="226" t="s">
        <v>486</v>
      </c>
      <c r="C2407" s="226" t="s">
        <v>4029</v>
      </c>
      <c r="D2407" s="226" t="s">
        <v>497</v>
      </c>
    </row>
    <row r="2408" spans="1:4">
      <c r="A2408" s="226" t="s">
        <v>4030</v>
      </c>
      <c r="B2408" s="226" t="s">
        <v>486</v>
      </c>
      <c r="C2408" s="226" t="s">
        <v>4031</v>
      </c>
      <c r="D2408" s="226" t="s">
        <v>497</v>
      </c>
    </row>
    <row r="2409" spans="1:4">
      <c r="A2409" s="226" t="s">
        <v>4032</v>
      </c>
      <c r="B2409" s="226">
        <v>590134</v>
      </c>
      <c r="C2409" s="226" t="s">
        <v>4033</v>
      </c>
      <c r="D2409" s="226" t="s">
        <v>993</v>
      </c>
    </row>
    <row r="2410" spans="1:4">
      <c r="A2410" s="226" t="s">
        <v>4034</v>
      </c>
      <c r="B2410" s="226">
        <v>538401</v>
      </c>
      <c r="C2410" s="226" t="s">
        <v>486</v>
      </c>
      <c r="D2410" s="226" t="s">
        <v>1027</v>
      </c>
    </row>
    <row r="2411" spans="1:4">
      <c r="A2411" s="226" t="s">
        <v>4035</v>
      </c>
      <c r="B2411" s="226">
        <v>500264</v>
      </c>
      <c r="C2411" s="226" t="s">
        <v>486</v>
      </c>
      <c r="D2411" s="226" t="s">
        <v>501</v>
      </c>
    </row>
    <row r="2412" spans="1:4">
      <c r="A2412" s="226" t="s">
        <v>4036</v>
      </c>
      <c r="B2412" s="226">
        <v>540650</v>
      </c>
      <c r="C2412" s="226" t="s">
        <v>4037</v>
      </c>
      <c r="D2412" s="226" t="s">
        <v>1184</v>
      </c>
    </row>
    <row r="2413" spans="1:4">
      <c r="A2413" s="226" t="s">
        <v>4038</v>
      </c>
      <c r="B2413" s="226">
        <v>524000</v>
      </c>
      <c r="C2413" s="226" t="s">
        <v>4039</v>
      </c>
      <c r="D2413" s="226" t="s">
        <v>503</v>
      </c>
    </row>
    <row r="2414" spans="1:4">
      <c r="A2414" s="226" t="s">
        <v>4040</v>
      </c>
      <c r="B2414" s="226">
        <v>517449</v>
      </c>
      <c r="C2414" s="226" t="s">
        <v>486</v>
      </c>
      <c r="D2414" s="226" t="s">
        <v>1403</v>
      </c>
    </row>
    <row r="2415" spans="1:4">
      <c r="A2415" s="226" t="s">
        <v>4041</v>
      </c>
      <c r="B2415" s="226">
        <v>512377</v>
      </c>
      <c r="C2415" s="226" t="s">
        <v>486</v>
      </c>
      <c r="D2415" s="226" t="s">
        <v>906</v>
      </c>
    </row>
    <row r="2416" spans="1:4">
      <c r="A2416" s="226" t="s">
        <v>4042</v>
      </c>
      <c r="B2416" s="226">
        <v>532896</v>
      </c>
      <c r="C2416" s="226" t="s">
        <v>4043</v>
      </c>
      <c r="D2416" s="226" t="s">
        <v>480</v>
      </c>
    </row>
    <row r="2417" spans="1:4">
      <c r="A2417" s="226" t="s">
        <v>4044</v>
      </c>
      <c r="B2417" s="226">
        <v>523384</v>
      </c>
      <c r="C2417" s="226" t="s">
        <v>4045</v>
      </c>
      <c r="D2417" s="226" t="s">
        <v>503</v>
      </c>
    </row>
    <row r="2418" spans="1:4">
      <c r="A2418" s="226" t="s">
        <v>4046</v>
      </c>
      <c r="B2418" s="226">
        <v>519612</v>
      </c>
      <c r="C2418" s="226" t="s">
        <v>486</v>
      </c>
      <c r="D2418" s="226" t="s">
        <v>546</v>
      </c>
    </row>
    <row r="2419" spans="1:4">
      <c r="A2419" s="226" t="s">
        <v>4047</v>
      </c>
      <c r="B2419" s="226">
        <v>514450</v>
      </c>
      <c r="C2419" s="226" t="s">
        <v>486</v>
      </c>
      <c r="D2419" s="226" t="s">
        <v>1403</v>
      </c>
    </row>
    <row r="2420" spans="1:4">
      <c r="A2420" s="226" t="s">
        <v>4048</v>
      </c>
      <c r="B2420" s="226">
        <v>513460</v>
      </c>
      <c r="C2420" s="226" t="s">
        <v>486</v>
      </c>
      <c r="D2420" s="226" t="s">
        <v>808</v>
      </c>
    </row>
    <row r="2421" spans="1:4">
      <c r="A2421" s="226" t="s">
        <v>4049</v>
      </c>
      <c r="B2421" s="226">
        <v>513554</v>
      </c>
      <c r="C2421" s="226" t="s">
        <v>4050</v>
      </c>
      <c r="D2421" s="226" t="s">
        <v>808</v>
      </c>
    </row>
    <row r="2422" spans="1:4">
      <c r="A2422" s="226" t="s">
        <v>4051</v>
      </c>
      <c r="B2422" s="226">
        <v>531515</v>
      </c>
      <c r="C2422" s="226" t="s">
        <v>486</v>
      </c>
      <c r="D2422" s="226" t="s">
        <v>508</v>
      </c>
    </row>
    <row r="2423" spans="1:4">
      <c r="A2423" s="226" t="s">
        <v>4052</v>
      </c>
      <c r="B2423" s="226">
        <v>539957</v>
      </c>
      <c r="C2423" s="226" t="s">
        <v>4053</v>
      </c>
      <c r="D2423" s="226" t="s">
        <v>511</v>
      </c>
    </row>
    <row r="2424" spans="1:4">
      <c r="A2424" s="226" t="s">
        <v>4054</v>
      </c>
      <c r="B2424" s="226">
        <v>500108</v>
      </c>
      <c r="C2424" s="226" t="s">
        <v>4055</v>
      </c>
      <c r="D2424" s="226" t="s">
        <v>1427</v>
      </c>
    </row>
    <row r="2425" spans="1:4">
      <c r="A2425" s="226" t="s">
        <v>4056</v>
      </c>
      <c r="B2425" s="226">
        <v>530441</v>
      </c>
      <c r="C2425" s="226" t="s">
        <v>486</v>
      </c>
      <c r="D2425" s="226" t="s">
        <v>906</v>
      </c>
    </row>
    <row r="2426" spans="1:4">
      <c r="A2426" s="226" t="s">
        <v>4057</v>
      </c>
      <c r="B2426" s="226">
        <v>530441</v>
      </c>
      <c r="C2426" s="226" t="s">
        <v>486</v>
      </c>
      <c r="D2426" s="226" t="s">
        <v>906</v>
      </c>
    </row>
    <row r="2427" spans="1:4">
      <c r="A2427" s="226" t="s">
        <v>4058</v>
      </c>
      <c r="B2427" s="226">
        <v>505523</v>
      </c>
      <c r="C2427" s="226" t="s">
        <v>486</v>
      </c>
      <c r="D2427" s="226" t="s">
        <v>508</v>
      </c>
    </row>
    <row r="2428" spans="1:4">
      <c r="A2428" s="226" t="s">
        <v>4059</v>
      </c>
      <c r="B2428" s="226">
        <v>500266</v>
      </c>
      <c r="C2428" s="226" t="s">
        <v>4060</v>
      </c>
      <c r="D2428" s="226" t="s">
        <v>506</v>
      </c>
    </row>
    <row r="2429" spans="1:4">
      <c r="A2429" s="226" t="s">
        <v>4061</v>
      </c>
      <c r="B2429" s="226">
        <v>500265</v>
      </c>
      <c r="C2429" s="226" t="s">
        <v>4062</v>
      </c>
      <c r="D2429" s="226" t="s">
        <v>883</v>
      </c>
    </row>
    <row r="2430" spans="1:4">
      <c r="A2430" s="226" t="s">
        <v>4063</v>
      </c>
      <c r="B2430" s="226">
        <v>526795</v>
      </c>
      <c r="C2430" s="226" t="s">
        <v>486</v>
      </c>
      <c r="D2430" s="226" t="s">
        <v>558</v>
      </c>
    </row>
    <row r="2431" spans="1:4">
      <c r="A2431" s="226" t="s">
        <v>4064</v>
      </c>
      <c r="B2431" s="226">
        <v>512337</v>
      </c>
      <c r="C2431" s="226" t="s">
        <v>486</v>
      </c>
      <c r="D2431" s="226" t="s">
        <v>508</v>
      </c>
    </row>
    <row r="2432" spans="1:4">
      <c r="A2432" s="226" t="s">
        <v>4065</v>
      </c>
      <c r="B2432" s="226">
        <v>539383</v>
      </c>
      <c r="C2432" s="226" t="s">
        <v>486</v>
      </c>
      <c r="D2432" s="226" t="s">
        <v>473</v>
      </c>
    </row>
    <row r="2433" spans="1:4">
      <c r="A2433" s="226" t="s">
        <v>4066</v>
      </c>
      <c r="B2433" s="226">
        <v>531648</v>
      </c>
      <c r="C2433" s="226" t="s">
        <v>486</v>
      </c>
      <c r="D2433" s="226" t="s">
        <v>560</v>
      </c>
    </row>
    <row r="2434" spans="1:4">
      <c r="A2434" s="226" t="s">
        <v>4067</v>
      </c>
      <c r="B2434" s="226">
        <v>542677</v>
      </c>
      <c r="C2434" s="226" t="s">
        <v>4068</v>
      </c>
      <c r="D2434" s="226" t="s">
        <v>572</v>
      </c>
    </row>
    <row r="2435" spans="1:4">
      <c r="A2435" s="226" t="s">
        <v>4069</v>
      </c>
      <c r="B2435" s="226" t="s">
        <v>486</v>
      </c>
      <c r="C2435" s="226" t="s">
        <v>4070</v>
      </c>
      <c r="D2435" s="226" t="s">
        <v>497</v>
      </c>
    </row>
    <row r="2436" spans="1:4">
      <c r="A2436" s="226" t="s">
        <v>4071</v>
      </c>
      <c r="B2436" s="226" t="s">
        <v>486</v>
      </c>
      <c r="C2436" s="226" t="s">
        <v>4072</v>
      </c>
      <c r="D2436" s="226" t="s">
        <v>497</v>
      </c>
    </row>
    <row r="2437" spans="1:4">
      <c r="A2437" s="226" t="s">
        <v>4073</v>
      </c>
      <c r="B2437" s="226">
        <v>532720</v>
      </c>
      <c r="C2437" s="226" t="s">
        <v>4074</v>
      </c>
      <c r="D2437" s="226" t="s">
        <v>503</v>
      </c>
    </row>
    <row r="2438" spans="1:4">
      <c r="A2438" s="226" t="s">
        <v>4075</v>
      </c>
      <c r="B2438" s="226">
        <v>500520</v>
      </c>
      <c r="C2438" s="226" t="s">
        <v>4076</v>
      </c>
      <c r="D2438" s="226" t="s">
        <v>2412</v>
      </c>
    </row>
    <row r="2439" spans="1:4">
      <c r="A2439" s="226" t="s">
        <v>4077</v>
      </c>
      <c r="B2439" s="226">
        <v>532756</v>
      </c>
      <c r="C2439" s="226" t="s">
        <v>4078</v>
      </c>
      <c r="D2439" s="226" t="s">
        <v>1403</v>
      </c>
    </row>
    <row r="2440" spans="1:4">
      <c r="A2440" s="226" t="s">
        <v>4079</v>
      </c>
      <c r="B2440" s="226">
        <v>533088</v>
      </c>
      <c r="C2440" s="226" t="s">
        <v>4080</v>
      </c>
      <c r="D2440" s="226" t="s">
        <v>686</v>
      </c>
    </row>
    <row r="2441" spans="1:4">
      <c r="A2441" s="226" t="s">
        <v>4081</v>
      </c>
      <c r="B2441" s="226">
        <v>533088</v>
      </c>
      <c r="C2441" s="226" t="s">
        <v>4080</v>
      </c>
      <c r="D2441" s="226" t="s">
        <v>686</v>
      </c>
    </row>
    <row r="2442" spans="1:4">
      <c r="A2442" s="226" t="s">
        <v>4082</v>
      </c>
      <c r="B2442" s="226">
        <v>532313</v>
      </c>
      <c r="C2442" s="226" t="s">
        <v>4083</v>
      </c>
      <c r="D2442" s="226" t="s">
        <v>572</v>
      </c>
    </row>
    <row r="2443" spans="1:4">
      <c r="A2443" s="226" t="s">
        <v>4084</v>
      </c>
      <c r="B2443" s="226">
        <v>540768</v>
      </c>
      <c r="C2443" s="226" t="s">
        <v>4085</v>
      </c>
      <c r="D2443" s="226" t="s">
        <v>806</v>
      </c>
    </row>
    <row r="2444" spans="1:4">
      <c r="A2444" s="226" t="s">
        <v>4086</v>
      </c>
      <c r="B2444" s="226">
        <v>542503</v>
      </c>
      <c r="C2444" s="226" t="s">
        <v>4087</v>
      </c>
      <c r="D2444" s="226" t="s">
        <v>2460</v>
      </c>
    </row>
    <row r="2445" spans="1:4">
      <c r="A2445" s="226" t="s">
        <v>4088</v>
      </c>
      <c r="B2445" s="226">
        <v>590078</v>
      </c>
      <c r="C2445" s="226" t="s">
        <v>4089</v>
      </c>
      <c r="D2445" s="226" t="s">
        <v>518</v>
      </c>
    </row>
    <row r="2446" spans="1:4">
      <c r="A2446" s="226" t="s">
        <v>4090</v>
      </c>
      <c r="B2446" s="226">
        <v>513430</v>
      </c>
      <c r="C2446" s="226" t="s">
        <v>486</v>
      </c>
      <c r="D2446" s="226" t="s">
        <v>790</v>
      </c>
    </row>
    <row r="2447" spans="1:4">
      <c r="A2447" s="226" t="s">
        <v>4091</v>
      </c>
      <c r="B2447" s="226">
        <v>539289</v>
      </c>
      <c r="C2447" s="226" t="s">
        <v>4092</v>
      </c>
      <c r="D2447" s="226" t="s">
        <v>473</v>
      </c>
    </row>
    <row r="2448" spans="1:4">
      <c r="A2448" s="226" t="s">
        <v>4093</v>
      </c>
      <c r="B2448" s="226">
        <v>500267</v>
      </c>
      <c r="C2448" s="226" t="s">
        <v>486</v>
      </c>
      <c r="D2448" s="226" t="s">
        <v>1143</v>
      </c>
    </row>
    <row r="2449" spans="1:4">
      <c r="A2449" s="226" t="s">
        <v>4094</v>
      </c>
      <c r="B2449" s="226">
        <v>539229</v>
      </c>
      <c r="C2449" s="226" t="s">
        <v>486</v>
      </c>
      <c r="D2449" s="226" t="s">
        <v>346</v>
      </c>
    </row>
    <row r="2450" spans="1:4">
      <c r="A2450" s="226" t="s">
        <v>4095</v>
      </c>
      <c r="B2450" s="226">
        <v>506919</v>
      </c>
      <c r="C2450" s="226" t="s">
        <v>486</v>
      </c>
      <c r="D2450" s="226" t="s">
        <v>524</v>
      </c>
    </row>
    <row r="2451" spans="1:4">
      <c r="A2451" s="226" t="s">
        <v>4096</v>
      </c>
      <c r="B2451" s="226">
        <v>539400</v>
      </c>
      <c r="C2451" s="226" t="s">
        <v>486</v>
      </c>
      <c r="D2451" s="226" t="s">
        <v>599</v>
      </c>
    </row>
    <row r="2452" spans="1:4">
      <c r="A2452" s="226" t="s">
        <v>4097</v>
      </c>
      <c r="B2452" s="226">
        <v>539400</v>
      </c>
      <c r="C2452" s="226" t="s">
        <v>486</v>
      </c>
      <c r="D2452" s="226" t="s">
        <v>599</v>
      </c>
    </row>
    <row r="2453" spans="1:4">
      <c r="A2453" s="226" t="s">
        <v>4098</v>
      </c>
      <c r="B2453" s="226">
        <v>532728</v>
      </c>
      <c r="C2453" s="226" t="s">
        <v>4099</v>
      </c>
      <c r="D2453" s="226" t="s">
        <v>480</v>
      </c>
    </row>
    <row r="2454" spans="1:4">
      <c r="A2454" s="226" t="s">
        <v>4100</v>
      </c>
      <c r="B2454" s="226">
        <v>513269</v>
      </c>
      <c r="C2454" s="226" t="s">
        <v>4101</v>
      </c>
      <c r="D2454" s="226" t="s">
        <v>883</v>
      </c>
    </row>
    <row r="2455" spans="1:4">
      <c r="A2455" s="226" t="s">
        <v>4102</v>
      </c>
      <c r="B2455" s="226">
        <v>513269</v>
      </c>
      <c r="C2455" s="226" t="s">
        <v>4101</v>
      </c>
      <c r="D2455" s="226" t="s">
        <v>883</v>
      </c>
    </row>
    <row r="2456" spans="1:4">
      <c r="A2456" s="226" t="s">
        <v>4103</v>
      </c>
      <c r="B2456" s="226">
        <v>533169</v>
      </c>
      <c r="C2456" s="226" t="s">
        <v>4104</v>
      </c>
      <c r="D2456" s="226" t="s">
        <v>883</v>
      </c>
    </row>
    <row r="2457" spans="1:4">
      <c r="A2457" s="226" t="s">
        <v>4105</v>
      </c>
      <c r="B2457" s="226">
        <v>539045</v>
      </c>
      <c r="C2457" s="226" t="s">
        <v>4106</v>
      </c>
      <c r="D2457" s="226" t="s">
        <v>790</v>
      </c>
    </row>
    <row r="2458" spans="1:4">
      <c r="A2458" s="226" t="s">
        <v>4107</v>
      </c>
      <c r="B2458" s="226">
        <v>539046</v>
      </c>
      <c r="C2458" s="226" t="s">
        <v>4108</v>
      </c>
      <c r="D2458" s="226" t="s">
        <v>518</v>
      </c>
    </row>
    <row r="2459" spans="1:4">
      <c r="A2459" s="226" t="s">
        <v>4109</v>
      </c>
      <c r="B2459" s="226">
        <v>532932</v>
      </c>
      <c r="C2459" s="226" t="s">
        <v>4110</v>
      </c>
      <c r="D2459" s="226" t="s">
        <v>680</v>
      </c>
    </row>
    <row r="2460" spans="1:4">
      <c r="A2460" s="226" t="s">
        <v>4111</v>
      </c>
      <c r="B2460" s="226">
        <v>539044</v>
      </c>
      <c r="C2460" s="226" t="s">
        <v>4112</v>
      </c>
      <c r="D2460" s="226" t="s">
        <v>518</v>
      </c>
    </row>
    <row r="2461" spans="1:4">
      <c r="A2461" s="226" t="s">
        <v>4113</v>
      </c>
      <c r="B2461" s="226">
        <v>500268</v>
      </c>
      <c r="C2461" s="226" t="s">
        <v>4114</v>
      </c>
      <c r="D2461" s="226" t="s">
        <v>699</v>
      </c>
    </row>
    <row r="2462" spans="1:4">
      <c r="A2462" s="226" t="s">
        <v>4115</v>
      </c>
      <c r="B2462" s="226">
        <v>531213</v>
      </c>
      <c r="C2462" s="226" t="s">
        <v>4116</v>
      </c>
      <c r="D2462" s="226" t="s">
        <v>503</v>
      </c>
    </row>
    <row r="2463" spans="1:4">
      <c r="A2463" s="226" t="s">
        <v>4117</v>
      </c>
      <c r="B2463" s="226">
        <v>540402</v>
      </c>
      <c r="C2463" s="226" t="s">
        <v>486</v>
      </c>
      <c r="D2463" s="226" t="s">
        <v>572</v>
      </c>
    </row>
    <row r="2464" spans="1:4">
      <c r="A2464" s="226" t="s">
        <v>4118</v>
      </c>
      <c r="B2464" s="226" t="s">
        <v>486</v>
      </c>
      <c r="C2464" s="226" t="s">
        <v>4119</v>
      </c>
      <c r="D2464" s="226" t="s">
        <v>497</v>
      </c>
    </row>
    <row r="2465" spans="1:4">
      <c r="A2465" s="226" t="s">
        <v>4120</v>
      </c>
      <c r="B2465" s="226">
        <v>533204</v>
      </c>
      <c r="C2465" s="226" t="s">
        <v>4121</v>
      </c>
      <c r="D2465" s="226" t="s">
        <v>501</v>
      </c>
    </row>
    <row r="2466" spans="1:4">
      <c r="A2466" s="226" t="s">
        <v>4122</v>
      </c>
      <c r="B2466" s="226">
        <v>505850</v>
      </c>
      <c r="C2466" s="226" t="s">
        <v>4123</v>
      </c>
      <c r="D2466" s="226" t="s">
        <v>503</v>
      </c>
    </row>
    <row r="2467" spans="1:4">
      <c r="A2467" s="226" t="s">
        <v>4124</v>
      </c>
      <c r="B2467" s="226">
        <v>502157</v>
      </c>
      <c r="C2467" s="226" t="s">
        <v>4125</v>
      </c>
      <c r="D2467" s="226" t="s">
        <v>499</v>
      </c>
    </row>
    <row r="2468" spans="1:4">
      <c r="A2468" s="226" t="s">
        <v>4126</v>
      </c>
      <c r="B2468" s="226">
        <v>532637</v>
      </c>
      <c r="C2468" s="226" t="s">
        <v>4127</v>
      </c>
      <c r="D2468" s="226" t="s">
        <v>524</v>
      </c>
    </row>
    <row r="2469" spans="1:4">
      <c r="A2469" s="226" t="s">
        <v>4128</v>
      </c>
      <c r="B2469" s="226">
        <v>537800</v>
      </c>
      <c r="C2469" s="226" t="s">
        <v>486</v>
      </c>
      <c r="D2469" s="226" t="s">
        <v>503</v>
      </c>
    </row>
    <row r="2470" spans="1:4">
      <c r="A2470" s="226" t="s">
        <v>4129</v>
      </c>
      <c r="B2470" s="226">
        <v>514418</v>
      </c>
      <c r="C2470" s="226" t="s">
        <v>486</v>
      </c>
      <c r="D2470" s="226" t="s">
        <v>534</v>
      </c>
    </row>
    <row r="2471" spans="1:4">
      <c r="A2471" s="226" t="s">
        <v>4130</v>
      </c>
      <c r="B2471" s="226">
        <v>539275</v>
      </c>
      <c r="C2471" s="226" t="s">
        <v>486</v>
      </c>
      <c r="D2471" s="226" t="s">
        <v>683</v>
      </c>
    </row>
    <row r="2472" spans="1:4">
      <c r="A2472" s="226" t="s">
        <v>4131</v>
      </c>
      <c r="B2472" s="226">
        <v>516007</v>
      </c>
      <c r="C2472" s="226" t="s">
        <v>4132</v>
      </c>
      <c r="D2472" s="226" t="s">
        <v>980</v>
      </c>
    </row>
    <row r="2473" spans="1:4">
      <c r="A2473" s="226" t="s">
        <v>4133</v>
      </c>
      <c r="B2473" s="226">
        <v>530011</v>
      </c>
      <c r="C2473" s="226" t="s">
        <v>4134</v>
      </c>
      <c r="D2473" s="226" t="s">
        <v>993</v>
      </c>
    </row>
    <row r="2474" spans="1:4">
      <c r="A2474" s="226" t="s">
        <v>4135</v>
      </c>
      <c r="B2474" s="226">
        <v>500109</v>
      </c>
      <c r="C2474" s="226" t="s">
        <v>4136</v>
      </c>
      <c r="D2474" s="226" t="s">
        <v>1412</v>
      </c>
    </row>
    <row r="2475" spans="1:4">
      <c r="A2475" s="226" t="s">
        <v>4137</v>
      </c>
      <c r="B2475" s="226">
        <v>530243</v>
      </c>
      <c r="C2475" s="226" t="s">
        <v>486</v>
      </c>
      <c r="D2475" s="226" t="s">
        <v>579</v>
      </c>
    </row>
    <row r="2476" spans="1:4">
      <c r="A2476" s="226" t="s">
        <v>4138</v>
      </c>
      <c r="B2476" s="226">
        <v>507938</v>
      </c>
      <c r="C2476" s="226" t="s">
        <v>486</v>
      </c>
      <c r="D2476" s="226" t="s">
        <v>503</v>
      </c>
    </row>
    <row r="2477" spans="1:4">
      <c r="A2477" s="226" t="s">
        <v>4139</v>
      </c>
      <c r="B2477" s="226">
        <v>533078</v>
      </c>
      <c r="C2477" s="226" t="s">
        <v>486</v>
      </c>
      <c r="D2477" s="226" t="s">
        <v>572</v>
      </c>
    </row>
    <row r="2478" spans="1:4">
      <c r="A2478" s="226" t="s">
        <v>4140</v>
      </c>
      <c r="B2478" s="226">
        <v>540396</v>
      </c>
      <c r="C2478" s="226" t="s">
        <v>486</v>
      </c>
      <c r="D2478" s="226" t="s">
        <v>501</v>
      </c>
    </row>
    <row r="2479" spans="1:4">
      <c r="A2479" s="226" t="s">
        <v>4141</v>
      </c>
      <c r="B2479" s="226">
        <v>540396</v>
      </c>
      <c r="C2479" s="226" t="s">
        <v>486</v>
      </c>
      <c r="D2479" s="226" t="s">
        <v>501</v>
      </c>
    </row>
    <row r="2480" spans="1:4">
      <c r="A2480" s="226" t="s">
        <v>4142</v>
      </c>
      <c r="B2480" s="226">
        <v>541974</v>
      </c>
      <c r="C2480" s="226" t="s">
        <v>486</v>
      </c>
      <c r="D2480" s="226" t="s">
        <v>734</v>
      </c>
    </row>
    <row r="2481" spans="1:4">
      <c r="A2481" s="226" t="s">
        <v>4143</v>
      </c>
      <c r="B2481" s="226">
        <v>539207</v>
      </c>
      <c r="C2481" s="226" t="s">
        <v>4144</v>
      </c>
      <c r="D2481" s="226" t="s">
        <v>920</v>
      </c>
    </row>
    <row r="2482" spans="1:4">
      <c r="A2482" s="226" t="s">
        <v>4145</v>
      </c>
      <c r="B2482" s="226">
        <v>530537</v>
      </c>
      <c r="C2482" s="226" t="s">
        <v>486</v>
      </c>
      <c r="D2482" s="226" t="s">
        <v>544</v>
      </c>
    </row>
    <row r="2483" spans="1:4">
      <c r="A2483" s="226" t="s">
        <v>4146</v>
      </c>
      <c r="B2483" s="226">
        <v>511758</v>
      </c>
      <c r="C2483" s="226" t="s">
        <v>486</v>
      </c>
      <c r="D2483" s="226" t="s">
        <v>503</v>
      </c>
    </row>
    <row r="2484" spans="1:4">
      <c r="A2484" s="226" t="s">
        <v>4147</v>
      </c>
      <c r="B2484" s="226">
        <v>512303</v>
      </c>
      <c r="C2484" s="226" t="s">
        <v>486</v>
      </c>
      <c r="D2484" s="226" t="s">
        <v>906</v>
      </c>
    </row>
    <row r="2485" spans="1:4">
      <c r="A2485" s="226" t="s">
        <v>4148</v>
      </c>
      <c r="B2485" s="226">
        <v>505324</v>
      </c>
      <c r="C2485" s="226" t="s">
        <v>4149</v>
      </c>
      <c r="D2485" s="226" t="s">
        <v>494</v>
      </c>
    </row>
    <row r="2486" spans="1:4">
      <c r="A2486" s="226" t="s">
        <v>4150</v>
      </c>
      <c r="B2486" s="226">
        <v>505324</v>
      </c>
      <c r="C2486" s="226" t="s">
        <v>4149</v>
      </c>
      <c r="D2486" s="226" t="s">
        <v>494</v>
      </c>
    </row>
    <row r="2487" spans="1:4">
      <c r="A2487" s="226" t="s">
        <v>4151</v>
      </c>
      <c r="B2487" s="226">
        <v>538970</v>
      </c>
      <c r="C2487" s="226" t="s">
        <v>486</v>
      </c>
      <c r="D2487" s="226" t="s">
        <v>572</v>
      </c>
    </row>
    <row r="2488" spans="1:4">
      <c r="A2488" s="226" t="s">
        <v>4152</v>
      </c>
      <c r="B2488" s="226">
        <v>521018</v>
      </c>
      <c r="C2488" s="226" t="s">
        <v>4153</v>
      </c>
      <c r="D2488" s="226" t="s">
        <v>501</v>
      </c>
    </row>
    <row r="2489" spans="1:4">
      <c r="A2489" s="226" t="s">
        <v>4154</v>
      </c>
      <c r="B2489" s="226">
        <v>503101</v>
      </c>
      <c r="C2489" s="226" t="s">
        <v>4155</v>
      </c>
      <c r="D2489" s="226" t="s">
        <v>572</v>
      </c>
    </row>
    <row r="2490" spans="1:4">
      <c r="A2490" s="226" t="s">
        <v>4156</v>
      </c>
      <c r="B2490" s="226">
        <v>502250</v>
      </c>
      <c r="C2490" s="226" t="s">
        <v>486</v>
      </c>
      <c r="D2490" s="226" t="s">
        <v>1013</v>
      </c>
    </row>
    <row r="2491" spans="1:4">
      <c r="A2491" s="226" t="s">
        <v>4157</v>
      </c>
      <c r="B2491" s="226">
        <v>513544</v>
      </c>
      <c r="C2491" s="226" t="s">
        <v>486</v>
      </c>
      <c r="D2491" s="226" t="s">
        <v>560</v>
      </c>
    </row>
    <row r="2492" spans="1:4">
      <c r="A2492" s="226" t="s">
        <v>4158</v>
      </c>
      <c r="B2492" s="226">
        <v>530543</v>
      </c>
      <c r="C2492" s="226" t="s">
        <v>486</v>
      </c>
      <c r="D2492" s="226" t="s">
        <v>572</v>
      </c>
    </row>
    <row r="2493" spans="1:4">
      <c r="A2493" s="226" t="s">
        <v>4159</v>
      </c>
      <c r="B2493" s="226">
        <v>540254</v>
      </c>
      <c r="C2493" s="226" t="s">
        <v>486</v>
      </c>
      <c r="D2493" s="226" t="s">
        <v>503</v>
      </c>
    </row>
    <row r="2494" spans="1:4">
      <c r="A2494" s="226" t="s">
        <v>4160</v>
      </c>
      <c r="B2494" s="226">
        <v>500206</v>
      </c>
      <c r="C2494" s="226" t="s">
        <v>486</v>
      </c>
      <c r="D2494" s="226" t="s">
        <v>503</v>
      </c>
    </row>
    <row r="2495" spans="1:4">
      <c r="A2495" s="226" t="s">
        <v>4161</v>
      </c>
      <c r="B2495" s="226">
        <v>531642</v>
      </c>
      <c r="C2495" s="226" t="s">
        <v>4162</v>
      </c>
      <c r="D2495" s="226" t="s">
        <v>667</v>
      </c>
    </row>
    <row r="2496" spans="1:4">
      <c r="A2496" s="226" t="s">
        <v>4163</v>
      </c>
      <c r="B2496" s="226" t="s">
        <v>486</v>
      </c>
      <c r="C2496" s="226" t="s">
        <v>4164</v>
      </c>
      <c r="D2496" s="226" t="s">
        <v>497</v>
      </c>
    </row>
    <row r="2497" spans="1:4">
      <c r="A2497" s="226" t="s">
        <v>4165</v>
      </c>
      <c r="B2497" s="226" t="s">
        <v>486</v>
      </c>
      <c r="C2497" s="226" t="s">
        <v>4164</v>
      </c>
      <c r="D2497" s="226" t="s">
        <v>497</v>
      </c>
    </row>
    <row r="2498" spans="1:4">
      <c r="A2498" s="226" t="s">
        <v>4166</v>
      </c>
      <c r="B2498" s="226">
        <v>531503</v>
      </c>
      <c r="C2498" s="226" t="s">
        <v>486</v>
      </c>
      <c r="D2498" s="226" t="s">
        <v>501</v>
      </c>
    </row>
    <row r="2499" spans="1:4">
      <c r="A2499" s="226" t="s">
        <v>4167</v>
      </c>
      <c r="B2499" s="226">
        <v>526891</v>
      </c>
      <c r="C2499" s="226" t="s">
        <v>486</v>
      </c>
      <c r="D2499" s="226" t="s">
        <v>470</v>
      </c>
    </row>
    <row r="2500" spans="1:4">
      <c r="A2500" s="226" t="s">
        <v>4168</v>
      </c>
      <c r="B2500" s="226">
        <v>524404</v>
      </c>
      <c r="C2500" s="226" t="s">
        <v>4169</v>
      </c>
      <c r="D2500" s="226" t="s">
        <v>524</v>
      </c>
    </row>
    <row r="2501" spans="1:4">
      <c r="A2501" s="226" t="s">
        <v>4170</v>
      </c>
      <c r="B2501" s="226" t="s">
        <v>486</v>
      </c>
      <c r="C2501" s="226" t="s">
        <v>4171</v>
      </c>
      <c r="D2501" s="226" t="s">
        <v>497</v>
      </c>
    </row>
    <row r="2502" spans="1:4">
      <c r="A2502" s="226" t="s">
        <v>4172</v>
      </c>
      <c r="B2502" s="226">
        <v>517467</v>
      </c>
      <c r="C2502" s="226" t="s">
        <v>486</v>
      </c>
      <c r="D2502" s="226" t="s">
        <v>783</v>
      </c>
    </row>
    <row r="2503" spans="1:4">
      <c r="A2503" s="226" t="s">
        <v>4173</v>
      </c>
      <c r="B2503" s="226">
        <v>523566</v>
      </c>
      <c r="C2503" s="226" t="s">
        <v>486</v>
      </c>
      <c r="D2503" s="226" t="s">
        <v>572</v>
      </c>
    </row>
    <row r="2504" spans="1:4">
      <c r="A2504" s="226" t="s">
        <v>4174</v>
      </c>
      <c r="B2504" s="226">
        <v>531540</v>
      </c>
      <c r="C2504" s="226" t="s">
        <v>486</v>
      </c>
      <c r="D2504" s="226" t="s">
        <v>883</v>
      </c>
    </row>
    <row r="2505" spans="1:4">
      <c r="A2505" s="226" t="s">
        <v>4175</v>
      </c>
      <c r="B2505" s="226">
        <v>531319</v>
      </c>
      <c r="C2505" s="226" t="s">
        <v>486</v>
      </c>
      <c r="D2505" s="226" t="s">
        <v>503</v>
      </c>
    </row>
    <row r="2506" spans="1:4">
      <c r="A2506" s="226" t="s">
        <v>4176</v>
      </c>
      <c r="B2506" s="226">
        <v>532500</v>
      </c>
      <c r="C2506" s="226" t="s">
        <v>4177</v>
      </c>
      <c r="D2506" s="226" t="s">
        <v>2412</v>
      </c>
    </row>
    <row r="2507" spans="1:4">
      <c r="A2507" s="226" t="s">
        <v>4178</v>
      </c>
      <c r="B2507" s="226">
        <v>532500</v>
      </c>
      <c r="C2507" s="226" t="s">
        <v>4177</v>
      </c>
      <c r="D2507" s="226" t="s">
        <v>2412</v>
      </c>
    </row>
    <row r="2508" spans="1:4">
      <c r="A2508" s="226" t="s">
        <v>4179</v>
      </c>
      <c r="B2508" s="226" t="s">
        <v>486</v>
      </c>
      <c r="C2508" s="226" t="s">
        <v>4180</v>
      </c>
      <c r="D2508" s="226" t="s">
        <v>497</v>
      </c>
    </row>
    <row r="2509" spans="1:4">
      <c r="A2509" s="226" t="s">
        <v>4181</v>
      </c>
      <c r="B2509" s="226">
        <v>540749</v>
      </c>
      <c r="C2509" s="226" t="s">
        <v>4182</v>
      </c>
      <c r="D2509" s="226" t="s">
        <v>503</v>
      </c>
    </row>
    <row r="2510" spans="1:4">
      <c r="A2510" s="226" t="s">
        <v>4183</v>
      </c>
      <c r="B2510" s="226" t="s">
        <v>486</v>
      </c>
      <c r="C2510" s="226" t="s">
        <v>4184</v>
      </c>
      <c r="D2510" s="226" t="s">
        <v>577</v>
      </c>
    </row>
    <row r="2511" spans="1:4">
      <c r="A2511" s="226" t="s">
        <v>4185</v>
      </c>
      <c r="B2511" s="226">
        <v>523704</v>
      </c>
      <c r="C2511" s="226" t="s">
        <v>4186</v>
      </c>
      <c r="D2511" s="226" t="s">
        <v>579</v>
      </c>
    </row>
    <row r="2512" spans="1:4">
      <c r="A2512" s="226" t="s">
        <v>4187</v>
      </c>
      <c r="B2512" s="226">
        <v>506867</v>
      </c>
      <c r="C2512" s="226" t="s">
        <v>486</v>
      </c>
      <c r="D2512" s="226" t="s">
        <v>501</v>
      </c>
    </row>
    <row r="2513" spans="1:4">
      <c r="A2513" s="226" t="s">
        <v>4188</v>
      </c>
      <c r="B2513" s="226">
        <v>511768</v>
      </c>
      <c r="C2513" s="226" t="s">
        <v>486</v>
      </c>
      <c r="D2513" s="226" t="s">
        <v>503</v>
      </c>
    </row>
    <row r="2514" spans="1:4">
      <c r="A2514" s="226" t="s">
        <v>4189</v>
      </c>
      <c r="B2514" s="226">
        <v>511688</v>
      </c>
      <c r="C2514" s="226" t="s">
        <v>486</v>
      </c>
      <c r="D2514" s="226" t="s">
        <v>503</v>
      </c>
    </row>
    <row r="2515" spans="1:4">
      <c r="A2515" s="226" t="s">
        <v>4190</v>
      </c>
      <c r="B2515" s="226">
        <v>540704</v>
      </c>
      <c r="C2515" s="226" t="s">
        <v>4191</v>
      </c>
      <c r="D2515" s="226" t="s">
        <v>492</v>
      </c>
    </row>
    <row r="2516" spans="1:4">
      <c r="A2516" s="226" t="s">
        <v>4192</v>
      </c>
      <c r="B2516" s="226">
        <v>539219</v>
      </c>
      <c r="C2516" s="226" t="s">
        <v>486</v>
      </c>
      <c r="D2516" s="226" t="s">
        <v>1403</v>
      </c>
    </row>
    <row r="2517" spans="1:4">
      <c r="A2517" s="226" t="s">
        <v>4193</v>
      </c>
      <c r="B2517" s="226">
        <v>500248</v>
      </c>
      <c r="C2517" s="226" t="s">
        <v>486</v>
      </c>
      <c r="D2517" s="226" t="s">
        <v>605</v>
      </c>
    </row>
    <row r="2518" spans="1:4">
      <c r="A2518" s="226" t="s">
        <v>4194</v>
      </c>
      <c r="B2518" s="226">
        <v>523371</v>
      </c>
      <c r="C2518" s="226" t="s">
        <v>4195</v>
      </c>
      <c r="D2518" s="226" t="s">
        <v>1184</v>
      </c>
    </row>
    <row r="2519" spans="1:4">
      <c r="A2519" s="226" t="s">
        <v>4196</v>
      </c>
      <c r="B2519" s="226">
        <v>539981</v>
      </c>
      <c r="C2519" s="226" t="s">
        <v>4197</v>
      </c>
      <c r="D2519" s="226" t="s">
        <v>651</v>
      </c>
    </row>
    <row r="2520" spans="1:4">
      <c r="A2520" s="226" t="s">
        <v>4198</v>
      </c>
      <c r="B2520" s="226">
        <v>534563</v>
      </c>
      <c r="C2520" s="226" t="s">
        <v>4199</v>
      </c>
      <c r="D2520" s="226" t="s">
        <v>494</v>
      </c>
    </row>
    <row r="2521" spans="1:4">
      <c r="A2521" s="226" t="s">
        <v>4200</v>
      </c>
      <c r="B2521" s="226">
        <v>500271</v>
      </c>
      <c r="C2521" s="226" t="s">
        <v>4201</v>
      </c>
      <c r="D2521" s="226" t="s">
        <v>2895</v>
      </c>
    </row>
    <row r="2522" spans="1:4">
      <c r="A2522" s="226" t="s">
        <v>4202</v>
      </c>
      <c r="B2522" s="226">
        <v>539981</v>
      </c>
      <c r="C2522" s="226" t="s">
        <v>4203</v>
      </c>
      <c r="D2522" s="226" t="s">
        <v>651</v>
      </c>
    </row>
    <row r="2523" spans="1:4">
      <c r="A2523" s="226" t="s">
        <v>4204</v>
      </c>
      <c r="B2523" s="226">
        <v>539940</v>
      </c>
      <c r="C2523" s="226" t="s">
        <v>4205</v>
      </c>
      <c r="D2523" s="226" t="s">
        <v>651</v>
      </c>
    </row>
    <row r="2524" spans="1:4">
      <c r="A2524" s="226" t="s">
        <v>4206</v>
      </c>
      <c r="B2524" s="226">
        <v>534338</v>
      </c>
      <c r="C2524" s="226" t="s">
        <v>486</v>
      </c>
      <c r="D2524" s="226" t="s">
        <v>572</v>
      </c>
    </row>
    <row r="2525" spans="1:4">
      <c r="A2525" s="226" t="s">
        <v>4207</v>
      </c>
      <c r="B2525" s="226">
        <v>526538</v>
      </c>
      <c r="C2525" s="226" t="s">
        <v>486</v>
      </c>
      <c r="D2525" s="226" t="s">
        <v>524</v>
      </c>
    </row>
    <row r="2526" spans="1:4">
      <c r="A2526" s="226" t="s">
        <v>4208</v>
      </c>
      <c r="B2526" s="226">
        <v>540401</v>
      </c>
      <c r="C2526" s="226" t="s">
        <v>486</v>
      </c>
      <c r="D2526" s="226" t="s">
        <v>508</v>
      </c>
    </row>
    <row r="2527" spans="1:4">
      <c r="A2527" s="226" t="s">
        <v>4209</v>
      </c>
      <c r="B2527" s="226">
        <v>539519</v>
      </c>
      <c r="C2527" s="226" t="s">
        <v>486</v>
      </c>
      <c r="D2527" s="226" t="s">
        <v>520</v>
      </c>
    </row>
    <row r="2528" spans="1:4">
      <c r="A2528" s="226" t="s">
        <v>4210</v>
      </c>
      <c r="B2528" s="226">
        <v>531221</v>
      </c>
      <c r="C2528" s="226" t="s">
        <v>486</v>
      </c>
      <c r="D2528" s="226" t="s">
        <v>1013</v>
      </c>
    </row>
    <row r="2529" spans="1:4">
      <c r="A2529" s="226" t="s">
        <v>4211</v>
      </c>
      <c r="B2529" s="226">
        <v>531680</v>
      </c>
      <c r="C2529" s="226" t="s">
        <v>486</v>
      </c>
      <c r="D2529" s="226" t="s">
        <v>599</v>
      </c>
    </row>
    <row r="2530" spans="1:4">
      <c r="A2530" s="226" t="s">
        <v>4212</v>
      </c>
      <c r="B2530" s="226">
        <v>522249</v>
      </c>
      <c r="C2530" s="226" t="s">
        <v>4213</v>
      </c>
      <c r="D2530" s="226" t="s">
        <v>501</v>
      </c>
    </row>
    <row r="2531" spans="1:4">
      <c r="A2531" s="226" t="s">
        <v>4214</v>
      </c>
      <c r="B2531" s="226">
        <v>523792</v>
      </c>
      <c r="C2531" s="226" t="s">
        <v>4215</v>
      </c>
      <c r="D2531" s="226" t="s">
        <v>494</v>
      </c>
    </row>
    <row r="2532" spans="1:4">
      <c r="A2532" s="226" t="s">
        <v>4216</v>
      </c>
      <c r="B2532" s="226">
        <v>533152</v>
      </c>
      <c r="C2532" s="226" t="s">
        <v>4217</v>
      </c>
      <c r="D2532" s="226" t="s">
        <v>883</v>
      </c>
    </row>
    <row r="2533" spans="1:4">
      <c r="A2533" s="226" t="s">
        <v>4218</v>
      </c>
      <c r="B2533" s="226">
        <v>532852</v>
      </c>
      <c r="C2533" s="226" t="s">
        <v>4219</v>
      </c>
      <c r="D2533" s="226" t="s">
        <v>506</v>
      </c>
    </row>
    <row r="2534" spans="1:4">
      <c r="A2534" s="226" t="s">
        <v>4220</v>
      </c>
      <c r="B2534" s="226">
        <v>532654</v>
      </c>
      <c r="C2534" s="226" t="s">
        <v>4221</v>
      </c>
      <c r="D2534" s="226" t="s">
        <v>892</v>
      </c>
    </row>
    <row r="2535" spans="1:4">
      <c r="A2535" s="226" t="s">
        <v>4222</v>
      </c>
      <c r="B2535" s="226">
        <v>532654</v>
      </c>
      <c r="C2535" s="226" t="s">
        <v>4221</v>
      </c>
      <c r="D2535" s="226" t="s">
        <v>892</v>
      </c>
    </row>
    <row r="2536" spans="1:4">
      <c r="A2536" s="226" t="s">
        <v>4223</v>
      </c>
      <c r="B2536" s="226">
        <v>532629</v>
      </c>
      <c r="C2536" s="226" t="s">
        <v>4224</v>
      </c>
      <c r="D2536" s="226" t="s">
        <v>883</v>
      </c>
    </row>
    <row r="2537" spans="1:4">
      <c r="A2537" s="226" t="s">
        <v>4225</v>
      </c>
      <c r="B2537" s="226">
        <v>512267</v>
      </c>
      <c r="C2537" s="226" t="s">
        <v>486</v>
      </c>
      <c r="D2537" s="226" t="s">
        <v>489</v>
      </c>
    </row>
    <row r="2538" spans="1:4">
      <c r="A2538" s="226" t="s">
        <v>4226</v>
      </c>
      <c r="B2538" s="226">
        <v>531146</v>
      </c>
      <c r="C2538" s="226" t="s">
        <v>486</v>
      </c>
      <c r="D2538" s="226" t="s">
        <v>524</v>
      </c>
    </row>
    <row r="2539" spans="1:4">
      <c r="A2539" s="226" t="s">
        <v>4227</v>
      </c>
      <c r="B2539" s="226">
        <v>523144</v>
      </c>
      <c r="C2539" s="226" t="s">
        <v>486</v>
      </c>
      <c r="D2539" s="226" t="s">
        <v>524</v>
      </c>
    </row>
    <row r="2540" spans="1:4">
      <c r="A2540" s="226" t="s">
        <v>4228</v>
      </c>
      <c r="B2540" s="226">
        <v>539938</v>
      </c>
      <c r="C2540" s="226" t="s">
        <v>4229</v>
      </c>
      <c r="D2540" s="226" t="s">
        <v>470</v>
      </c>
    </row>
    <row r="2541" spans="1:4">
      <c r="A2541" s="226" t="s">
        <v>4230</v>
      </c>
      <c r="B2541" s="226">
        <v>540937</v>
      </c>
      <c r="C2541" s="226" t="s">
        <v>486</v>
      </c>
      <c r="D2541" s="226" t="s">
        <v>524</v>
      </c>
    </row>
    <row r="2542" spans="1:4">
      <c r="A2542" s="226" t="s">
        <v>4231</v>
      </c>
      <c r="B2542" s="226">
        <v>526301</v>
      </c>
      <c r="C2542" s="226" t="s">
        <v>486</v>
      </c>
      <c r="D2542" s="226" t="s">
        <v>674</v>
      </c>
    </row>
    <row r="2543" spans="1:4">
      <c r="A2543" s="226" t="s">
        <v>4232</v>
      </c>
      <c r="B2543" s="226">
        <v>538834</v>
      </c>
      <c r="C2543" s="226" t="s">
        <v>486</v>
      </c>
      <c r="D2543" s="226" t="s">
        <v>503</v>
      </c>
    </row>
    <row r="2544" spans="1:4">
      <c r="A2544" s="226" t="s">
        <v>4233</v>
      </c>
      <c r="B2544" s="226">
        <v>512505</v>
      </c>
      <c r="C2544" s="226" t="s">
        <v>486</v>
      </c>
      <c r="D2544" s="226" t="s">
        <v>808</v>
      </c>
    </row>
    <row r="2545" spans="1:4">
      <c r="A2545" s="226" t="s">
        <v>4234</v>
      </c>
      <c r="B2545" s="226">
        <v>540519</v>
      </c>
      <c r="C2545" s="226" t="s">
        <v>486</v>
      </c>
      <c r="D2545" s="226" t="s">
        <v>494</v>
      </c>
    </row>
    <row r="2546" spans="1:4">
      <c r="A2546" s="226" t="s">
        <v>4235</v>
      </c>
      <c r="B2546" s="226">
        <v>511276</v>
      </c>
      <c r="C2546" s="226" t="s">
        <v>486</v>
      </c>
      <c r="D2546" s="226" t="s">
        <v>683</v>
      </c>
    </row>
    <row r="2547" spans="1:4">
      <c r="A2547" s="226" t="s">
        <v>4236</v>
      </c>
      <c r="B2547" s="226">
        <v>531176</v>
      </c>
      <c r="C2547" s="226" t="s">
        <v>486</v>
      </c>
      <c r="D2547" s="226" t="s">
        <v>503</v>
      </c>
    </row>
    <row r="2548" spans="1:4">
      <c r="A2548" s="226" t="s">
        <v>4237</v>
      </c>
      <c r="B2548" s="226">
        <v>531417</v>
      </c>
      <c r="C2548" s="226" t="s">
        <v>486</v>
      </c>
      <c r="D2548" s="226" t="s">
        <v>503</v>
      </c>
    </row>
    <row r="2549" spans="1:4">
      <c r="A2549" s="226" t="s">
        <v>4238</v>
      </c>
      <c r="B2549" s="226">
        <v>532105</v>
      </c>
      <c r="C2549" s="226" t="s">
        <v>486</v>
      </c>
      <c r="D2549" s="226" t="s">
        <v>906</v>
      </c>
    </row>
    <row r="2550" spans="1:4">
      <c r="A2550" s="226" t="s">
        <v>4239</v>
      </c>
      <c r="B2550" s="226">
        <v>532105</v>
      </c>
      <c r="C2550" s="226" t="s">
        <v>486</v>
      </c>
      <c r="D2550" s="226" t="s">
        <v>906</v>
      </c>
    </row>
    <row r="2551" spans="1:4">
      <c r="A2551" s="226" t="s">
        <v>4240</v>
      </c>
      <c r="B2551" s="226">
        <v>539767</v>
      </c>
      <c r="C2551" s="226" t="s">
        <v>486</v>
      </c>
      <c r="D2551" s="226" t="s">
        <v>572</v>
      </c>
    </row>
    <row r="2552" spans="1:4">
      <c r="A2552" s="226" t="s">
        <v>4241</v>
      </c>
      <c r="B2552" s="226">
        <v>532408</v>
      </c>
      <c r="C2552" s="226" t="s">
        <v>4242</v>
      </c>
      <c r="D2552" s="226" t="s">
        <v>579</v>
      </c>
    </row>
    <row r="2553" spans="1:4">
      <c r="A2553" s="226" t="s">
        <v>4243</v>
      </c>
      <c r="B2553" s="226">
        <v>541352</v>
      </c>
      <c r="C2553" s="226" t="s">
        <v>486</v>
      </c>
      <c r="D2553" s="226" t="s">
        <v>566</v>
      </c>
    </row>
    <row r="2554" spans="1:4">
      <c r="A2554" s="226" t="s">
        <v>4244</v>
      </c>
      <c r="B2554" s="226">
        <v>532865</v>
      </c>
      <c r="C2554" s="226" t="s">
        <v>4245</v>
      </c>
      <c r="D2554" s="226" t="s">
        <v>645</v>
      </c>
    </row>
    <row r="2555" spans="1:4">
      <c r="A2555" s="226" t="s">
        <v>4246</v>
      </c>
      <c r="B2555" s="226">
        <v>511367</v>
      </c>
      <c r="C2555" s="226" t="s">
        <v>486</v>
      </c>
      <c r="D2555" s="226" t="s">
        <v>503</v>
      </c>
    </row>
    <row r="2556" spans="1:4">
      <c r="A2556" s="226" t="s">
        <v>4247</v>
      </c>
      <c r="B2556" s="226">
        <v>511367</v>
      </c>
      <c r="C2556" s="226" t="s">
        <v>486</v>
      </c>
      <c r="D2556" s="226" t="s">
        <v>503</v>
      </c>
    </row>
    <row r="2557" spans="1:4">
      <c r="A2557" s="226" t="s">
        <v>4248</v>
      </c>
      <c r="B2557" s="226">
        <v>539012</v>
      </c>
      <c r="C2557" s="226" t="s">
        <v>486</v>
      </c>
      <c r="D2557" s="226" t="s">
        <v>492</v>
      </c>
    </row>
    <row r="2558" spans="1:4">
      <c r="A2558" s="226" t="s">
        <v>4249</v>
      </c>
      <c r="B2558" s="226">
        <v>540730</v>
      </c>
      <c r="C2558" s="226" t="s">
        <v>486</v>
      </c>
      <c r="D2558" s="226" t="s">
        <v>508</v>
      </c>
    </row>
    <row r="2559" spans="1:4">
      <c r="A2559" s="226" t="s">
        <v>4250</v>
      </c>
      <c r="B2559" s="226">
        <v>511740</v>
      </c>
      <c r="C2559" s="226" t="s">
        <v>486</v>
      </c>
      <c r="D2559" s="226" t="s">
        <v>544</v>
      </c>
    </row>
    <row r="2560" spans="1:4">
      <c r="A2560" s="226" t="s">
        <v>4251</v>
      </c>
      <c r="B2560" s="226">
        <v>511377</v>
      </c>
      <c r="C2560" s="226" t="s">
        <v>486</v>
      </c>
      <c r="D2560" s="226" t="s">
        <v>503</v>
      </c>
    </row>
    <row r="2561" spans="1:4">
      <c r="A2561" s="226" t="s">
        <v>4252</v>
      </c>
      <c r="B2561" s="226">
        <v>511738</v>
      </c>
      <c r="C2561" s="226" t="s">
        <v>486</v>
      </c>
      <c r="D2561" s="226" t="s">
        <v>470</v>
      </c>
    </row>
    <row r="2562" spans="1:4">
      <c r="A2562" s="226" t="s">
        <v>4253</v>
      </c>
      <c r="B2562" s="226">
        <v>532307</v>
      </c>
      <c r="C2562" s="226" t="s">
        <v>4254</v>
      </c>
      <c r="D2562" s="226" t="s">
        <v>579</v>
      </c>
    </row>
    <row r="2563" spans="1:4">
      <c r="A2563" s="226" t="s">
        <v>4255</v>
      </c>
      <c r="B2563" s="226">
        <v>531127</v>
      </c>
      <c r="C2563" s="226" t="s">
        <v>486</v>
      </c>
      <c r="D2563" s="226" t="s">
        <v>503</v>
      </c>
    </row>
    <row r="2564" spans="1:4">
      <c r="A2564" s="226" t="s">
        <v>4256</v>
      </c>
      <c r="B2564" s="226">
        <v>523828</v>
      </c>
      <c r="C2564" s="226" t="s">
        <v>4257</v>
      </c>
      <c r="D2564" s="226" t="s">
        <v>840</v>
      </c>
    </row>
    <row r="2565" spans="1:4">
      <c r="A2565" s="226" t="s">
        <v>4258</v>
      </c>
      <c r="B2565" s="226">
        <v>531727</v>
      </c>
      <c r="C2565" s="226" t="s">
        <v>486</v>
      </c>
      <c r="D2565" s="226" t="s">
        <v>840</v>
      </c>
    </row>
    <row r="2566" spans="1:4">
      <c r="A2566" s="226" t="s">
        <v>4259</v>
      </c>
      <c r="B2566" s="226">
        <v>539126</v>
      </c>
      <c r="C2566" s="226" t="s">
        <v>4260</v>
      </c>
      <c r="D2566" s="226" t="s">
        <v>1080</v>
      </c>
    </row>
    <row r="2567" spans="1:4">
      <c r="A2567" s="226" t="s">
        <v>4261</v>
      </c>
      <c r="B2567" s="226">
        <v>538942</v>
      </c>
      <c r="C2567" s="226" t="s">
        <v>486</v>
      </c>
      <c r="D2567" s="226" t="s">
        <v>906</v>
      </c>
    </row>
    <row r="2568" spans="1:4">
      <c r="A2568" s="226" t="s">
        <v>4262</v>
      </c>
      <c r="B2568" s="226">
        <v>526235</v>
      </c>
      <c r="C2568" s="226" t="s">
        <v>4263</v>
      </c>
      <c r="D2568" s="226" t="s">
        <v>346</v>
      </c>
    </row>
    <row r="2569" spans="1:4">
      <c r="A2569" s="226" t="s">
        <v>4264</v>
      </c>
      <c r="B2569" s="226">
        <v>500126</v>
      </c>
      <c r="C2569" s="226" t="s">
        <v>4265</v>
      </c>
      <c r="D2569" s="226" t="s">
        <v>524</v>
      </c>
    </row>
    <row r="2570" spans="1:4">
      <c r="A2570" s="226" t="s">
        <v>4266</v>
      </c>
      <c r="B2570" s="226">
        <v>538964</v>
      </c>
      <c r="C2570" s="226" t="s">
        <v>486</v>
      </c>
      <c r="D2570" s="226" t="s">
        <v>524</v>
      </c>
    </row>
    <row r="2571" spans="1:4">
      <c r="A2571" s="226" t="s">
        <v>4267</v>
      </c>
      <c r="B2571" s="226">
        <v>531357</v>
      </c>
      <c r="C2571" s="226" t="s">
        <v>486</v>
      </c>
      <c r="D2571" s="226" t="s">
        <v>508</v>
      </c>
    </row>
    <row r="2572" spans="1:4">
      <c r="A2572" s="226" t="s">
        <v>4268</v>
      </c>
      <c r="B2572" s="226">
        <v>512415</v>
      </c>
      <c r="C2572" s="226" t="s">
        <v>486</v>
      </c>
      <c r="D2572" s="226" t="s">
        <v>906</v>
      </c>
    </row>
    <row r="2573" spans="1:4">
      <c r="A2573" s="226" t="s">
        <v>4269</v>
      </c>
      <c r="B2573" s="226">
        <v>500274</v>
      </c>
      <c r="C2573" s="226" t="s">
        <v>486</v>
      </c>
      <c r="D2573" s="226" t="s">
        <v>524</v>
      </c>
    </row>
    <row r="2574" spans="1:4">
      <c r="A2574" s="226" t="s">
        <v>4270</v>
      </c>
      <c r="B2574" s="226">
        <v>531810</v>
      </c>
      <c r="C2574" s="226" t="s">
        <v>486</v>
      </c>
      <c r="D2574" s="226" t="s">
        <v>808</v>
      </c>
    </row>
    <row r="2575" spans="1:4">
      <c r="A2575" s="226" t="s">
        <v>4271</v>
      </c>
      <c r="B2575" s="226">
        <v>531810</v>
      </c>
      <c r="C2575" s="226" t="s">
        <v>486</v>
      </c>
      <c r="D2575" s="226" t="s">
        <v>808</v>
      </c>
    </row>
    <row r="2576" spans="1:4">
      <c r="A2576" s="226" t="s">
        <v>4272</v>
      </c>
      <c r="B2576" s="226">
        <v>513335</v>
      </c>
      <c r="C2576" s="226" t="s">
        <v>4273</v>
      </c>
      <c r="D2576" s="226" t="s">
        <v>1403</v>
      </c>
    </row>
    <row r="2577" spans="1:4">
      <c r="A2577" s="226" t="s">
        <v>4274</v>
      </c>
      <c r="B2577" s="226">
        <v>532990</v>
      </c>
      <c r="C2577" s="226" t="s">
        <v>4275</v>
      </c>
      <c r="D2577" s="226" t="s">
        <v>518</v>
      </c>
    </row>
    <row r="2578" spans="1:4">
      <c r="A2578" s="226" t="s">
        <v>4276</v>
      </c>
      <c r="B2578" s="226">
        <v>500159</v>
      </c>
      <c r="C2578" s="226" t="s">
        <v>486</v>
      </c>
      <c r="D2578" s="226" t="s">
        <v>480</v>
      </c>
    </row>
    <row r="2579" spans="1:4">
      <c r="A2579" s="226" t="s">
        <v>4277</v>
      </c>
      <c r="B2579" s="226">
        <v>542650</v>
      </c>
      <c r="C2579" s="226" t="s">
        <v>4278</v>
      </c>
      <c r="D2579" s="226" t="s">
        <v>674</v>
      </c>
    </row>
    <row r="2580" spans="1:4">
      <c r="A2580" s="226" t="s">
        <v>4279</v>
      </c>
      <c r="B2580" s="226">
        <v>540150</v>
      </c>
      <c r="C2580" s="226" t="s">
        <v>486</v>
      </c>
      <c r="D2580" s="226" t="s">
        <v>883</v>
      </c>
    </row>
    <row r="2581" spans="1:4">
      <c r="A2581" s="226" t="s">
        <v>4280</v>
      </c>
      <c r="B2581" s="226">
        <v>513496</v>
      </c>
      <c r="C2581" s="226" t="s">
        <v>486</v>
      </c>
      <c r="D2581" s="226" t="s">
        <v>2998</v>
      </c>
    </row>
    <row r="2582" spans="1:4">
      <c r="A2582" s="226" t="s">
        <v>4281</v>
      </c>
      <c r="B2582" s="226">
        <v>531613</v>
      </c>
      <c r="C2582" s="226" t="s">
        <v>4282</v>
      </c>
      <c r="D2582" s="226" t="s">
        <v>1041</v>
      </c>
    </row>
    <row r="2583" spans="1:4">
      <c r="A2583" s="226" t="s">
        <v>4283</v>
      </c>
      <c r="B2583" s="226">
        <v>526622</v>
      </c>
      <c r="C2583" s="226" t="s">
        <v>486</v>
      </c>
      <c r="D2583" s="226" t="s">
        <v>806</v>
      </c>
    </row>
    <row r="2584" spans="1:4">
      <c r="A2584" s="226" t="s">
        <v>4284</v>
      </c>
      <c r="B2584" s="226">
        <v>526622</v>
      </c>
      <c r="C2584" s="226" t="s">
        <v>486</v>
      </c>
      <c r="D2584" s="226" t="s">
        <v>806</v>
      </c>
    </row>
    <row r="2585" spans="1:4">
      <c r="A2585" s="226" t="s">
        <v>4285</v>
      </c>
      <c r="B2585" s="226">
        <v>513721</v>
      </c>
      <c r="C2585" s="226" t="s">
        <v>486</v>
      </c>
      <c r="D2585" s="226" t="s">
        <v>518</v>
      </c>
    </row>
    <row r="2586" spans="1:4">
      <c r="A2586" s="226" t="s">
        <v>4286</v>
      </c>
      <c r="B2586" s="226">
        <v>532850</v>
      </c>
      <c r="C2586" s="226" t="s">
        <v>4287</v>
      </c>
      <c r="D2586" s="226" t="s">
        <v>1027</v>
      </c>
    </row>
    <row r="2587" spans="1:4">
      <c r="A2587" s="226" t="s">
        <v>4288</v>
      </c>
      <c r="B2587" s="226">
        <v>523343</v>
      </c>
      <c r="C2587" s="226" t="s">
        <v>486</v>
      </c>
      <c r="D2587" s="226" t="s">
        <v>503</v>
      </c>
    </row>
    <row r="2588" spans="1:4">
      <c r="A2588" s="226" t="s">
        <v>4289</v>
      </c>
      <c r="B2588" s="226">
        <v>523343</v>
      </c>
      <c r="C2588" s="226" t="s">
        <v>486</v>
      </c>
      <c r="D2588" s="226" t="s">
        <v>503</v>
      </c>
    </row>
    <row r="2589" spans="1:4">
      <c r="A2589" s="226" t="s">
        <v>4290</v>
      </c>
      <c r="B2589" s="226">
        <v>526251</v>
      </c>
      <c r="C2589" s="226" t="s">
        <v>486</v>
      </c>
      <c r="D2589" s="226" t="s">
        <v>470</v>
      </c>
    </row>
    <row r="2590" spans="1:4">
      <c r="A2590" s="226" t="s">
        <v>4291</v>
      </c>
      <c r="B2590" s="226">
        <v>500277</v>
      </c>
      <c r="C2590" s="226" t="s">
        <v>486</v>
      </c>
      <c r="D2590" s="226" t="s">
        <v>501</v>
      </c>
    </row>
    <row r="2591" spans="1:4">
      <c r="A2591" s="226" t="s">
        <v>4292</v>
      </c>
      <c r="B2591" s="226">
        <v>531192</v>
      </c>
      <c r="C2591" s="226" t="s">
        <v>486</v>
      </c>
      <c r="D2591" s="226" t="s">
        <v>503</v>
      </c>
    </row>
    <row r="2592" spans="1:4">
      <c r="A2592" s="226" t="s">
        <v>4293</v>
      </c>
      <c r="B2592" s="226">
        <v>540744</v>
      </c>
      <c r="C2592" s="226" t="s">
        <v>486</v>
      </c>
      <c r="D2592" s="226" t="s">
        <v>518</v>
      </c>
    </row>
    <row r="2593" spans="1:4">
      <c r="A2593" s="226" t="s">
        <v>4294</v>
      </c>
      <c r="B2593" s="226">
        <v>533310</v>
      </c>
      <c r="C2593" s="226" t="s">
        <v>4295</v>
      </c>
      <c r="D2593" s="226" t="s">
        <v>4296</v>
      </c>
    </row>
    <row r="2594" spans="1:4">
      <c r="A2594" s="226" t="s">
        <v>4297</v>
      </c>
      <c r="B2594" s="226">
        <v>526570</v>
      </c>
      <c r="C2594" s="226" t="s">
        <v>486</v>
      </c>
      <c r="D2594" s="226" t="s">
        <v>1013</v>
      </c>
    </row>
    <row r="2595" spans="1:4">
      <c r="A2595" s="226" t="s">
        <v>4298</v>
      </c>
      <c r="B2595" s="226">
        <v>538895</v>
      </c>
      <c r="C2595" s="226" t="s">
        <v>486</v>
      </c>
      <c r="D2595" s="226" t="s">
        <v>508</v>
      </c>
    </row>
    <row r="2596" spans="1:4">
      <c r="A2596" s="226" t="s">
        <v>4299</v>
      </c>
      <c r="B2596" s="226">
        <v>541337</v>
      </c>
      <c r="C2596" s="226" t="s">
        <v>486</v>
      </c>
      <c r="D2596" s="226" t="s">
        <v>762</v>
      </c>
    </row>
    <row r="2597" spans="1:4">
      <c r="A2597" s="226" t="s">
        <v>4300</v>
      </c>
      <c r="B2597" s="226">
        <v>531338</v>
      </c>
      <c r="C2597" s="226" t="s">
        <v>486</v>
      </c>
      <c r="D2597" s="226" t="s">
        <v>1013</v>
      </c>
    </row>
    <row r="2598" spans="1:4">
      <c r="A2598" s="226" t="s">
        <v>4301</v>
      </c>
      <c r="B2598" s="226">
        <v>511018</v>
      </c>
      <c r="C2598" s="226" t="s">
        <v>486</v>
      </c>
      <c r="D2598" s="226" t="s">
        <v>906</v>
      </c>
    </row>
    <row r="2599" spans="1:4">
      <c r="A2599" s="226" t="s">
        <v>4302</v>
      </c>
      <c r="B2599" s="226">
        <v>507621</v>
      </c>
      <c r="C2599" s="226" t="s">
        <v>486</v>
      </c>
      <c r="D2599" s="226" t="s">
        <v>546</v>
      </c>
    </row>
    <row r="2600" spans="1:4">
      <c r="A2600" s="226" t="s">
        <v>4303</v>
      </c>
      <c r="B2600" s="226">
        <v>511187</v>
      </c>
      <c r="C2600" s="226" t="s">
        <v>486</v>
      </c>
      <c r="D2600" s="226" t="s">
        <v>906</v>
      </c>
    </row>
    <row r="2601" spans="1:4">
      <c r="A2601" s="226" t="s">
        <v>4304</v>
      </c>
      <c r="B2601" s="226" t="s">
        <v>486</v>
      </c>
      <c r="C2601" s="226" t="s">
        <v>4305</v>
      </c>
      <c r="D2601" s="226" t="s">
        <v>497</v>
      </c>
    </row>
    <row r="2602" spans="1:4">
      <c r="A2602" s="226" t="s">
        <v>4306</v>
      </c>
      <c r="B2602" s="226">
        <v>531456</v>
      </c>
      <c r="C2602" s="226" t="s">
        <v>486</v>
      </c>
      <c r="D2602" s="226" t="s">
        <v>501</v>
      </c>
    </row>
    <row r="2603" spans="1:4">
      <c r="A2603" s="226" t="s">
        <v>4307</v>
      </c>
      <c r="B2603" s="226">
        <v>538962</v>
      </c>
      <c r="C2603" s="226" t="s">
        <v>4308</v>
      </c>
      <c r="D2603" s="226" t="s">
        <v>840</v>
      </c>
    </row>
    <row r="2604" spans="1:4">
      <c r="A2604" s="226" t="s">
        <v>4309</v>
      </c>
      <c r="B2604" s="226">
        <v>539303</v>
      </c>
      <c r="C2604" s="226" t="s">
        <v>486</v>
      </c>
      <c r="D2604" s="226" t="s">
        <v>503</v>
      </c>
    </row>
    <row r="2605" spans="1:4">
      <c r="A2605" s="226" t="s">
        <v>4310</v>
      </c>
      <c r="B2605" s="226">
        <v>532539</v>
      </c>
      <c r="C2605" s="226" t="s">
        <v>4311</v>
      </c>
      <c r="D2605" s="226" t="s">
        <v>840</v>
      </c>
    </row>
    <row r="2606" spans="1:4">
      <c r="A2606" s="226" t="s">
        <v>4312</v>
      </c>
      <c r="B2606" s="226">
        <v>517344</v>
      </c>
      <c r="C2606" s="226" t="s">
        <v>4313</v>
      </c>
      <c r="D2606" s="226" t="s">
        <v>579</v>
      </c>
    </row>
    <row r="2607" spans="1:4">
      <c r="A2607" s="226" t="s">
        <v>4314</v>
      </c>
      <c r="B2607" s="226">
        <v>517344</v>
      </c>
      <c r="C2607" s="226" t="s">
        <v>4313</v>
      </c>
      <c r="D2607" s="226" t="s">
        <v>579</v>
      </c>
    </row>
    <row r="2608" spans="1:4">
      <c r="A2608" s="226" t="s">
        <v>4315</v>
      </c>
      <c r="B2608" s="226">
        <v>532819</v>
      </c>
      <c r="C2608" s="226" t="s">
        <v>4316</v>
      </c>
      <c r="D2608" s="226" t="s">
        <v>473</v>
      </c>
    </row>
    <row r="2609" spans="1:4">
      <c r="A2609" s="226" t="s">
        <v>4317</v>
      </c>
      <c r="B2609" s="226">
        <v>523373</v>
      </c>
      <c r="C2609" s="226" t="s">
        <v>486</v>
      </c>
      <c r="D2609" s="226" t="s">
        <v>599</v>
      </c>
    </row>
    <row r="2610" spans="1:4">
      <c r="A2610" s="226" t="s">
        <v>4318</v>
      </c>
      <c r="B2610" s="226">
        <v>523373</v>
      </c>
      <c r="C2610" s="226" t="s">
        <v>486</v>
      </c>
      <c r="D2610" s="226" t="s">
        <v>599</v>
      </c>
    </row>
    <row r="2611" spans="1:4">
      <c r="A2611" s="226" t="s">
        <v>4319</v>
      </c>
      <c r="B2611" s="226">
        <v>532164</v>
      </c>
      <c r="C2611" s="226" t="s">
        <v>486</v>
      </c>
      <c r="D2611" s="226" t="s">
        <v>503</v>
      </c>
    </row>
    <row r="2612" spans="1:4">
      <c r="A2612" s="226" t="s">
        <v>4320</v>
      </c>
      <c r="B2612" s="226">
        <v>505797</v>
      </c>
      <c r="C2612" s="226" t="s">
        <v>486</v>
      </c>
      <c r="D2612" s="226" t="s">
        <v>670</v>
      </c>
    </row>
    <row r="2613" spans="1:4">
      <c r="A2613" s="226" t="s">
        <v>4321</v>
      </c>
      <c r="B2613" s="226">
        <v>500279</v>
      </c>
      <c r="C2613" s="226" t="s">
        <v>4322</v>
      </c>
      <c r="D2613" s="226" t="s">
        <v>854</v>
      </c>
    </row>
    <row r="2614" spans="1:4">
      <c r="A2614" s="226" t="s">
        <v>4323</v>
      </c>
      <c r="B2614" s="226">
        <v>505336</v>
      </c>
      <c r="C2614" s="226" t="s">
        <v>486</v>
      </c>
      <c r="D2614" s="226" t="s">
        <v>494</v>
      </c>
    </row>
    <row r="2615" spans="1:4">
      <c r="A2615" s="226" t="s">
        <v>4324</v>
      </c>
      <c r="B2615" s="226">
        <v>505336</v>
      </c>
      <c r="C2615" s="226" t="s">
        <v>486</v>
      </c>
      <c r="D2615" s="226" t="s">
        <v>494</v>
      </c>
    </row>
    <row r="2616" spans="1:4">
      <c r="A2616" s="226" t="s">
        <v>4325</v>
      </c>
      <c r="B2616" s="226">
        <v>526642</v>
      </c>
      <c r="C2616" s="226" t="s">
        <v>4326</v>
      </c>
      <c r="D2616" s="226" t="s">
        <v>911</v>
      </c>
    </row>
    <row r="2617" spans="1:4">
      <c r="A2617" s="226" t="s">
        <v>4327</v>
      </c>
      <c r="B2617" s="226">
        <v>539220</v>
      </c>
      <c r="C2617" s="226" t="s">
        <v>486</v>
      </c>
      <c r="D2617" s="226" t="s">
        <v>599</v>
      </c>
    </row>
    <row r="2618" spans="1:4">
      <c r="A2618" s="226" t="s">
        <v>4328</v>
      </c>
      <c r="B2618" s="226">
        <v>541195</v>
      </c>
      <c r="C2618" s="226" t="s">
        <v>4329</v>
      </c>
      <c r="D2618" s="226" t="s">
        <v>808</v>
      </c>
    </row>
    <row r="2619" spans="1:4">
      <c r="A2619" s="226" t="s">
        <v>4330</v>
      </c>
      <c r="B2619" s="226">
        <v>539594</v>
      </c>
      <c r="C2619" s="226" t="s">
        <v>486</v>
      </c>
      <c r="D2619" s="226" t="s">
        <v>683</v>
      </c>
    </row>
    <row r="2620" spans="1:4">
      <c r="A2620" s="226" t="s">
        <v>4331</v>
      </c>
      <c r="B2620" s="226" t="s">
        <v>486</v>
      </c>
      <c r="C2620" s="226" t="s">
        <v>4332</v>
      </c>
      <c r="D2620" s="226" t="s">
        <v>497</v>
      </c>
    </row>
    <row r="2621" spans="1:4">
      <c r="A2621" s="226" t="s">
        <v>4333</v>
      </c>
      <c r="B2621" s="226">
        <v>523782</v>
      </c>
      <c r="C2621" s="226" t="s">
        <v>486</v>
      </c>
      <c r="D2621" s="226" t="s">
        <v>508</v>
      </c>
    </row>
    <row r="2622" spans="1:4">
      <c r="A2622" s="226" t="s">
        <v>4334</v>
      </c>
      <c r="B2622" s="226">
        <v>523782</v>
      </c>
      <c r="C2622" s="226" t="s">
        <v>486</v>
      </c>
      <c r="D2622" s="226" t="s">
        <v>508</v>
      </c>
    </row>
    <row r="2623" spans="1:4">
      <c r="A2623" s="226" t="s">
        <v>4335</v>
      </c>
      <c r="B2623" s="226">
        <v>540078</v>
      </c>
      <c r="C2623" s="226" t="s">
        <v>486</v>
      </c>
      <c r="D2623" s="226" t="s">
        <v>680</v>
      </c>
    </row>
    <row r="2624" spans="1:4">
      <c r="A2624" s="226" t="s">
        <v>4336</v>
      </c>
      <c r="B2624" s="226" t="s">
        <v>486</v>
      </c>
      <c r="C2624" s="226" t="s">
        <v>4337</v>
      </c>
      <c r="D2624" s="226" t="s">
        <v>497</v>
      </c>
    </row>
    <row r="2625" spans="1:4">
      <c r="A2625" s="226" t="s">
        <v>4338</v>
      </c>
      <c r="B2625" s="226">
        <v>522036</v>
      </c>
      <c r="C2625" s="226" t="s">
        <v>4339</v>
      </c>
      <c r="D2625" s="226" t="s">
        <v>670</v>
      </c>
    </row>
    <row r="2626" spans="1:4">
      <c r="A2626" s="226" t="s">
        <v>4340</v>
      </c>
      <c r="B2626" s="226">
        <v>522241</v>
      </c>
      <c r="C2626" s="226" t="s">
        <v>4341</v>
      </c>
      <c r="D2626" s="226" t="s">
        <v>1403</v>
      </c>
    </row>
    <row r="2627" spans="1:4">
      <c r="A2627" s="226" t="s">
        <v>4342</v>
      </c>
      <c r="B2627" s="226">
        <v>509196</v>
      </c>
      <c r="C2627" s="226" t="s">
        <v>4343</v>
      </c>
      <c r="D2627" s="226" t="s">
        <v>4344</v>
      </c>
    </row>
    <row r="2628" spans="1:4">
      <c r="A2628" s="226" t="s">
        <v>4345</v>
      </c>
      <c r="B2628" s="226" t="s">
        <v>486</v>
      </c>
      <c r="C2628" s="226" t="s">
        <v>4346</v>
      </c>
      <c r="D2628" s="226" t="s">
        <v>497</v>
      </c>
    </row>
    <row r="2629" spans="1:4">
      <c r="A2629" s="226" t="s">
        <v>4347</v>
      </c>
      <c r="B2629" s="226">
        <v>513377</v>
      </c>
      <c r="C2629" s="226" t="s">
        <v>4348</v>
      </c>
      <c r="D2629" s="226" t="s">
        <v>508</v>
      </c>
    </row>
    <row r="2630" spans="1:4">
      <c r="A2630" s="226" t="s">
        <v>4349</v>
      </c>
      <c r="B2630" s="226">
        <v>503772</v>
      </c>
      <c r="C2630" s="226" t="s">
        <v>486</v>
      </c>
      <c r="D2630" s="226" t="s">
        <v>508</v>
      </c>
    </row>
    <row r="2631" spans="1:4">
      <c r="A2631" s="226" t="s">
        <v>4350</v>
      </c>
      <c r="B2631" s="226">
        <v>503015</v>
      </c>
      <c r="C2631" s="226" t="s">
        <v>486</v>
      </c>
      <c r="D2631" s="226" t="s">
        <v>508</v>
      </c>
    </row>
    <row r="2632" spans="1:4">
      <c r="A2632" s="226" t="s">
        <v>4351</v>
      </c>
      <c r="B2632" s="226">
        <v>539762</v>
      </c>
      <c r="C2632" s="226" t="s">
        <v>486</v>
      </c>
      <c r="D2632" s="226" t="s">
        <v>683</v>
      </c>
    </row>
    <row r="2633" spans="1:4">
      <c r="A2633" s="226" t="s">
        <v>4352</v>
      </c>
      <c r="B2633" s="226">
        <v>519287</v>
      </c>
      <c r="C2633" s="226" t="s">
        <v>486</v>
      </c>
      <c r="D2633" s="226" t="s">
        <v>546</v>
      </c>
    </row>
    <row r="2634" spans="1:4">
      <c r="A2634" s="226" t="s">
        <v>4353</v>
      </c>
      <c r="B2634" s="226">
        <v>503015</v>
      </c>
      <c r="C2634" s="226" t="s">
        <v>486</v>
      </c>
      <c r="D2634" s="226" t="s">
        <v>508</v>
      </c>
    </row>
    <row r="2635" spans="1:4">
      <c r="A2635" s="226" t="s">
        <v>4354</v>
      </c>
      <c r="B2635" s="226">
        <v>509760</v>
      </c>
      <c r="C2635" s="226" t="s">
        <v>486</v>
      </c>
      <c r="D2635" s="226" t="s">
        <v>470</v>
      </c>
    </row>
    <row r="2636" spans="1:4">
      <c r="A2636" s="226" t="s">
        <v>4355</v>
      </c>
      <c r="B2636" s="226">
        <v>513303</v>
      </c>
      <c r="C2636" s="226" t="s">
        <v>4356</v>
      </c>
      <c r="D2636" s="226" t="s">
        <v>4357</v>
      </c>
    </row>
    <row r="2637" spans="1:4">
      <c r="A2637" s="226" t="s">
        <v>4358</v>
      </c>
      <c r="B2637" s="226">
        <v>537092</v>
      </c>
      <c r="C2637" s="226" t="s">
        <v>486</v>
      </c>
      <c r="D2637" s="226" t="s">
        <v>470</v>
      </c>
    </row>
    <row r="2638" spans="1:4">
      <c r="A2638" s="226" t="s">
        <v>4359</v>
      </c>
      <c r="B2638" s="226">
        <v>519003</v>
      </c>
      <c r="C2638" s="226" t="s">
        <v>486</v>
      </c>
      <c r="D2638" s="226" t="s">
        <v>683</v>
      </c>
    </row>
    <row r="2639" spans="1:4">
      <c r="A2639" s="226" t="s">
        <v>4360</v>
      </c>
      <c r="B2639" s="226">
        <v>500890</v>
      </c>
      <c r="C2639" s="226" t="s">
        <v>4361</v>
      </c>
      <c r="D2639" s="226" t="s">
        <v>965</v>
      </c>
    </row>
    <row r="2640" spans="1:4">
      <c r="A2640" s="226" t="s">
        <v>4362</v>
      </c>
      <c r="B2640" s="226">
        <v>503776</v>
      </c>
      <c r="C2640" s="226" t="s">
        <v>486</v>
      </c>
      <c r="D2640" s="226" t="s">
        <v>629</v>
      </c>
    </row>
    <row r="2641" spans="1:4">
      <c r="A2641" s="226" t="s">
        <v>4363</v>
      </c>
      <c r="B2641" s="226">
        <v>506261</v>
      </c>
      <c r="C2641" s="226" t="s">
        <v>486</v>
      </c>
      <c r="D2641" s="226" t="s">
        <v>783</v>
      </c>
    </row>
    <row r="2642" spans="1:4">
      <c r="A2642" s="226" t="s">
        <v>4364</v>
      </c>
      <c r="B2642" s="226" t="s">
        <v>486</v>
      </c>
      <c r="C2642" s="226" t="s">
        <v>4365</v>
      </c>
      <c r="D2642" s="226" t="s">
        <v>497</v>
      </c>
    </row>
    <row r="2643" spans="1:4">
      <c r="A2643" s="226" t="s">
        <v>4366</v>
      </c>
      <c r="B2643" s="226">
        <v>531453</v>
      </c>
      <c r="C2643" s="226" t="s">
        <v>4367</v>
      </c>
      <c r="D2643" s="226" t="s">
        <v>501</v>
      </c>
    </row>
    <row r="2644" spans="1:4">
      <c r="A2644" s="226" t="s">
        <v>4368</v>
      </c>
      <c r="B2644" s="226">
        <v>530169</v>
      </c>
      <c r="C2644" s="226" t="s">
        <v>486</v>
      </c>
      <c r="D2644" s="226" t="s">
        <v>480</v>
      </c>
    </row>
    <row r="2645" spans="1:4">
      <c r="A2645" s="226" t="s">
        <v>4369</v>
      </c>
      <c r="B2645" s="226">
        <v>532140</v>
      </c>
      <c r="C2645" s="226" t="s">
        <v>486</v>
      </c>
      <c r="D2645" s="226" t="s">
        <v>501</v>
      </c>
    </row>
    <row r="2646" spans="1:4">
      <c r="A2646" s="226" t="s">
        <v>4370</v>
      </c>
      <c r="B2646" s="226">
        <v>530047</v>
      </c>
      <c r="C2646" s="226" t="s">
        <v>4371</v>
      </c>
      <c r="D2646" s="226" t="s">
        <v>501</v>
      </c>
    </row>
    <row r="2647" spans="1:4">
      <c r="A2647" s="226" t="s">
        <v>4372</v>
      </c>
      <c r="B2647" s="226">
        <v>533286</v>
      </c>
      <c r="C2647" s="226" t="s">
        <v>4373</v>
      </c>
      <c r="D2647" s="226" t="s">
        <v>467</v>
      </c>
    </row>
    <row r="2648" spans="1:4">
      <c r="A2648" s="226" t="s">
        <v>4374</v>
      </c>
      <c r="B2648" s="226" t="s">
        <v>486</v>
      </c>
      <c r="C2648" s="226" t="s">
        <v>4375</v>
      </c>
      <c r="D2648" s="226" t="s">
        <v>497</v>
      </c>
    </row>
    <row r="2649" spans="1:4">
      <c r="A2649" s="226" t="s">
        <v>4376</v>
      </c>
      <c r="B2649" s="226">
        <v>533080</v>
      </c>
      <c r="C2649" s="226" t="s">
        <v>4377</v>
      </c>
      <c r="D2649" s="226" t="s">
        <v>680</v>
      </c>
    </row>
    <row r="2650" spans="1:4">
      <c r="A2650" s="226" t="s">
        <v>4378</v>
      </c>
      <c r="B2650" s="226">
        <v>526263</v>
      </c>
      <c r="C2650" s="226" t="s">
        <v>4379</v>
      </c>
      <c r="D2650" s="226" t="s">
        <v>815</v>
      </c>
    </row>
    <row r="2651" spans="1:4">
      <c r="A2651" s="226" t="s">
        <v>4380</v>
      </c>
      <c r="B2651" s="226">
        <v>511551</v>
      </c>
      <c r="C2651" s="226" t="s">
        <v>486</v>
      </c>
      <c r="D2651" s="226" t="s">
        <v>470</v>
      </c>
    </row>
    <row r="2652" spans="1:4">
      <c r="A2652" s="226" t="s">
        <v>4381</v>
      </c>
      <c r="B2652" s="226">
        <v>535910</v>
      </c>
      <c r="C2652" s="226" t="s">
        <v>486</v>
      </c>
      <c r="D2652" s="226" t="s">
        <v>503</v>
      </c>
    </row>
    <row r="2653" spans="1:4">
      <c r="A2653" s="226" t="s">
        <v>4382</v>
      </c>
      <c r="B2653" s="226">
        <v>532078</v>
      </c>
      <c r="C2653" s="226" t="s">
        <v>486</v>
      </c>
      <c r="D2653" s="226" t="s">
        <v>518</v>
      </c>
    </row>
    <row r="2654" spans="1:4">
      <c r="A2654" s="226" t="s">
        <v>4383</v>
      </c>
      <c r="B2654" s="226">
        <v>513446</v>
      </c>
      <c r="C2654" s="226" t="s">
        <v>4384</v>
      </c>
      <c r="D2654" s="226" t="s">
        <v>518</v>
      </c>
    </row>
    <row r="2655" spans="1:4">
      <c r="A2655" s="226" t="s">
        <v>4385</v>
      </c>
      <c r="B2655" s="226">
        <v>532723</v>
      </c>
      <c r="C2655" s="226" t="s">
        <v>486</v>
      </c>
      <c r="D2655" s="226" t="s">
        <v>572</v>
      </c>
    </row>
    <row r="2656" spans="1:4">
      <c r="A2656" s="226" t="s">
        <v>4386</v>
      </c>
      <c r="B2656" s="226">
        <v>505343</v>
      </c>
      <c r="C2656" s="226" t="s">
        <v>486</v>
      </c>
      <c r="D2656" s="226" t="s">
        <v>906</v>
      </c>
    </row>
    <row r="2657" spans="1:4">
      <c r="A2657" s="226" t="s">
        <v>4387</v>
      </c>
      <c r="B2657" s="226">
        <v>505343</v>
      </c>
      <c r="C2657" s="226" t="s">
        <v>486</v>
      </c>
      <c r="D2657" s="226" t="s">
        <v>906</v>
      </c>
    </row>
    <row r="2658" spans="1:4">
      <c r="A2658" s="226" t="s">
        <v>4388</v>
      </c>
      <c r="B2658" s="226">
        <v>524084</v>
      </c>
      <c r="C2658" s="226" t="s">
        <v>4389</v>
      </c>
      <c r="D2658" s="226" t="s">
        <v>629</v>
      </c>
    </row>
    <row r="2659" spans="1:4">
      <c r="A2659" s="226" t="s">
        <v>4390</v>
      </c>
      <c r="B2659" s="226">
        <v>524084</v>
      </c>
      <c r="C2659" s="226" t="s">
        <v>4389</v>
      </c>
      <c r="D2659" s="226" t="s">
        <v>629</v>
      </c>
    </row>
    <row r="2660" spans="1:4">
      <c r="A2660" s="226" t="s">
        <v>4391</v>
      </c>
      <c r="B2660" s="226">
        <v>538836</v>
      </c>
      <c r="C2660" s="226" t="s">
        <v>4392</v>
      </c>
      <c r="D2660" s="226" t="s">
        <v>599</v>
      </c>
    </row>
    <row r="2661" spans="1:4">
      <c r="A2661" s="226" t="s">
        <v>4393</v>
      </c>
      <c r="B2661" s="226">
        <v>530167</v>
      </c>
      <c r="C2661" s="226" t="s">
        <v>486</v>
      </c>
      <c r="D2661" s="226" t="s">
        <v>503</v>
      </c>
    </row>
    <row r="2662" spans="1:4">
      <c r="A2662" s="226" t="s">
        <v>4394</v>
      </c>
      <c r="B2662" s="226">
        <v>539199</v>
      </c>
      <c r="C2662" s="226" t="s">
        <v>486</v>
      </c>
      <c r="D2662" s="226" t="s">
        <v>470</v>
      </c>
    </row>
    <row r="2663" spans="1:4">
      <c r="A2663" s="226" t="s">
        <v>4395</v>
      </c>
      <c r="B2663" s="226">
        <v>532621</v>
      </c>
      <c r="C2663" s="226" t="s">
        <v>4396</v>
      </c>
      <c r="D2663" s="226" t="s">
        <v>501</v>
      </c>
    </row>
    <row r="2664" spans="1:4">
      <c r="A2664" s="226" t="s">
        <v>4397</v>
      </c>
      <c r="B2664" s="226">
        <v>511549</v>
      </c>
      <c r="C2664" s="226" t="s">
        <v>486</v>
      </c>
      <c r="D2664" s="226" t="s">
        <v>503</v>
      </c>
    </row>
    <row r="2665" spans="1:4">
      <c r="A2665" s="226" t="s">
        <v>4398</v>
      </c>
      <c r="B2665" s="226">
        <v>500288</v>
      </c>
      <c r="C2665" s="226" t="s">
        <v>4399</v>
      </c>
      <c r="D2665" s="226" t="s">
        <v>524</v>
      </c>
    </row>
    <row r="2666" spans="1:4">
      <c r="A2666" s="226" t="s">
        <v>4400</v>
      </c>
      <c r="B2666" s="226">
        <v>526237</v>
      </c>
      <c r="C2666" s="226" t="s">
        <v>486</v>
      </c>
      <c r="D2666" s="226" t="s">
        <v>503</v>
      </c>
    </row>
    <row r="2667" spans="1:4">
      <c r="A2667" s="226" t="s">
        <v>4401</v>
      </c>
      <c r="B2667" s="226">
        <v>523160</v>
      </c>
      <c r="C2667" s="226" t="s">
        <v>486</v>
      </c>
      <c r="D2667" s="226" t="s">
        <v>670</v>
      </c>
    </row>
    <row r="2668" spans="1:4">
      <c r="A2668" s="226" t="s">
        <v>4402</v>
      </c>
      <c r="B2668" s="226">
        <v>523160</v>
      </c>
      <c r="C2668" s="226" t="s">
        <v>486</v>
      </c>
      <c r="D2668" s="226" t="s">
        <v>670</v>
      </c>
    </row>
    <row r="2669" spans="1:4">
      <c r="A2669" s="226" t="s">
        <v>4403</v>
      </c>
      <c r="B2669" s="226">
        <v>513305</v>
      </c>
      <c r="C2669" s="226" t="s">
        <v>4404</v>
      </c>
      <c r="D2669" s="226" t="s">
        <v>906</v>
      </c>
    </row>
    <row r="2670" spans="1:4">
      <c r="A2670" s="226" t="s">
        <v>4405</v>
      </c>
      <c r="B2670" s="226">
        <v>532407</v>
      </c>
      <c r="C2670" s="226" t="s">
        <v>486</v>
      </c>
      <c r="D2670" s="226" t="s">
        <v>579</v>
      </c>
    </row>
    <row r="2671" spans="1:4">
      <c r="A2671" s="226" t="s">
        <v>4406</v>
      </c>
      <c r="B2671" s="226" t="s">
        <v>486</v>
      </c>
      <c r="C2671" s="226" t="s">
        <v>4407</v>
      </c>
      <c r="D2671" s="226" t="s">
        <v>577</v>
      </c>
    </row>
    <row r="2672" spans="1:4">
      <c r="A2672" s="226" t="s">
        <v>4408</v>
      </c>
      <c r="B2672" s="226">
        <v>517334</v>
      </c>
      <c r="C2672" s="226" t="s">
        <v>4409</v>
      </c>
      <c r="D2672" s="226" t="s">
        <v>840</v>
      </c>
    </row>
    <row r="2673" spans="1:4">
      <c r="A2673" s="226" t="s">
        <v>4410</v>
      </c>
      <c r="B2673" s="226">
        <v>532892</v>
      </c>
      <c r="C2673" s="226" t="s">
        <v>4411</v>
      </c>
      <c r="D2673" s="226" t="s">
        <v>503</v>
      </c>
    </row>
    <row r="2674" spans="1:4">
      <c r="A2674" s="226" t="s">
        <v>4412</v>
      </c>
      <c r="B2674" s="226">
        <v>590115</v>
      </c>
      <c r="C2674" s="226" t="s">
        <v>4413</v>
      </c>
      <c r="D2674" s="226" t="s">
        <v>470</v>
      </c>
    </row>
    <row r="2675" spans="1:4">
      <c r="A2675" s="226" t="s">
        <v>4414</v>
      </c>
      <c r="B2675" s="226">
        <v>533385</v>
      </c>
      <c r="C2675" s="226" t="s">
        <v>4415</v>
      </c>
      <c r="D2675" s="226" t="s">
        <v>470</v>
      </c>
    </row>
    <row r="2676" spans="1:4">
      <c r="A2676" s="226" t="s">
        <v>4416</v>
      </c>
      <c r="B2676" s="226">
        <v>507522</v>
      </c>
      <c r="C2676" s="226" t="s">
        <v>486</v>
      </c>
      <c r="D2676" s="226" t="s">
        <v>1117</v>
      </c>
    </row>
    <row r="2677" spans="1:4">
      <c r="A2677" s="226" t="s">
        <v>4417</v>
      </c>
      <c r="B2677" s="226">
        <v>526299</v>
      </c>
      <c r="C2677" s="226" t="s">
        <v>4418</v>
      </c>
      <c r="D2677" s="226" t="s">
        <v>473</v>
      </c>
    </row>
    <row r="2678" spans="1:4">
      <c r="A2678" s="226" t="s">
        <v>4419</v>
      </c>
      <c r="B2678" s="226">
        <v>500450</v>
      </c>
      <c r="C2678" s="226" t="s">
        <v>486</v>
      </c>
      <c r="D2678" s="226" t="s">
        <v>470</v>
      </c>
    </row>
    <row r="2679" spans="1:4">
      <c r="A2679" s="226" t="s">
        <v>4420</v>
      </c>
      <c r="B2679" s="226">
        <v>526143</v>
      </c>
      <c r="C2679" s="226" t="s">
        <v>486</v>
      </c>
      <c r="D2679" s="226" t="s">
        <v>680</v>
      </c>
    </row>
    <row r="2680" spans="1:4">
      <c r="A2680" s="226" t="s">
        <v>4421</v>
      </c>
      <c r="B2680" s="226">
        <v>532440</v>
      </c>
      <c r="C2680" s="226" t="s">
        <v>4422</v>
      </c>
      <c r="D2680" s="226" t="s">
        <v>2475</v>
      </c>
    </row>
    <row r="2681" spans="1:4">
      <c r="A2681" s="226" t="s">
        <v>4423</v>
      </c>
      <c r="B2681" s="226">
        <v>540809</v>
      </c>
      <c r="C2681" s="226" t="s">
        <v>486</v>
      </c>
      <c r="D2681" s="226" t="s">
        <v>508</v>
      </c>
    </row>
    <row r="2682" spans="1:4">
      <c r="A2682" s="226" t="s">
        <v>4424</v>
      </c>
      <c r="B2682" s="226">
        <v>500290</v>
      </c>
      <c r="C2682" s="226" t="s">
        <v>4425</v>
      </c>
      <c r="D2682" s="226" t="s">
        <v>965</v>
      </c>
    </row>
    <row r="2683" spans="1:4">
      <c r="A2683" s="226" t="s">
        <v>4426</v>
      </c>
      <c r="B2683" s="226">
        <v>532376</v>
      </c>
      <c r="C2683" s="226" t="s">
        <v>4427</v>
      </c>
      <c r="D2683" s="226" t="s">
        <v>631</v>
      </c>
    </row>
    <row r="2684" spans="1:4">
      <c r="A2684" s="226" t="s">
        <v>4428</v>
      </c>
      <c r="B2684" s="226">
        <v>512065</v>
      </c>
      <c r="C2684" s="226" t="s">
        <v>486</v>
      </c>
      <c r="D2684" s="226" t="s">
        <v>503</v>
      </c>
    </row>
    <row r="2685" spans="1:4">
      <c r="A2685" s="226" t="s">
        <v>4429</v>
      </c>
      <c r="B2685" s="226">
        <v>532650</v>
      </c>
      <c r="C2685" s="226" t="s">
        <v>4430</v>
      </c>
      <c r="D2685" s="226" t="s">
        <v>808</v>
      </c>
    </row>
    <row r="2686" spans="1:4">
      <c r="A2686" s="226" t="s">
        <v>4431</v>
      </c>
      <c r="B2686" s="226">
        <v>508922</v>
      </c>
      <c r="C2686" s="226" t="s">
        <v>486</v>
      </c>
      <c r="D2686" s="226" t="s">
        <v>1529</v>
      </c>
    </row>
    <row r="2687" spans="1:4">
      <c r="A2687" s="226" t="s">
        <v>4432</v>
      </c>
      <c r="B2687" s="226">
        <v>508922</v>
      </c>
      <c r="C2687" s="226" t="s">
        <v>486</v>
      </c>
      <c r="D2687" s="226" t="s">
        <v>1529</v>
      </c>
    </row>
    <row r="2688" spans="1:4">
      <c r="A2688" s="226" t="s">
        <v>4433</v>
      </c>
      <c r="B2688" s="226" t="s">
        <v>486</v>
      </c>
      <c r="C2688" s="226" t="s">
        <v>4434</v>
      </c>
      <c r="D2688" s="226" t="s">
        <v>1529</v>
      </c>
    </row>
    <row r="2689" spans="1:4">
      <c r="A2689" s="226" t="s">
        <v>4435</v>
      </c>
      <c r="B2689" s="226">
        <v>542597</v>
      </c>
      <c r="C2689" s="226" t="s">
        <v>4436</v>
      </c>
      <c r="D2689" s="226" t="s">
        <v>851</v>
      </c>
    </row>
    <row r="2690" spans="1:4">
      <c r="A2690" s="226" t="s">
        <v>4437</v>
      </c>
      <c r="B2690" s="226">
        <v>534312</v>
      </c>
      <c r="C2690" s="226" t="s">
        <v>4438</v>
      </c>
      <c r="D2690" s="226" t="s">
        <v>349</v>
      </c>
    </row>
    <row r="2691" spans="1:4">
      <c r="A2691" s="226" t="s">
        <v>4439</v>
      </c>
      <c r="B2691" s="226">
        <v>531919</v>
      </c>
      <c r="C2691" s="226" t="s">
        <v>486</v>
      </c>
      <c r="D2691" s="226" t="s">
        <v>506</v>
      </c>
    </row>
    <row r="2692" spans="1:4">
      <c r="A2692" s="226" t="s">
        <v>4440</v>
      </c>
      <c r="B2692" s="226">
        <v>539819</v>
      </c>
      <c r="C2692" s="226" t="s">
        <v>486</v>
      </c>
      <c r="D2692" s="226" t="s">
        <v>470</v>
      </c>
    </row>
    <row r="2693" spans="1:4">
      <c r="A2693" s="226" t="s">
        <v>4441</v>
      </c>
      <c r="B2693" s="226">
        <v>538743</v>
      </c>
      <c r="C2693" s="226" t="s">
        <v>486</v>
      </c>
      <c r="D2693" s="226" t="s">
        <v>473</v>
      </c>
    </row>
    <row r="2694" spans="1:4">
      <c r="A2694" s="226" t="s">
        <v>4442</v>
      </c>
      <c r="B2694" s="226">
        <v>532097</v>
      </c>
      <c r="C2694" s="226" t="s">
        <v>4443</v>
      </c>
      <c r="D2694" s="226" t="s">
        <v>883</v>
      </c>
    </row>
    <row r="2695" spans="1:4">
      <c r="A2695" s="226" t="s">
        <v>4444</v>
      </c>
      <c r="B2695" s="226">
        <v>500460</v>
      </c>
      <c r="C2695" s="226" t="s">
        <v>4445</v>
      </c>
      <c r="D2695" s="226" t="s">
        <v>518</v>
      </c>
    </row>
    <row r="2696" spans="1:4">
      <c r="A2696" s="226" t="s">
        <v>4446</v>
      </c>
      <c r="B2696" s="226">
        <v>523832</v>
      </c>
      <c r="C2696" s="226" t="s">
        <v>4447</v>
      </c>
      <c r="D2696" s="226" t="s">
        <v>603</v>
      </c>
    </row>
    <row r="2697" spans="1:4">
      <c r="A2697" s="226" t="s">
        <v>4448</v>
      </c>
      <c r="B2697" s="226">
        <v>530341</v>
      </c>
      <c r="C2697" s="226" t="s">
        <v>486</v>
      </c>
      <c r="D2697" s="226" t="s">
        <v>470</v>
      </c>
    </row>
    <row r="2698" spans="1:4">
      <c r="A2698" s="226" t="s">
        <v>4449</v>
      </c>
      <c r="B2698" s="226">
        <v>535204</v>
      </c>
      <c r="C2698" s="226" t="s">
        <v>486</v>
      </c>
      <c r="D2698" s="226" t="s">
        <v>508</v>
      </c>
    </row>
    <row r="2699" spans="1:4">
      <c r="A2699" s="226" t="s">
        <v>4450</v>
      </c>
      <c r="B2699" s="226">
        <v>532357</v>
      </c>
      <c r="C2699" s="226" t="s">
        <v>4451</v>
      </c>
      <c r="D2699" s="226" t="s">
        <v>489</v>
      </c>
    </row>
    <row r="2700" spans="1:4">
      <c r="A2700" s="226" t="s">
        <v>4452</v>
      </c>
      <c r="B2700" s="226">
        <v>501477</v>
      </c>
      <c r="C2700" s="226" t="s">
        <v>486</v>
      </c>
      <c r="D2700" s="226" t="s">
        <v>508</v>
      </c>
    </row>
    <row r="2701" spans="1:4">
      <c r="A2701" s="226" t="s">
        <v>4453</v>
      </c>
      <c r="B2701" s="226">
        <v>501477</v>
      </c>
      <c r="C2701" s="226" t="s">
        <v>486</v>
      </c>
      <c r="D2701" s="226" t="s">
        <v>508</v>
      </c>
    </row>
    <row r="2702" spans="1:4">
      <c r="A2702" s="226" t="s">
        <v>4454</v>
      </c>
      <c r="B2702" s="226">
        <v>534091</v>
      </c>
      <c r="C2702" s="226" t="s">
        <v>4455</v>
      </c>
      <c r="D2702" s="226" t="s">
        <v>506</v>
      </c>
    </row>
    <row r="2703" spans="1:4">
      <c r="A2703" s="226" t="s">
        <v>4456</v>
      </c>
      <c r="B2703" s="226">
        <v>534091</v>
      </c>
      <c r="C2703" s="226" t="s">
        <v>4455</v>
      </c>
      <c r="D2703" s="226" t="s">
        <v>506</v>
      </c>
    </row>
    <row r="2704" spans="1:4">
      <c r="A2704" s="226" t="s">
        <v>4457</v>
      </c>
      <c r="B2704" s="226">
        <v>526169</v>
      </c>
      <c r="C2704" s="226" t="s">
        <v>486</v>
      </c>
      <c r="D2704" s="226" t="s">
        <v>965</v>
      </c>
    </row>
    <row r="2705" spans="1:4">
      <c r="A2705" s="226" t="s">
        <v>4458</v>
      </c>
      <c r="B2705" s="226">
        <v>526169</v>
      </c>
      <c r="C2705" s="226" t="s">
        <v>486</v>
      </c>
      <c r="D2705" s="226" t="s">
        <v>965</v>
      </c>
    </row>
    <row r="2706" spans="1:4">
      <c r="A2706" s="226" t="s">
        <v>4459</v>
      </c>
      <c r="B2706" s="226">
        <v>505594</v>
      </c>
      <c r="C2706" s="226" t="s">
        <v>486</v>
      </c>
      <c r="D2706" s="226" t="s">
        <v>906</v>
      </c>
    </row>
    <row r="2707" spans="1:4">
      <c r="A2707" s="226" t="s">
        <v>4460</v>
      </c>
      <c r="B2707" s="226">
        <v>504356</v>
      </c>
      <c r="C2707" s="226" t="s">
        <v>486</v>
      </c>
      <c r="D2707" s="226" t="s">
        <v>906</v>
      </c>
    </row>
    <row r="2708" spans="1:4">
      <c r="A2708" s="226" t="s">
        <v>4461</v>
      </c>
      <c r="B2708" s="226">
        <v>520059</v>
      </c>
      <c r="C2708" s="226" t="s">
        <v>4462</v>
      </c>
      <c r="D2708" s="226" t="s">
        <v>840</v>
      </c>
    </row>
    <row r="2709" spans="1:4">
      <c r="A2709" s="226" t="s">
        <v>4463</v>
      </c>
      <c r="B2709" s="226">
        <v>520043</v>
      </c>
      <c r="C2709" s="226" t="s">
        <v>4464</v>
      </c>
      <c r="D2709" s="226" t="s">
        <v>840</v>
      </c>
    </row>
    <row r="2710" spans="1:4">
      <c r="A2710" s="226" t="s">
        <v>4465</v>
      </c>
      <c r="B2710" s="226">
        <v>511200</v>
      </c>
      <c r="C2710" s="226" t="s">
        <v>486</v>
      </c>
      <c r="D2710" s="226" t="s">
        <v>906</v>
      </c>
    </row>
    <row r="2711" spans="1:4">
      <c r="A2711" s="226" t="s">
        <v>4466</v>
      </c>
      <c r="B2711" s="226">
        <v>511401</v>
      </c>
      <c r="C2711" s="226" t="s">
        <v>4467</v>
      </c>
      <c r="D2711" s="226" t="s">
        <v>470</v>
      </c>
    </row>
    <row r="2712" spans="1:4">
      <c r="A2712" s="226" t="s">
        <v>4468</v>
      </c>
      <c r="B2712" s="226">
        <v>531821</v>
      </c>
      <c r="C2712" s="226" t="s">
        <v>486</v>
      </c>
      <c r="D2712" s="226" t="s">
        <v>470</v>
      </c>
    </row>
    <row r="2713" spans="1:4">
      <c r="A2713" s="226" t="s">
        <v>4469</v>
      </c>
      <c r="B2713" s="226">
        <v>515037</v>
      </c>
      <c r="C2713" s="226" t="s">
        <v>4470</v>
      </c>
      <c r="D2713" s="226" t="s">
        <v>762</v>
      </c>
    </row>
    <row r="2714" spans="1:4">
      <c r="A2714" s="226" t="s">
        <v>4471</v>
      </c>
      <c r="B2714" s="226">
        <v>540366</v>
      </c>
      <c r="C2714" s="226" t="s">
        <v>4472</v>
      </c>
      <c r="D2714" s="226" t="s">
        <v>1222</v>
      </c>
    </row>
    <row r="2715" spans="1:4">
      <c r="A2715" s="226" t="s">
        <v>4473</v>
      </c>
      <c r="B2715" s="226">
        <v>511766</v>
      </c>
      <c r="C2715" s="226" t="s">
        <v>4474</v>
      </c>
      <c r="D2715" s="226" t="s">
        <v>503</v>
      </c>
    </row>
    <row r="2716" spans="1:4">
      <c r="A2716" s="226" t="s">
        <v>4475</v>
      </c>
      <c r="B2716" s="226">
        <v>533398</v>
      </c>
      <c r="C2716" s="226" t="s">
        <v>4476</v>
      </c>
      <c r="D2716" s="226" t="s">
        <v>503</v>
      </c>
    </row>
    <row r="2717" spans="1:4">
      <c r="A2717" s="226" t="s">
        <v>4477</v>
      </c>
      <c r="B2717" s="226">
        <v>532991</v>
      </c>
      <c r="C2717" s="226" t="s">
        <v>4478</v>
      </c>
      <c r="D2717" s="226" t="s">
        <v>572</v>
      </c>
    </row>
    <row r="2718" spans="1:4">
      <c r="A2718" s="226" t="s">
        <v>4479</v>
      </c>
      <c r="B2718" s="226">
        <v>538862</v>
      </c>
      <c r="C2718" s="226" t="s">
        <v>486</v>
      </c>
      <c r="D2718" s="226" t="s">
        <v>470</v>
      </c>
    </row>
    <row r="2719" spans="1:4">
      <c r="A2719" s="226" t="s">
        <v>4480</v>
      </c>
      <c r="B2719" s="226">
        <v>506734</v>
      </c>
      <c r="C2719" s="226" t="s">
        <v>486</v>
      </c>
      <c r="D2719" s="226" t="s">
        <v>534</v>
      </c>
    </row>
    <row r="2720" spans="1:4">
      <c r="A2720" s="226" t="s">
        <v>4481</v>
      </c>
      <c r="B2720" s="226">
        <v>535205</v>
      </c>
      <c r="C2720" s="226" t="s">
        <v>486</v>
      </c>
      <c r="D2720" s="226" t="s">
        <v>508</v>
      </c>
    </row>
    <row r="2721" spans="1:4">
      <c r="A2721" s="226" t="s">
        <v>4482</v>
      </c>
      <c r="B2721" s="226" t="s">
        <v>486</v>
      </c>
      <c r="C2721" s="226" t="s">
        <v>4483</v>
      </c>
      <c r="D2721" s="226" t="s">
        <v>577</v>
      </c>
    </row>
    <row r="2722" spans="1:4">
      <c r="A2722" s="226" t="s">
        <v>4484</v>
      </c>
      <c r="B2722" s="226">
        <v>512024</v>
      </c>
      <c r="C2722" s="226" t="s">
        <v>486</v>
      </c>
      <c r="D2722" s="226" t="s">
        <v>560</v>
      </c>
    </row>
    <row r="2723" spans="1:4">
      <c r="A2723" s="226" t="s">
        <v>4485</v>
      </c>
      <c r="B2723" s="226">
        <v>530897</v>
      </c>
      <c r="C2723" s="226" t="s">
        <v>486</v>
      </c>
      <c r="D2723" s="226" t="s">
        <v>674</v>
      </c>
    </row>
    <row r="2724" spans="1:4">
      <c r="A2724" s="226" t="s">
        <v>4486</v>
      </c>
      <c r="B2724" s="226">
        <v>516082</v>
      </c>
      <c r="C2724" s="226" t="s">
        <v>4487</v>
      </c>
      <c r="D2724" s="226" t="s">
        <v>480</v>
      </c>
    </row>
    <row r="2725" spans="1:4">
      <c r="A2725" s="226" t="s">
        <v>4488</v>
      </c>
      <c r="B2725" s="226">
        <v>532623</v>
      </c>
      <c r="C2725" s="226" t="s">
        <v>486</v>
      </c>
      <c r="D2725" s="226" t="s">
        <v>508</v>
      </c>
    </row>
    <row r="2726" spans="1:4">
      <c r="A2726" s="226" t="s">
        <v>4489</v>
      </c>
      <c r="B2726" s="226">
        <v>512279</v>
      </c>
      <c r="C2726" s="226" t="s">
        <v>486</v>
      </c>
      <c r="D2726" s="226" t="s">
        <v>906</v>
      </c>
    </row>
    <row r="2727" spans="1:4">
      <c r="A2727" s="226" t="s">
        <v>4490</v>
      </c>
      <c r="B2727" s="226">
        <v>524709</v>
      </c>
      <c r="C2727" s="226" t="s">
        <v>4491</v>
      </c>
      <c r="D2727" s="226" t="s">
        <v>629</v>
      </c>
    </row>
    <row r="2728" spans="1:4">
      <c r="A2728" s="226" t="s">
        <v>4492</v>
      </c>
      <c r="B2728" s="226" t="s">
        <v>486</v>
      </c>
      <c r="C2728" s="226" t="s">
        <v>4493</v>
      </c>
      <c r="D2728" s="226" t="s">
        <v>577</v>
      </c>
    </row>
    <row r="2729" spans="1:4">
      <c r="A2729" s="226" t="s">
        <v>4494</v>
      </c>
      <c r="B2729" s="226">
        <v>531832</v>
      </c>
      <c r="C2729" s="226" t="s">
        <v>486</v>
      </c>
      <c r="D2729" s="226" t="s">
        <v>683</v>
      </c>
    </row>
    <row r="2730" spans="1:4">
      <c r="A2730" s="226" t="s">
        <v>4495</v>
      </c>
      <c r="B2730" s="226">
        <v>539917</v>
      </c>
      <c r="C2730" s="226" t="s">
        <v>4496</v>
      </c>
      <c r="D2730" s="226" t="s">
        <v>993</v>
      </c>
    </row>
    <row r="2731" spans="1:4">
      <c r="A2731" s="226" t="s">
        <v>4497</v>
      </c>
      <c r="B2731" s="226">
        <v>534184</v>
      </c>
      <c r="C2731" s="226" t="s">
        <v>4498</v>
      </c>
      <c r="D2731" s="226" t="s">
        <v>549</v>
      </c>
    </row>
    <row r="2732" spans="1:4">
      <c r="A2732" s="226" t="s">
        <v>4499</v>
      </c>
      <c r="B2732" s="226">
        <v>532362</v>
      </c>
      <c r="C2732" s="226" t="s">
        <v>486</v>
      </c>
      <c r="D2732" s="226" t="s">
        <v>518</v>
      </c>
    </row>
    <row r="2733" spans="1:4">
      <c r="A2733" s="226" t="s">
        <v>4500</v>
      </c>
      <c r="B2733" s="226">
        <v>532895</v>
      </c>
      <c r="C2733" s="226" t="s">
        <v>4501</v>
      </c>
      <c r="D2733" s="226" t="s">
        <v>506</v>
      </c>
    </row>
    <row r="2734" spans="1:4">
      <c r="A2734" s="226" t="s">
        <v>4502</v>
      </c>
      <c r="B2734" s="226">
        <v>521109</v>
      </c>
      <c r="C2734" s="226" t="s">
        <v>4503</v>
      </c>
      <c r="D2734" s="226" t="s">
        <v>501</v>
      </c>
    </row>
    <row r="2735" spans="1:4">
      <c r="A2735" s="226" t="s">
        <v>4504</v>
      </c>
      <c r="B2735" s="226">
        <v>532952</v>
      </c>
      <c r="C2735" s="226" t="s">
        <v>4505</v>
      </c>
      <c r="D2735" s="226" t="s">
        <v>506</v>
      </c>
    </row>
    <row r="2736" spans="1:4">
      <c r="A2736" s="226" t="s">
        <v>4506</v>
      </c>
      <c r="B2736" s="226">
        <v>519136</v>
      </c>
      <c r="C2736" s="226" t="s">
        <v>4507</v>
      </c>
      <c r="D2736" s="226" t="s">
        <v>501</v>
      </c>
    </row>
    <row r="2737" spans="1:4">
      <c r="A2737" s="226" t="s">
        <v>4508</v>
      </c>
      <c r="B2737" s="226">
        <v>523391</v>
      </c>
      <c r="C2737" s="226" t="s">
        <v>4509</v>
      </c>
      <c r="D2737" s="226" t="s">
        <v>501</v>
      </c>
    </row>
    <row r="2738" spans="1:4">
      <c r="A2738" s="226" t="s">
        <v>4510</v>
      </c>
      <c r="B2738" s="226">
        <v>500296</v>
      </c>
      <c r="C2738" s="226" t="s">
        <v>4511</v>
      </c>
      <c r="D2738" s="226" t="s">
        <v>501</v>
      </c>
    </row>
    <row r="2739" spans="1:4">
      <c r="A2739" s="226" t="s">
        <v>4512</v>
      </c>
      <c r="B2739" s="226">
        <v>541418</v>
      </c>
      <c r="C2739" s="226" t="s">
        <v>486</v>
      </c>
      <c r="D2739" s="226" t="s">
        <v>546</v>
      </c>
    </row>
    <row r="2740" spans="1:4">
      <c r="A2740" s="226" t="s">
        <v>4513</v>
      </c>
      <c r="B2740" s="226">
        <v>531212</v>
      </c>
      <c r="C2740" s="226" t="s">
        <v>486</v>
      </c>
      <c r="D2740" s="226" t="s">
        <v>503</v>
      </c>
    </row>
    <row r="2741" spans="1:4">
      <c r="A2741" s="226" t="s">
        <v>4514</v>
      </c>
      <c r="B2741" s="226">
        <v>532256</v>
      </c>
      <c r="C2741" s="226" t="s">
        <v>4515</v>
      </c>
      <c r="D2741" s="226" t="s">
        <v>503</v>
      </c>
    </row>
    <row r="2742" spans="1:4">
      <c r="A2742" s="226" t="s">
        <v>4516</v>
      </c>
      <c r="B2742" s="226">
        <v>538395</v>
      </c>
      <c r="C2742" s="226" t="s">
        <v>486</v>
      </c>
      <c r="D2742" s="226" t="s">
        <v>470</v>
      </c>
    </row>
    <row r="2743" spans="1:4">
      <c r="A2743" s="226" t="s">
        <v>4517</v>
      </c>
      <c r="B2743" s="226">
        <v>532641</v>
      </c>
      <c r="C2743" s="226" t="s">
        <v>4518</v>
      </c>
      <c r="D2743" s="226" t="s">
        <v>501</v>
      </c>
    </row>
    <row r="2744" spans="1:4">
      <c r="A2744" s="226" t="s">
        <v>4519</v>
      </c>
      <c r="B2744" s="226" t="s">
        <v>486</v>
      </c>
      <c r="C2744" s="226" t="s">
        <v>4520</v>
      </c>
      <c r="D2744" s="226" t="s">
        <v>497</v>
      </c>
    </row>
    <row r="2745" spans="1:4">
      <c r="A2745" s="226" t="s">
        <v>4521</v>
      </c>
      <c r="B2745" s="226">
        <v>539551</v>
      </c>
      <c r="C2745" s="226" t="s">
        <v>4522</v>
      </c>
      <c r="D2745" s="226" t="s">
        <v>955</v>
      </c>
    </row>
    <row r="2746" spans="1:4">
      <c r="A2746" s="226" t="s">
        <v>4523</v>
      </c>
      <c r="B2746" s="226">
        <v>540080</v>
      </c>
      <c r="C2746" s="226" t="s">
        <v>486</v>
      </c>
      <c r="D2746" s="226" t="s">
        <v>518</v>
      </c>
    </row>
    <row r="2747" spans="1:4">
      <c r="A2747" s="226" t="s">
        <v>4524</v>
      </c>
      <c r="B2747" s="226">
        <v>519455</v>
      </c>
      <c r="C2747" s="226" t="s">
        <v>486</v>
      </c>
      <c r="D2747" s="226" t="s">
        <v>599</v>
      </c>
    </row>
    <row r="2748" spans="1:4">
      <c r="A2748" s="226" t="s">
        <v>4525</v>
      </c>
      <c r="B2748" s="226">
        <v>540204</v>
      </c>
      <c r="C2748" s="226" t="s">
        <v>4526</v>
      </c>
      <c r="D2748" s="226" t="s">
        <v>570</v>
      </c>
    </row>
    <row r="2749" spans="1:4">
      <c r="A2749" s="226" t="s">
        <v>4527</v>
      </c>
      <c r="B2749" s="226">
        <v>531416</v>
      </c>
      <c r="C2749" s="226" t="s">
        <v>486</v>
      </c>
      <c r="D2749" s="226" t="s">
        <v>572</v>
      </c>
    </row>
    <row r="2750" spans="1:4">
      <c r="A2750" s="226" t="s">
        <v>4528</v>
      </c>
      <c r="B2750" s="226" t="s">
        <v>486</v>
      </c>
      <c r="C2750" s="226" t="s">
        <v>4529</v>
      </c>
      <c r="D2750" s="226" t="s">
        <v>497</v>
      </c>
    </row>
    <row r="2751" spans="1:4">
      <c r="A2751" s="226" t="s">
        <v>4530</v>
      </c>
      <c r="B2751" s="226">
        <v>526739</v>
      </c>
      <c r="C2751" s="226" t="s">
        <v>486</v>
      </c>
      <c r="D2751" s="226" t="s">
        <v>645</v>
      </c>
    </row>
    <row r="2752" spans="1:4">
      <c r="A2752" s="226" t="s">
        <v>4531</v>
      </c>
      <c r="B2752" s="226">
        <v>517431</v>
      </c>
      <c r="C2752" s="226" t="s">
        <v>4532</v>
      </c>
      <c r="D2752" s="226" t="s">
        <v>605</v>
      </c>
    </row>
    <row r="2753" spans="1:4">
      <c r="A2753" s="226" t="s">
        <v>4533</v>
      </c>
      <c r="B2753" s="226">
        <v>539595</v>
      </c>
      <c r="C2753" s="226" t="s">
        <v>486</v>
      </c>
      <c r="D2753" s="226" t="s">
        <v>470</v>
      </c>
    </row>
    <row r="2754" spans="1:4">
      <c r="A2754" s="226" t="s">
        <v>4534</v>
      </c>
      <c r="B2754" s="226">
        <v>524816</v>
      </c>
      <c r="C2754" s="226" t="s">
        <v>4535</v>
      </c>
      <c r="D2754" s="226" t="s">
        <v>524</v>
      </c>
    </row>
    <row r="2755" spans="1:4">
      <c r="A2755" s="226" t="s">
        <v>4536</v>
      </c>
      <c r="B2755" s="226">
        <v>537291</v>
      </c>
      <c r="C2755" s="226" t="s">
        <v>4537</v>
      </c>
      <c r="D2755" s="226" t="s">
        <v>683</v>
      </c>
    </row>
    <row r="2756" spans="1:4">
      <c r="A2756" s="226" t="s">
        <v>4538</v>
      </c>
      <c r="B2756" s="226">
        <v>537291</v>
      </c>
      <c r="C2756" s="226" t="s">
        <v>4537</v>
      </c>
      <c r="D2756" s="226" t="s">
        <v>683</v>
      </c>
    </row>
    <row r="2757" spans="1:4">
      <c r="A2757" s="226" t="s">
        <v>4539</v>
      </c>
      <c r="B2757" s="226">
        <v>502407</v>
      </c>
      <c r="C2757" s="226" t="s">
        <v>486</v>
      </c>
      <c r="D2757" s="226" t="s">
        <v>480</v>
      </c>
    </row>
    <row r="2758" spans="1:4">
      <c r="A2758" s="226" t="s">
        <v>4540</v>
      </c>
      <c r="B2758" s="226">
        <v>532234</v>
      </c>
      <c r="C2758" s="226" t="s">
        <v>4541</v>
      </c>
      <c r="D2758" s="226" t="s">
        <v>790</v>
      </c>
    </row>
    <row r="2759" spans="1:4">
      <c r="A2759" s="226" t="s">
        <v>4542</v>
      </c>
      <c r="B2759" s="226">
        <v>523630</v>
      </c>
      <c r="C2759" s="226" t="s">
        <v>4543</v>
      </c>
      <c r="D2759" s="226" t="s">
        <v>993</v>
      </c>
    </row>
    <row r="2760" spans="1:4">
      <c r="A2760" s="226" t="s">
        <v>4544</v>
      </c>
      <c r="B2760" s="226">
        <v>531289</v>
      </c>
      <c r="C2760" s="226" t="s">
        <v>486</v>
      </c>
      <c r="D2760" s="226" t="s">
        <v>808</v>
      </c>
    </row>
    <row r="2761" spans="1:4">
      <c r="A2761" s="226" t="s">
        <v>4545</v>
      </c>
      <c r="B2761" s="226">
        <v>531651</v>
      </c>
      <c r="C2761" s="226" t="s">
        <v>486</v>
      </c>
      <c r="D2761" s="226" t="s">
        <v>518</v>
      </c>
    </row>
    <row r="2762" spans="1:4">
      <c r="A2762" s="226" t="s">
        <v>4546</v>
      </c>
      <c r="B2762" s="226">
        <v>507813</v>
      </c>
      <c r="C2762" s="226" t="s">
        <v>486</v>
      </c>
      <c r="D2762" s="226" t="s">
        <v>1519</v>
      </c>
    </row>
    <row r="2763" spans="1:4">
      <c r="A2763" s="226" t="s">
        <v>4547</v>
      </c>
      <c r="B2763" s="226">
        <v>500298</v>
      </c>
      <c r="C2763" s="226" t="s">
        <v>486</v>
      </c>
      <c r="D2763" s="226" t="s">
        <v>534</v>
      </c>
    </row>
    <row r="2764" spans="1:4">
      <c r="A2764" s="226" t="s">
        <v>4548</v>
      </c>
      <c r="B2764" s="226">
        <v>526616</v>
      </c>
      <c r="C2764" s="226" t="s">
        <v>486</v>
      </c>
      <c r="D2764" s="226" t="s">
        <v>605</v>
      </c>
    </row>
    <row r="2765" spans="1:4">
      <c r="A2765" s="226" t="s">
        <v>4549</v>
      </c>
      <c r="B2765" s="226">
        <v>531287</v>
      </c>
      <c r="C2765" s="226" t="s">
        <v>486</v>
      </c>
      <c r="D2765" s="226" t="s">
        <v>605</v>
      </c>
    </row>
    <row r="2766" spans="1:4">
      <c r="A2766" s="226" t="s">
        <v>4550</v>
      </c>
      <c r="B2766" s="226">
        <v>516062</v>
      </c>
      <c r="C2766" s="226" t="s">
        <v>486</v>
      </c>
      <c r="D2766" s="226" t="s">
        <v>980</v>
      </c>
    </row>
    <row r="2767" spans="1:4">
      <c r="A2767" s="226" t="s">
        <v>4551</v>
      </c>
      <c r="B2767" s="226">
        <v>504882</v>
      </c>
      <c r="C2767" s="226" t="s">
        <v>486</v>
      </c>
      <c r="D2767" s="226" t="s">
        <v>572</v>
      </c>
    </row>
    <row r="2768" spans="1:4">
      <c r="A2768" s="226" t="s">
        <v>4552</v>
      </c>
      <c r="B2768" s="226">
        <v>504882</v>
      </c>
      <c r="C2768" s="226" t="s">
        <v>486</v>
      </c>
      <c r="D2768" s="226" t="s">
        <v>572</v>
      </c>
    </row>
    <row r="2769" spans="1:4">
      <c r="A2769" s="226" t="s">
        <v>4553</v>
      </c>
      <c r="B2769" s="226">
        <v>513179</v>
      </c>
      <c r="C2769" s="226" t="s">
        <v>4554</v>
      </c>
      <c r="D2769" s="226" t="s">
        <v>518</v>
      </c>
    </row>
    <row r="2770" spans="1:4">
      <c r="A2770" s="226" t="s">
        <v>4555</v>
      </c>
      <c r="B2770" s="226">
        <v>530119</v>
      </c>
      <c r="C2770" s="226" t="s">
        <v>486</v>
      </c>
      <c r="D2770" s="226" t="s">
        <v>734</v>
      </c>
    </row>
    <row r="2771" spans="1:4">
      <c r="A2771" s="226" t="s">
        <v>4556</v>
      </c>
      <c r="B2771" s="226">
        <v>531834</v>
      </c>
      <c r="C2771" s="226" t="s">
        <v>486</v>
      </c>
      <c r="D2771" s="226" t="s">
        <v>683</v>
      </c>
    </row>
    <row r="2772" spans="1:4">
      <c r="A2772" s="226" t="s">
        <v>4557</v>
      </c>
      <c r="B2772" s="226">
        <v>524654</v>
      </c>
      <c r="C2772" s="226" t="s">
        <v>486</v>
      </c>
      <c r="D2772" s="226" t="s">
        <v>524</v>
      </c>
    </row>
    <row r="2773" spans="1:4">
      <c r="A2773" s="226" t="s">
        <v>4558</v>
      </c>
      <c r="B2773" s="226">
        <v>538926</v>
      </c>
      <c r="C2773" s="226" t="s">
        <v>486</v>
      </c>
      <c r="D2773" s="226" t="s">
        <v>683</v>
      </c>
    </row>
    <row r="2774" spans="1:4">
      <c r="A2774" s="226" t="s">
        <v>4559</v>
      </c>
      <c r="B2774" s="226">
        <v>513023</v>
      </c>
      <c r="C2774" s="226" t="s">
        <v>4560</v>
      </c>
      <c r="D2774" s="226" t="s">
        <v>624</v>
      </c>
    </row>
    <row r="2775" spans="1:4">
      <c r="A2775" s="226" t="s">
        <v>4561</v>
      </c>
      <c r="B2775" s="226">
        <v>539521</v>
      </c>
      <c r="C2775" s="226" t="s">
        <v>486</v>
      </c>
      <c r="D2775" s="226" t="s">
        <v>470</v>
      </c>
    </row>
    <row r="2776" spans="1:4">
      <c r="A2776" s="226" t="s">
        <v>4562</v>
      </c>
      <c r="B2776" s="226">
        <v>532504</v>
      </c>
      <c r="C2776" s="226" t="s">
        <v>4563</v>
      </c>
      <c r="D2776" s="226" t="s">
        <v>534</v>
      </c>
    </row>
    <row r="2777" spans="1:4">
      <c r="A2777" s="226" t="s">
        <v>4564</v>
      </c>
      <c r="B2777" s="226">
        <v>531494</v>
      </c>
      <c r="C2777" s="226" t="s">
        <v>486</v>
      </c>
      <c r="D2777" s="226" t="s">
        <v>572</v>
      </c>
    </row>
    <row r="2778" spans="1:4">
      <c r="A2778" s="226" t="s">
        <v>4565</v>
      </c>
      <c r="B2778" s="226">
        <v>539332</v>
      </c>
      <c r="C2778" s="226" t="s">
        <v>4566</v>
      </c>
      <c r="D2778" s="226" t="s">
        <v>608</v>
      </c>
    </row>
    <row r="2779" spans="1:4">
      <c r="A2779" s="226" t="s">
        <v>4567</v>
      </c>
      <c r="B2779" s="226">
        <v>539525</v>
      </c>
      <c r="C2779" s="226" t="s">
        <v>486</v>
      </c>
      <c r="D2779" s="226" t="s">
        <v>520</v>
      </c>
    </row>
    <row r="2780" spans="1:4">
      <c r="A2780" s="226" t="s">
        <v>4568</v>
      </c>
      <c r="B2780" s="226">
        <v>508989</v>
      </c>
      <c r="C2780" s="226" t="s">
        <v>4569</v>
      </c>
      <c r="D2780" s="226" t="s">
        <v>1009</v>
      </c>
    </row>
    <row r="2781" spans="1:4">
      <c r="A2781" s="226" t="s">
        <v>4570</v>
      </c>
      <c r="B2781" s="226">
        <v>538668</v>
      </c>
      <c r="C2781" s="226" t="s">
        <v>486</v>
      </c>
      <c r="D2781" s="226" t="s">
        <v>503</v>
      </c>
    </row>
    <row r="2782" spans="1:4">
      <c r="A2782" s="226" t="s">
        <v>4571</v>
      </c>
      <c r="B2782" s="226">
        <v>523242</v>
      </c>
      <c r="C2782" s="226" t="s">
        <v>486</v>
      </c>
      <c r="D2782" s="226" t="s">
        <v>911</v>
      </c>
    </row>
    <row r="2783" spans="1:4">
      <c r="A2783" s="226" t="s">
        <v>4572</v>
      </c>
      <c r="B2783" s="226">
        <v>534309</v>
      </c>
      <c r="C2783" s="226" t="s">
        <v>4573</v>
      </c>
      <c r="D2783" s="226" t="s">
        <v>883</v>
      </c>
    </row>
    <row r="2784" spans="1:4">
      <c r="A2784" s="226" t="s">
        <v>4574</v>
      </c>
      <c r="B2784" s="226">
        <v>534309</v>
      </c>
      <c r="C2784" s="226" t="s">
        <v>4573</v>
      </c>
      <c r="D2784" s="226" t="s">
        <v>883</v>
      </c>
    </row>
    <row r="2785" spans="1:4">
      <c r="A2785" s="226" t="s">
        <v>4575</v>
      </c>
      <c r="B2785" s="226">
        <v>519506</v>
      </c>
      <c r="C2785" s="226" t="s">
        <v>486</v>
      </c>
      <c r="D2785" s="226" t="s">
        <v>546</v>
      </c>
    </row>
    <row r="2786" spans="1:4">
      <c r="A2786" s="226" t="s">
        <v>4576</v>
      </c>
      <c r="B2786" s="226">
        <v>531452</v>
      </c>
      <c r="C2786" s="226" t="s">
        <v>486</v>
      </c>
      <c r="D2786" s="226" t="s">
        <v>503</v>
      </c>
    </row>
    <row r="2787" spans="1:4">
      <c r="A2787" s="226" t="s">
        <v>4577</v>
      </c>
      <c r="B2787" s="226">
        <v>500294</v>
      </c>
      <c r="C2787" s="226" t="s">
        <v>4578</v>
      </c>
      <c r="D2787" s="226" t="s">
        <v>883</v>
      </c>
    </row>
    <row r="2788" spans="1:4">
      <c r="A2788" s="226" t="s">
        <v>4579</v>
      </c>
      <c r="B2788" s="226">
        <v>502168</v>
      </c>
      <c r="C2788" s="226" t="s">
        <v>4580</v>
      </c>
      <c r="D2788" s="226" t="s">
        <v>499</v>
      </c>
    </row>
    <row r="2789" spans="1:4">
      <c r="A2789" s="226" t="s">
        <v>4581</v>
      </c>
      <c r="B2789" s="226">
        <v>530557</v>
      </c>
      <c r="C2789" s="226" t="s">
        <v>486</v>
      </c>
      <c r="D2789" s="226" t="s">
        <v>470</v>
      </c>
    </row>
    <row r="2790" spans="1:4">
      <c r="A2790" s="226" t="s">
        <v>4582</v>
      </c>
      <c r="B2790" s="226">
        <v>511535</v>
      </c>
      <c r="C2790" s="226" t="s">
        <v>486</v>
      </c>
      <c r="D2790" s="226" t="s">
        <v>470</v>
      </c>
    </row>
    <row r="2791" spans="1:4">
      <c r="A2791" s="226" t="s">
        <v>4583</v>
      </c>
      <c r="B2791" s="226">
        <v>532649</v>
      </c>
      <c r="C2791" s="226" t="s">
        <v>4584</v>
      </c>
      <c r="D2791" s="226" t="s">
        <v>524</v>
      </c>
    </row>
    <row r="2792" spans="1:4">
      <c r="A2792" s="226" t="s">
        <v>4585</v>
      </c>
      <c r="B2792" s="226">
        <v>508670</v>
      </c>
      <c r="C2792" s="226" t="s">
        <v>486</v>
      </c>
      <c r="D2792" s="226" t="s">
        <v>892</v>
      </c>
    </row>
    <row r="2793" spans="1:4">
      <c r="A2793" s="226" t="s">
        <v>4586</v>
      </c>
      <c r="B2793" s="226">
        <v>531049</v>
      </c>
      <c r="C2793" s="226" t="s">
        <v>486</v>
      </c>
      <c r="D2793" s="226" t="s">
        <v>1013</v>
      </c>
    </row>
    <row r="2794" spans="1:4">
      <c r="A2794" s="226" t="s">
        <v>4587</v>
      </c>
      <c r="B2794" s="226">
        <v>539409</v>
      </c>
      <c r="C2794" s="226" t="s">
        <v>486</v>
      </c>
      <c r="D2794" s="226" t="s">
        <v>508</v>
      </c>
    </row>
    <row r="2795" spans="1:4">
      <c r="A2795" s="226" t="s">
        <v>4588</v>
      </c>
      <c r="B2795" s="226">
        <v>537838</v>
      </c>
      <c r="C2795" s="226" t="s">
        <v>486</v>
      </c>
      <c r="D2795" s="226" t="s">
        <v>508</v>
      </c>
    </row>
    <row r="2796" spans="1:4">
      <c r="A2796" s="226" t="s">
        <v>4589</v>
      </c>
      <c r="B2796" s="226">
        <v>519560</v>
      </c>
      <c r="C2796" s="226" t="s">
        <v>486</v>
      </c>
      <c r="D2796" s="226" t="s">
        <v>683</v>
      </c>
    </row>
    <row r="2797" spans="1:4">
      <c r="A2797" s="226" t="s">
        <v>4590</v>
      </c>
      <c r="B2797" s="226">
        <v>539016</v>
      </c>
      <c r="C2797" s="226" t="s">
        <v>486</v>
      </c>
      <c r="D2797" s="226" t="s">
        <v>503</v>
      </c>
    </row>
    <row r="2798" spans="1:4">
      <c r="A2798" s="226" t="s">
        <v>4591</v>
      </c>
      <c r="B2798" s="226">
        <v>532864</v>
      </c>
      <c r="C2798" s="226" t="s">
        <v>4592</v>
      </c>
      <c r="D2798" s="226" t="s">
        <v>1403</v>
      </c>
    </row>
    <row r="2799" spans="1:4">
      <c r="A2799" s="226" t="s">
        <v>4593</v>
      </c>
      <c r="B2799" s="226">
        <v>504112</v>
      </c>
      <c r="C2799" s="226" t="s">
        <v>4594</v>
      </c>
      <c r="D2799" s="226" t="s">
        <v>2110</v>
      </c>
    </row>
    <row r="2800" spans="1:4">
      <c r="A2800" s="226" t="s">
        <v>4595</v>
      </c>
      <c r="B2800" s="226">
        <v>514332</v>
      </c>
      <c r="C2800" s="226" t="s">
        <v>486</v>
      </c>
      <c r="D2800" s="226" t="s">
        <v>572</v>
      </c>
    </row>
    <row r="2801" spans="1:4">
      <c r="A2801" s="226" t="s">
        <v>4596</v>
      </c>
      <c r="B2801" s="226">
        <v>526195</v>
      </c>
      <c r="C2801" s="226" t="s">
        <v>486</v>
      </c>
      <c r="D2801" s="226" t="s">
        <v>599</v>
      </c>
    </row>
    <row r="2802" spans="1:4">
      <c r="A2802" s="226" t="s">
        <v>4597</v>
      </c>
      <c r="B2802" s="226">
        <v>526195</v>
      </c>
      <c r="C2802" s="226" t="s">
        <v>486</v>
      </c>
      <c r="D2802" s="226" t="s">
        <v>599</v>
      </c>
    </row>
    <row r="2803" spans="1:4">
      <c r="A2803" s="226" t="s">
        <v>4598</v>
      </c>
      <c r="B2803" s="226">
        <v>542665</v>
      </c>
      <c r="C2803" s="226" t="s">
        <v>4599</v>
      </c>
      <c r="D2803" s="226" t="s">
        <v>645</v>
      </c>
    </row>
    <row r="2804" spans="1:4">
      <c r="A2804" s="226" t="s">
        <v>4600</v>
      </c>
      <c r="B2804" s="226">
        <v>512522</v>
      </c>
      <c r="C2804" s="226" t="s">
        <v>486</v>
      </c>
      <c r="D2804" s="226" t="s">
        <v>508</v>
      </c>
    </row>
    <row r="2805" spans="1:4">
      <c r="A2805" s="226" t="s">
        <v>4601</v>
      </c>
      <c r="B2805" s="226">
        <v>505355</v>
      </c>
      <c r="C2805" s="226" t="s">
        <v>4602</v>
      </c>
      <c r="D2805" s="226" t="s">
        <v>906</v>
      </c>
    </row>
    <row r="2806" spans="1:4">
      <c r="A2806" s="226" t="s">
        <v>4603</v>
      </c>
      <c r="B2806" s="226">
        <v>500790</v>
      </c>
      <c r="C2806" s="226" t="s">
        <v>4604</v>
      </c>
      <c r="D2806" s="226" t="s">
        <v>546</v>
      </c>
    </row>
    <row r="2807" spans="1:4">
      <c r="A2807" s="226" t="s">
        <v>4605</v>
      </c>
      <c r="B2807" s="226">
        <v>500790</v>
      </c>
      <c r="C2807" s="226" t="s">
        <v>4604</v>
      </c>
      <c r="D2807" s="226" t="s">
        <v>546</v>
      </c>
    </row>
    <row r="2808" spans="1:4">
      <c r="A2808" s="226" t="s">
        <v>4606</v>
      </c>
      <c r="B2808" s="226">
        <v>509040</v>
      </c>
      <c r="C2808" s="226" t="s">
        <v>486</v>
      </c>
      <c r="D2808" s="226" t="s">
        <v>579</v>
      </c>
    </row>
    <row r="2809" spans="1:4">
      <c r="A2809" s="226" t="s">
        <v>4607</v>
      </c>
      <c r="B2809" s="226">
        <v>509040</v>
      </c>
      <c r="C2809" s="226" t="s">
        <v>486</v>
      </c>
      <c r="D2809" s="226" t="s">
        <v>579</v>
      </c>
    </row>
    <row r="2810" spans="1:4">
      <c r="A2810" s="226" t="s">
        <v>4608</v>
      </c>
      <c r="B2810" s="226">
        <v>542117</v>
      </c>
      <c r="C2810" s="226" t="s">
        <v>486</v>
      </c>
      <c r="D2810" s="226" t="s">
        <v>577</v>
      </c>
    </row>
    <row r="2811" spans="1:4">
      <c r="A2811" s="226" t="s">
        <v>4609</v>
      </c>
      <c r="B2811" s="226">
        <v>511658</v>
      </c>
      <c r="C2811" s="226" t="s">
        <v>486</v>
      </c>
      <c r="D2811" s="226" t="s">
        <v>579</v>
      </c>
    </row>
    <row r="2812" spans="1:4">
      <c r="A2812" s="226" t="s">
        <v>4610</v>
      </c>
      <c r="B2812" s="226">
        <v>523558</v>
      </c>
      <c r="C2812" s="226" t="s">
        <v>486</v>
      </c>
      <c r="D2812" s="226" t="s">
        <v>1027</v>
      </c>
    </row>
    <row r="2813" spans="1:4">
      <c r="A2813" s="226" t="s">
        <v>4611</v>
      </c>
      <c r="B2813" s="226">
        <v>532798</v>
      </c>
      <c r="C2813" s="226" t="s">
        <v>4612</v>
      </c>
      <c r="D2813" s="226" t="s">
        <v>651</v>
      </c>
    </row>
    <row r="2814" spans="1:4">
      <c r="A2814" s="226" t="s">
        <v>4613</v>
      </c>
      <c r="B2814" s="226">
        <v>532887</v>
      </c>
      <c r="C2814" s="226" t="s">
        <v>4614</v>
      </c>
      <c r="D2814" s="226" t="s">
        <v>529</v>
      </c>
    </row>
    <row r="2815" spans="1:4">
      <c r="A2815" s="226" t="s">
        <v>4615</v>
      </c>
      <c r="B2815" s="226">
        <v>524558</v>
      </c>
      <c r="C2815" s="226" t="s">
        <v>4616</v>
      </c>
      <c r="D2815" s="226" t="s">
        <v>524</v>
      </c>
    </row>
    <row r="2816" spans="1:4">
      <c r="A2816" s="226" t="s">
        <v>4617</v>
      </c>
      <c r="B2816" s="226">
        <v>532529</v>
      </c>
      <c r="C2816" s="226" t="s">
        <v>4618</v>
      </c>
      <c r="D2816" s="226" t="s">
        <v>1222</v>
      </c>
    </row>
    <row r="2817" spans="1:4">
      <c r="A2817" s="226" t="s">
        <v>4619</v>
      </c>
      <c r="B2817" s="226">
        <v>540243</v>
      </c>
      <c r="C2817" s="226" t="s">
        <v>486</v>
      </c>
      <c r="D2817" s="226" t="s">
        <v>508</v>
      </c>
    </row>
    <row r="2818" spans="1:4">
      <c r="A2818" s="226" t="s">
        <v>4620</v>
      </c>
      <c r="B2818" s="226">
        <v>508867</v>
      </c>
      <c r="C2818" s="226" t="s">
        <v>486</v>
      </c>
      <c r="D2818" s="226" t="s">
        <v>579</v>
      </c>
    </row>
    <row r="2819" spans="1:4">
      <c r="A2819" s="226" t="s">
        <v>4621</v>
      </c>
      <c r="B2819" s="226">
        <v>501479</v>
      </c>
      <c r="C2819" s="226" t="s">
        <v>486</v>
      </c>
      <c r="D2819" s="226" t="s">
        <v>508</v>
      </c>
    </row>
    <row r="2820" spans="1:4">
      <c r="A2820" s="226" t="s">
        <v>4622</v>
      </c>
      <c r="B2820" s="226">
        <v>536644</v>
      </c>
      <c r="C2820" s="226" t="s">
        <v>486</v>
      </c>
      <c r="D2820" s="226" t="s">
        <v>508</v>
      </c>
    </row>
    <row r="2821" spans="1:4">
      <c r="A2821" s="226" t="s">
        <v>4623</v>
      </c>
      <c r="B2821" s="226">
        <v>540900</v>
      </c>
      <c r="C2821" s="226" t="s">
        <v>4624</v>
      </c>
      <c r="D2821" s="226" t="s">
        <v>473</v>
      </c>
    </row>
    <row r="2822" spans="1:4">
      <c r="A2822" s="226" t="s">
        <v>4625</v>
      </c>
      <c r="B2822" s="226">
        <v>532416</v>
      </c>
      <c r="C2822" s="226" t="s">
        <v>4626</v>
      </c>
      <c r="D2822" s="226" t="s">
        <v>1009</v>
      </c>
    </row>
    <row r="2823" spans="1:4">
      <c r="A2823" s="226" t="s">
        <v>4627</v>
      </c>
      <c r="B2823" s="226">
        <v>538874</v>
      </c>
      <c r="C2823" s="226" t="s">
        <v>486</v>
      </c>
      <c r="D2823" s="226" t="s">
        <v>470</v>
      </c>
    </row>
    <row r="2824" spans="1:4">
      <c r="A2824" s="226" t="s">
        <v>4628</v>
      </c>
      <c r="B2824" s="226">
        <v>524774</v>
      </c>
      <c r="C2824" s="226" t="s">
        <v>486</v>
      </c>
      <c r="D2824" s="226" t="s">
        <v>524</v>
      </c>
    </row>
    <row r="2825" spans="1:4">
      <c r="A2825" s="226" t="s">
        <v>4629</v>
      </c>
      <c r="B2825" s="226">
        <v>517554</v>
      </c>
      <c r="C2825" s="226" t="s">
        <v>486</v>
      </c>
      <c r="D2825" s="226" t="s">
        <v>566</v>
      </c>
    </row>
    <row r="2826" spans="1:4">
      <c r="A2826" s="226" t="s">
        <v>4630</v>
      </c>
      <c r="B2826" s="226">
        <v>533098</v>
      </c>
      <c r="C2826" s="226" t="s">
        <v>4631</v>
      </c>
      <c r="D2826" s="226" t="s">
        <v>624</v>
      </c>
    </row>
    <row r="2827" spans="1:4">
      <c r="A2827" s="226" t="s">
        <v>4632</v>
      </c>
      <c r="B2827" s="226">
        <v>526721</v>
      </c>
      <c r="C2827" s="226" t="s">
        <v>486</v>
      </c>
      <c r="D2827" s="226" t="s">
        <v>663</v>
      </c>
    </row>
    <row r="2828" spans="1:4">
      <c r="A2828" s="226" t="s">
        <v>4633</v>
      </c>
      <c r="B2828" s="226">
        <v>523209</v>
      </c>
      <c r="C2828" s="226" t="s">
        <v>486</v>
      </c>
      <c r="D2828" s="226" t="s">
        <v>503</v>
      </c>
    </row>
    <row r="2829" spans="1:4">
      <c r="A2829" s="226" t="s">
        <v>4634</v>
      </c>
      <c r="B2829" s="226">
        <v>512103</v>
      </c>
      <c r="C2829" s="226" t="s">
        <v>486</v>
      </c>
      <c r="D2829" s="226" t="s">
        <v>1013</v>
      </c>
    </row>
    <row r="2830" spans="1:4">
      <c r="A2830" s="226" t="s">
        <v>4635</v>
      </c>
      <c r="B2830" s="226">
        <v>531083</v>
      </c>
      <c r="C2830" s="226" t="s">
        <v>486</v>
      </c>
      <c r="D2830" s="226" t="s">
        <v>579</v>
      </c>
    </row>
    <row r="2831" spans="1:4">
      <c r="A2831" s="226" t="s">
        <v>4636</v>
      </c>
      <c r="B2831" s="226">
        <v>500304</v>
      </c>
      <c r="C2831" s="226" t="s">
        <v>4637</v>
      </c>
      <c r="D2831" s="226" t="s">
        <v>970</v>
      </c>
    </row>
    <row r="2832" spans="1:4">
      <c r="A2832" s="226" t="s">
        <v>4638</v>
      </c>
      <c r="B2832" s="226">
        <v>532541</v>
      </c>
      <c r="C2832" s="226" t="s">
        <v>4639</v>
      </c>
      <c r="D2832" s="226" t="s">
        <v>473</v>
      </c>
    </row>
    <row r="2833" spans="1:4">
      <c r="A2833" s="226" t="s">
        <v>4640</v>
      </c>
      <c r="B2833" s="226">
        <v>526159</v>
      </c>
      <c r="C2833" s="226" t="s">
        <v>486</v>
      </c>
      <c r="D2833" s="226" t="s">
        <v>508</v>
      </c>
    </row>
    <row r="2834" spans="1:4">
      <c r="A2834" s="226" t="s">
        <v>4641</v>
      </c>
      <c r="B2834" s="226">
        <v>531272</v>
      </c>
      <c r="C2834" s="226" t="s">
        <v>486</v>
      </c>
      <c r="D2834" s="226" t="s">
        <v>503</v>
      </c>
    </row>
    <row r="2835" spans="1:4">
      <c r="A2835" s="226" t="s">
        <v>4642</v>
      </c>
      <c r="B2835" s="226">
        <v>530377</v>
      </c>
      <c r="C2835" s="226" t="s">
        <v>4643</v>
      </c>
      <c r="D2835" s="226" t="s">
        <v>572</v>
      </c>
    </row>
    <row r="2836" spans="1:4">
      <c r="A2836" s="226" t="s">
        <v>4644</v>
      </c>
      <c r="B2836" s="226">
        <v>542231</v>
      </c>
      <c r="C2836" s="226" t="s">
        <v>4645</v>
      </c>
      <c r="D2836" s="226" t="s">
        <v>572</v>
      </c>
    </row>
    <row r="2837" spans="1:4">
      <c r="A2837" s="226" t="s">
        <v>4646</v>
      </c>
      <c r="B2837" s="226">
        <v>502294</v>
      </c>
      <c r="C2837" s="226" t="s">
        <v>486</v>
      </c>
      <c r="D2837" s="226" t="s">
        <v>1013</v>
      </c>
    </row>
    <row r="2838" spans="1:4">
      <c r="A2838" s="226" t="s">
        <v>4647</v>
      </c>
      <c r="B2838" s="226">
        <v>530129</v>
      </c>
      <c r="C2838" s="226" t="s">
        <v>486</v>
      </c>
      <c r="D2838" s="226" t="s">
        <v>808</v>
      </c>
    </row>
    <row r="2839" spans="1:4">
      <c r="A2839" s="226" t="s">
        <v>4648</v>
      </c>
      <c r="B2839" s="226">
        <v>523385</v>
      </c>
      <c r="C2839" s="226" t="s">
        <v>4649</v>
      </c>
      <c r="D2839" s="226" t="s">
        <v>605</v>
      </c>
    </row>
    <row r="2840" spans="1:4">
      <c r="A2840" s="226" t="s">
        <v>4650</v>
      </c>
      <c r="B2840" s="226">
        <v>512004</v>
      </c>
      <c r="C2840" s="226" t="s">
        <v>486</v>
      </c>
      <c r="D2840" s="226" t="s">
        <v>906</v>
      </c>
    </row>
    <row r="2841" spans="1:4">
      <c r="A2841" s="226" t="s">
        <v>4651</v>
      </c>
      <c r="B2841" s="226">
        <v>531598</v>
      </c>
      <c r="C2841" s="226" t="s">
        <v>486</v>
      </c>
      <c r="D2841" s="226" t="s">
        <v>546</v>
      </c>
    </row>
    <row r="2842" spans="1:4">
      <c r="A2842" s="226" t="s">
        <v>4652</v>
      </c>
      <c r="B2842" s="226">
        <v>530971</v>
      </c>
      <c r="C2842" s="226" t="s">
        <v>486</v>
      </c>
      <c r="D2842" s="226" t="s">
        <v>508</v>
      </c>
    </row>
    <row r="2843" spans="1:4">
      <c r="A2843" s="226" t="s">
        <v>4653</v>
      </c>
      <c r="B2843" s="226">
        <v>511714</v>
      </c>
      <c r="C2843" s="226" t="s">
        <v>486</v>
      </c>
      <c r="D2843" s="226" t="s">
        <v>572</v>
      </c>
    </row>
    <row r="2844" spans="1:4">
      <c r="A2844" s="226" t="s">
        <v>4654</v>
      </c>
      <c r="B2844" s="226">
        <v>539843</v>
      </c>
      <c r="C2844" s="226" t="s">
        <v>486</v>
      </c>
      <c r="D2844" s="226" t="s">
        <v>473</v>
      </c>
    </row>
    <row r="2845" spans="1:4">
      <c r="A2845" s="226" t="s">
        <v>4655</v>
      </c>
      <c r="B2845" s="226">
        <v>532986</v>
      </c>
      <c r="C2845" s="226" t="s">
        <v>486</v>
      </c>
      <c r="D2845" s="226" t="s">
        <v>883</v>
      </c>
    </row>
    <row r="2846" spans="1:4">
      <c r="A2846" s="226" t="s">
        <v>4656</v>
      </c>
      <c r="B2846" s="226" t="s">
        <v>486</v>
      </c>
      <c r="C2846" s="226" t="s">
        <v>4657</v>
      </c>
      <c r="D2846" s="226" t="s">
        <v>577</v>
      </c>
    </row>
    <row r="2847" spans="1:4">
      <c r="A2847" s="226" t="s">
        <v>4658</v>
      </c>
      <c r="B2847" s="226">
        <v>512425</v>
      </c>
      <c r="C2847" s="226" t="s">
        <v>486</v>
      </c>
      <c r="D2847" s="226" t="s">
        <v>508</v>
      </c>
    </row>
    <row r="2848" spans="1:4">
      <c r="A2848" s="226" t="s">
        <v>4659</v>
      </c>
      <c r="B2848" s="226">
        <v>500307</v>
      </c>
      <c r="C2848" s="226" t="s">
        <v>486</v>
      </c>
      <c r="D2848" s="226" t="s">
        <v>906</v>
      </c>
    </row>
    <row r="2849" spans="1:4">
      <c r="A2849" s="226" t="s">
        <v>4660</v>
      </c>
      <c r="B2849" s="226">
        <v>539311</v>
      </c>
      <c r="C2849" s="226" t="s">
        <v>486</v>
      </c>
      <c r="D2849" s="226" t="s">
        <v>470</v>
      </c>
    </row>
    <row r="2850" spans="1:4">
      <c r="A2850" s="226" t="s">
        <v>4661</v>
      </c>
      <c r="B2850" s="226">
        <v>539311</v>
      </c>
      <c r="C2850" s="226" t="s">
        <v>486</v>
      </c>
      <c r="D2850" s="226" t="s">
        <v>470</v>
      </c>
    </row>
    <row r="2851" spans="1:4">
      <c r="A2851" s="226" t="s">
        <v>4662</v>
      </c>
      <c r="B2851" s="226">
        <v>532722</v>
      </c>
      <c r="C2851" s="226" t="s">
        <v>4663</v>
      </c>
      <c r="D2851" s="226" t="s">
        <v>762</v>
      </c>
    </row>
    <row r="2852" spans="1:4">
      <c r="A2852" s="226" t="s">
        <v>4664</v>
      </c>
      <c r="B2852" s="226">
        <v>533202</v>
      </c>
      <c r="C2852" s="226" t="s">
        <v>4665</v>
      </c>
      <c r="D2852" s="226" t="s">
        <v>572</v>
      </c>
    </row>
    <row r="2853" spans="1:4">
      <c r="A2853" s="226" t="s">
        <v>4666</v>
      </c>
      <c r="B2853" s="226">
        <v>508875</v>
      </c>
      <c r="C2853" s="226" t="s">
        <v>486</v>
      </c>
      <c r="D2853" s="226" t="s">
        <v>906</v>
      </c>
    </row>
    <row r="2854" spans="1:4">
      <c r="A2854" s="226" t="s">
        <v>4667</v>
      </c>
      <c r="B2854" s="226">
        <v>532854</v>
      </c>
      <c r="C2854" s="226" t="s">
        <v>4668</v>
      </c>
      <c r="D2854" s="226" t="s">
        <v>494</v>
      </c>
    </row>
    <row r="2855" spans="1:4">
      <c r="A2855" s="226" t="s">
        <v>4669</v>
      </c>
      <c r="B2855" s="226">
        <v>532698</v>
      </c>
      <c r="C2855" s="226" t="s">
        <v>4670</v>
      </c>
      <c r="D2855" s="226" t="s">
        <v>501</v>
      </c>
    </row>
    <row r="2856" spans="1:4">
      <c r="A2856" s="226" t="s">
        <v>4671</v>
      </c>
      <c r="B2856" s="226" t="s">
        <v>486</v>
      </c>
      <c r="C2856" s="226" t="s">
        <v>4672</v>
      </c>
      <c r="D2856" s="226" t="s">
        <v>497</v>
      </c>
    </row>
    <row r="2857" spans="1:4">
      <c r="A2857" s="226" t="s">
        <v>4673</v>
      </c>
      <c r="B2857" s="226">
        <v>506532</v>
      </c>
      <c r="C2857" s="226" t="s">
        <v>486</v>
      </c>
      <c r="D2857" s="226" t="s">
        <v>645</v>
      </c>
    </row>
    <row r="2858" spans="1:4">
      <c r="A2858" s="226" t="s">
        <v>4674</v>
      </c>
      <c r="B2858" s="226">
        <v>506532</v>
      </c>
      <c r="C2858" s="226" t="s">
        <v>486</v>
      </c>
      <c r="D2858" s="226" t="s">
        <v>645</v>
      </c>
    </row>
    <row r="2859" spans="1:4">
      <c r="A2859" s="226" t="s">
        <v>4675</v>
      </c>
      <c r="B2859" s="226">
        <v>512381</v>
      </c>
      <c r="C2859" s="226" t="s">
        <v>486</v>
      </c>
      <c r="D2859" s="226" t="s">
        <v>508</v>
      </c>
    </row>
    <row r="2860" spans="1:4">
      <c r="A2860" s="226" t="s">
        <v>4676</v>
      </c>
      <c r="B2860" s="226">
        <v>512245</v>
      </c>
      <c r="C2860" s="226" t="s">
        <v>486</v>
      </c>
      <c r="D2860" s="226" t="s">
        <v>906</v>
      </c>
    </row>
    <row r="2861" spans="1:4">
      <c r="A2861" s="226" t="s">
        <v>4677</v>
      </c>
      <c r="B2861" s="226">
        <v>538772</v>
      </c>
      <c r="C2861" s="226" t="s">
        <v>486</v>
      </c>
      <c r="D2861" s="226" t="s">
        <v>503</v>
      </c>
    </row>
    <row r="2862" spans="1:4">
      <c r="A2862" s="226" t="s">
        <v>4678</v>
      </c>
      <c r="B2862" s="226">
        <v>519494</v>
      </c>
      <c r="C2862" s="226" t="s">
        <v>4679</v>
      </c>
      <c r="D2862" s="226" t="s">
        <v>734</v>
      </c>
    </row>
    <row r="2863" spans="1:4">
      <c r="A2863" s="226" t="s">
        <v>4680</v>
      </c>
      <c r="B2863" s="226">
        <v>513683</v>
      </c>
      <c r="C2863" s="226" t="s">
        <v>4681</v>
      </c>
      <c r="D2863" s="226" t="s">
        <v>624</v>
      </c>
    </row>
    <row r="2864" spans="1:4">
      <c r="A2864" s="226" t="s">
        <v>4682</v>
      </c>
      <c r="B2864" s="226">
        <v>513683</v>
      </c>
      <c r="C2864" s="226" t="s">
        <v>4683</v>
      </c>
      <c r="D2864" s="226" t="s">
        <v>624</v>
      </c>
    </row>
    <row r="2865" spans="1:4">
      <c r="A2865" s="226" t="s">
        <v>4684</v>
      </c>
      <c r="B2865" s="226">
        <v>526371</v>
      </c>
      <c r="C2865" s="226" t="s">
        <v>4685</v>
      </c>
      <c r="D2865" s="226" t="s">
        <v>467</v>
      </c>
    </row>
    <row r="2866" spans="1:4">
      <c r="A2866" s="226" t="s">
        <v>4686</v>
      </c>
      <c r="B2866" s="226">
        <v>500730</v>
      </c>
      <c r="C2866" s="226" t="s">
        <v>4687</v>
      </c>
      <c r="D2866" s="226" t="s">
        <v>645</v>
      </c>
    </row>
    <row r="2867" spans="1:4">
      <c r="A2867" s="226" t="s">
        <v>4688</v>
      </c>
      <c r="B2867" s="226">
        <v>532481</v>
      </c>
      <c r="C2867" s="226" t="s">
        <v>4689</v>
      </c>
      <c r="D2867" s="226" t="s">
        <v>1080</v>
      </c>
    </row>
    <row r="2868" spans="1:4">
      <c r="A2868" s="226" t="s">
        <v>4690</v>
      </c>
      <c r="B2868" s="226" t="s">
        <v>486</v>
      </c>
      <c r="C2868" s="226" t="s">
        <v>4691</v>
      </c>
      <c r="D2868" s="226" t="s">
        <v>577</v>
      </c>
    </row>
    <row r="2869" spans="1:4">
      <c r="A2869" s="226" t="s">
        <v>4692</v>
      </c>
      <c r="B2869" s="226">
        <v>524414</v>
      </c>
      <c r="C2869" s="226" t="s">
        <v>486</v>
      </c>
      <c r="D2869" s="226" t="s">
        <v>508</v>
      </c>
    </row>
    <row r="2870" spans="1:4">
      <c r="A2870" s="226" t="s">
        <v>4693</v>
      </c>
      <c r="B2870" s="226">
        <v>534615</v>
      </c>
      <c r="C2870" s="226" t="s">
        <v>4694</v>
      </c>
      <c r="D2870" s="226" t="s">
        <v>806</v>
      </c>
    </row>
    <row r="2871" spans="1:4">
      <c r="A2871" s="226" t="s">
        <v>4695</v>
      </c>
      <c r="B2871" s="226">
        <v>542628</v>
      </c>
      <c r="C2871" s="226" t="s">
        <v>4696</v>
      </c>
      <c r="D2871" s="226" t="s">
        <v>851</v>
      </c>
    </row>
    <row r="2872" spans="1:4">
      <c r="A2872" s="226" t="s">
        <v>4697</v>
      </c>
      <c r="B2872" s="226">
        <v>539110</v>
      </c>
      <c r="C2872" s="226" t="s">
        <v>486</v>
      </c>
      <c r="D2872" s="226" t="s">
        <v>503</v>
      </c>
    </row>
    <row r="2873" spans="1:4">
      <c r="A2873" s="226" t="s">
        <v>4698</v>
      </c>
      <c r="B2873" s="226">
        <v>540698</v>
      </c>
      <c r="C2873" s="226" t="s">
        <v>486</v>
      </c>
      <c r="D2873" s="226" t="s">
        <v>508</v>
      </c>
    </row>
    <row r="2874" spans="1:4">
      <c r="A2874" s="226" t="s">
        <v>4699</v>
      </c>
      <c r="B2874" s="226">
        <v>531465</v>
      </c>
      <c r="C2874" s="226" t="s">
        <v>486</v>
      </c>
      <c r="D2874" s="226" t="s">
        <v>508</v>
      </c>
    </row>
    <row r="2875" spans="1:4">
      <c r="A2875" s="226" t="s">
        <v>4700</v>
      </c>
      <c r="B2875" s="226">
        <v>513566</v>
      </c>
      <c r="C2875" s="226" t="s">
        <v>486</v>
      </c>
      <c r="D2875" s="226" t="s">
        <v>518</v>
      </c>
    </row>
    <row r="2876" spans="1:4">
      <c r="A2876" s="226" t="s">
        <v>4701</v>
      </c>
      <c r="B2876" s="226">
        <v>530733</v>
      </c>
      <c r="C2876" s="226" t="s">
        <v>486</v>
      </c>
      <c r="D2876" s="226" t="s">
        <v>1009</v>
      </c>
    </row>
    <row r="2877" spans="1:4">
      <c r="A2877" s="226" t="s">
        <v>4702</v>
      </c>
      <c r="B2877" s="226">
        <v>530733</v>
      </c>
      <c r="C2877" s="226" t="s">
        <v>486</v>
      </c>
      <c r="D2877" s="226" t="s">
        <v>1009</v>
      </c>
    </row>
    <row r="2878" spans="1:4">
      <c r="A2878" s="226" t="s">
        <v>4703</v>
      </c>
      <c r="B2878" s="226">
        <v>500672</v>
      </c>
      <c r="C2878" s="226" t="s">
        <v>486</v>
      </c>
      <c r="D2878" s="226" t="s">
        <v>524</v>
      </c>
    </row>
    <row r="2879" spans="1:4">
      <c r="A2879" s="226" t="s">
        <v>4704</v>
      </c>
      <c r="B2879" s="226">
        <v>500672</v>
      </c>
      <c r="C2879" s="226" t="s">
        <v>486</v>
      </c>
      <c r="D2879" s="226" t="s">
        <v>524</v>
      </c>
    </row>
    <row r="2880" spans="1:4">
      <c r="A2880" s="226" t="s">
        <v>4705</v>
      </c>
      <c r="B2880" s="226">
        <v>530127</v>
      </c>
      <c r="C2880" s="226" t="s">
        <v>486</v>
      </c>
      <c r="D2880" s="226" t="s">
        <v>470</v>
      </c>
    </row>
    <row r="2881" spans="1:4">
      <c r="A2881" s="226" t="s">
        <v>4706</v>
      </c>
      <c r="B2881" s="226">
        <v>530367</v>
      </c>
      <c r="C2881" s="226" t="s">
        <v>4707</v>
      </c>
      <c r="D2881" s="226" t="s">
        <v>494</v>
      </c>
    </row>
    <row r="2882" spans="1:4">
      <c r="A2882" s="226" t="s">
        <v>4708</v>
      </c>
      <c r="B2882" s="226">
        <v>535458</v>
      </c>
      <c r="C2882" s="226" t="s">
        <v>4709</v>
      </c>
      <c r="D2882" s="226" t="s">
        <v>670</v>
      </c>
    </row>
    <row r="2883" spans="1:4">
      <c r="A2883" s="226" t="s">
        <v>4710</v>
      </c>
      <c r="B2883" s="226">
        <v>526723</v>
      </c>
      <c r="C2883" s="226" t="s">
        <v>486</v>
      </c>
      <c r="D2883" s="226" t="s">
        <v>2653</v>
      </c>
    </row>
    <row r="2884" spans="1:4">
      <c r="A2884" s="226" t="s">
        <v>4711</v>
      </c>
      <c r="B2884" s="226">
        <v>532555</v>
      </c>
      <c r="C2884" s="226" t="s">
        <v>4712</v>
      </c>
      <c r="D2884" s="226" t="s">
        <v>624</v>
      </c>
    </row>
    <row r="2885" spans="1:4">
      <c r="A2885" s="226" t="s">
        <v>4713</v>
      </c>
      <c r="B2885" s="226">
        <v>533015</v>
      </c>
      <c r="C2885" s="226" t="s">
        <v>4714</v>
      </c>
      <c r="D2885" s="226" t="s">
        <v>1430</v>
      </c>
    </row>
    <row r="2886" spans="1:4">
      <c r="A2886" s="226" t="s">
        <v>4715</v>
      </c>
      <c r="B2886" s="226">
        <v>533015</v>
      </c>
      <c r="C2886" s="226" t="s">
        <v>4714</v>
      </c>
      <c r="D2886" s="226" t="s">
        <v>1430</v>
      </c>
    </row>
    <row r="2887" spans="1:4">
      <c r="A2887" s="226" t="s">
        <v>4716</v>
      </c>
      <c r="B2887" s="226">
        <v>531209</v>
      </c>
      <c r="C2887" s="226" t="s">
        <v>4717</v>
      </c>
      <c r="D2887" s="226" t="s">
        <v>579</v>
      </c>
    </row>
    <row r="2888" spans="1:4">
      <c r="A2888" s="226" t="s">
        <v>4718</v>
      </c>
      <c r="B2888" s="226">
        <v>531304</v>
      </c>
      <c r="C2888" s="226" t="s">
        <v>486</v>
      </c>
      <c r="D2888" s="226" t="s">
        <v>501</v>
      </c>
    </row>
    <row r="2889" spans="1:4">
      <c r="A2889" s="226" t="s">
        <v>4719</v>
      </c>
      <c r="B2889" s="226">
        <v>524764</v>
      </c>
      <c r="C2889" s="226" t="s">
        <v>486</v>
      </c>
      <c r="D2889" s="226" t="s">
        <v>534</v>
      </c>
    </row>
    <row r="2890" spans="1:4">
      <c r="A2890" s="226" t="s">
        <v>4720</v>
      </c>
      <c r="B2890" s="226">
        <v>524764</v>
      </c>
      <c r="C2890" s="226" t="s">
        <v>486</v>
      </c>
      <c r="D2890" s="226" t="s">
        <v>534</v>
      </c>
    </row>
    <row r="2891" spans="1:4">
      <c r="A2891" s="226" t="s">
        <v>4721</v>
      </c>
      <c r="B2891" s="226">
        <v>530219</v>
      </c>
      <c r="C2891" s="226" t="s">
        <v>486</v>
      </c>
      <c r="D2891" s="226" t="s">
        <v>599</v>
      </c>
    </row>
    <row r="2892" spans="1:4">
      <c r="A2892" s="226" t="s">
        <v>4722</v>
      </c>
      <c r="B2892" s="226">
        <v>531819</v>
      </c>
      <c r="C2892" s="226" t="s">
        <v>486</v>
      </c>
      <c r="D2892" s="226" t="s">
        <v>508</v>
      </c>
    </row>
    <row r="2893" spans="1:4">
      <c r="A2893" s="226" t="s">
        <v>4723</v>
      </c>
      <c r="B2893" s="226">
        <v>531819</v>
      </c>
      <c r="C2893" s="226" t="s">
        <v>486</v>
      </c>
      <c r="D2893" s="226" t="s">
        <v>508</v>
      </c>
    </row>
    <row r="2894" spans="1:4">
      <c r="A2894" s="226" t="s">
        <v>4724</v>
      </c>
      <c r="B2894" s="226">
        <v>504378</v>
      </c>
      <c r="C2894" s="226" t="s">
        <v>486</v>
      </c>
      <c r="D2894" s="226" t="s">
        <v>508</v>
      </c>
    </row>
    <row r="2895" spans="1:4">
      <c r="A2895" s="226" t="s">
        <v>4725</v>
      </c>
      <c r="B2895" s="226">
        <v>539116</v>
      </c>
      <c r="C2895" s="226" t="s">
        <v>486</v>
      </c>
      <c r="D2895" s="226" t="s">
        <v>508</v>
      </c>
    </row>
    <row r="2896" spans="1:4">
      <c r="A2896" s="226" t="s">
        <v>4726</v>
      </c>
      <c r="B2896" s="226">
        <v>512489</v>
      </c>
      <c r="C2896" s="226" t="s">
        <v>486</v>
      </c>
      <c r="D2896" s="226" t="s">
        <v>503</v>
      </c>
    </row>
    <row r="2897" spans="1:4">
      <c r="A2897" s="226" t="s">
        <v>4727</v>
      </c>
      <c r="B2897" s="226">
        <v>538547</v>
      </c>
      <c r="C2897" s="226" t="s">
        <v>486</v>
      </c>
      <c r="D2897" s="226" t="s">
        <v>734</v>
      </c>
    </row>
    <row r="2898" spans="1:4">
      <c r="A2898" s="226" t="s">
        <v>4728</v>
      </c>
      <c r="B2898" s="226">
        <v>533273</v>
      </c>
      <c r="C2898" s="226" t="s">
        <v>4729</v>
      </c>
      <c r="D2898" s="226" t="s">
        <v>572</v>
      </c>
    </row>
    <row r="2899" spans="1:4">
      <c r="A2899" s="226" t="s">
        <v>4730</v>
      </c>
      <c r="B2899" s="226">
        <v>535657</v>
      </c>
      <c r="C2899" s="226" t="s">
        <v>486</v>
      </c>
      <c r="D2899" s="226" t="s">
        <v>473</v>
      </c>
    </row>
    <row r="2900" spans="1:4">
      <c r="A2900" s="226" t="s">
        <v>4731</v>
      </c>
      <c r="B2900" s="226">
        <v>519491</v>
      </c>
      <c r="C2900" s="226" t="s">
        <v>486</v>
      </c>
      <c r="D2900" s="226" t="s">
        <v>680</v>
      </c>
    </row>
    <row r="2901" spans="1:4">
      <c r="A2901" s="226" t="s">
        <v>4732</v>
      </c>
      <c r="B2901" s="226">
        <v>519491</v>
      </c>
      <c r="C2901" s="226" t="s">
        <v>486</v>
      </c>
      <c r="D2901" s="226" t="s">
        <v>680</v>
      </c>
    </row>
    <row r="2902" spans="1:4">
      <c r="A2902" s="226" t="s">
        <v>4733</v>
      </c>
      <c r="B2902" s="226">
        <v>538019</v>
      </c>
      <c r="C2902" s="226" t="s">
        <v>486</v>
      </c>
      <c r="D2902" s="226" t="s">
        <v>566</v>
      </c>
    </row>
    <row r="2903" spans="1:4">
      <c r="A2903" s="226" t="s">
        <v>4734</v>
      </c>
      <c r="B2903" s="226">
        <v>540405</v>
      </c>
      <c r="C2903" s="226" t="s">
        <v>486</v>
      </c>
      <c r="D2903" s="226" t="s">
        <v>566</v>
      </c>
    </row>
    <row r="2904" spans="1:4">
      <c r="A2904" s="226" t="s">
        <v>4735</v>
      </c>
      <c r="B2904" s="226">
        <v>533008</v>
      </c>
      <c r="C2904" s="226" t="s">
        <v>4736</v>
      </c>
      <c r="D2904" s="226" t="s">
        <v>518</v>
      </c>
    </row>
    <row r="2905" spans="1:4">
      <c r="A2905" s="226" t="s">
        <v>4737</v>
      </c>
      <c r="B2905" s="226">
        <v>538894</v>
      </c>
      <c r="C2905" s="226" t="s">
        <v>486</v>
      </c>
      <c r="D2905" s="226" t="s">
        <v>470</v>
      </c>
    </row>
    <row r="2906" spans="1:4">
      <c r="A2906" s="226" t="s">
        <v>4738</v>
      </c>
      <c r="B2906" s="226">
        <v>540416</v>
      </c>
      <c r="C2906" s="226" t="s">
        <v>486</v>
      </c>
      <c r="D2906" s="226" t="s">
        <v>492</v>
      </c>
    </row>
    <row r="2907" spans="1:4">
      <c r="A2907" s="226" t="s">
        <v>4739</v>
      </c>
      <c r="B2907" s="226">
        <v>531996</v>
      </c>
      <c r="C2907" s="226" t="s">
        <v>486</v>
      </c>
      <c r="D2907" s="226" t="s">
        <v>503</v>
      </c>
    </row>
    <row r="2908" spans="1:4">
      <c r="A2908" s="226" t="s">
        <v>4740</v>
      </c>
      <c r="B2908" s="226">
        <v>530175</v>
      </c>
      <c r="C2908" s="226" t="s">
        <v>486</v>
      </c>
      <c r="D2908" s="226" t="s">
        <v>579</v>
      </c>
    </row>
    <row r="2909" spans="1:4">
      <c r="A2909" s="226" t="s">
        <v>4741</v>
      </c>
      <c r="B2909" s="226">
        <v>539570</v>
      </c>
      <c r="C2909" s="226" t="s">
        <v>486</v>
      </c>
      <c r="D2909" s="226" t="s">
        <v>473</v>
      </c>
    </row>
    <row r="2910" spans="1:4">
      <c r="A2910" s="226" t="s">
        <v>4742</v>
      </c>
      <c r="B2910" s="226">
        <v>500312</v>
      </c>
      <c r="C2910" s="226" t="s">
        <v>4743</v>
      </c>
      <c r="D2910" s="226" t="s">
        <v>549</v>
      </c>
    </row>
    <row r="2911" spans="1:4">
      <c r="A2911" s="226" t="s">
        <v>4744</v>
      </c>
      <c r="B2911" s="226">
        <v>533106</v>
      </c>
      <c r="C2911" s="226" t="s">
        <v>4745</v>
      </c>
      <c r="D2911" s="226" t="s">
        <v>549</v>
      </c>
    </row>
    <row r="2912" spans="1:4">
      <c r="A2912" s="226" t="s">
        <v>4746</v>
      </c>
      <c r="B2912" s="226">
        <v>500313</v>
      </c>
      <c r="C2912" s="226" t="s">
        <v>4747</v>
      </c>
      <c r="D2912" s="226" t="s">
        <v>826</v>
      </c>
    </row>
    <row r="2913" spans="1:4">
      <c r="A2913" s="226" t="s">
        <v>4748</v>
      </c>
      <c r="B2913" s="226">
        <v>533106</v>
      </c>
      <c r="C2913" s="226" t="s">
        <v>4745</v>
      </c>
      <c r="D2913" s="226" t="s">
        <v>549</v>
      </c>
    </row>
    <row r="2914" spans="1:4">
      <c r="A2914" s="226" t="s">
        <v>4749</v>
      </c>
      <c r="B2914" s="226">
        <v>526415</v>
      </c>
      <c r="C2914" s="226" t="s">
        <v>486</v>
      </c>
      <c r="D2914" s="226" t="s">
        <v>983</v>
      </c>
    </row>
    <row r="2915" spans="1:4">
      <c r="A2915" s="226" t="s">
        <v>4750</v>
      </c>
      <c r="B2915" s="226">
        <v>526415</v>
      </c>
      <c r="C2915" s="226" t="s">
        <v>486</v>
      </c>
      <c r="D2915" s="226" t="s">
        <v>983</v>
      </c>
    </row>
    <row r="2916" spans="1:4">
      <c r="A2916" s="226" t="s">
        <v>4751</v>
      </c>
      <c r="B2916" s="226">
        <v>532439</v>
      </c>
      <c r="C2916" s="226" t="s">
        <v>4752</v>
      </c>
      <c r="D2916" s="226" t="s">
        <v>494</v>
      </c>
    </row>
    <row r="2917" spans="1:4">
      <c r="A2917" s="226" t="s">
        <v>4753</v>
      </c>
      <c r="B2917" s="226">
        <v>521105</v>
      </c>
      <c r="C2917" s="226" t="s">
        <v>486</v>
      </c>
      <c r="D2917" s="226" t="s">
        <v>3242</v>
      </c>
    </row>
    <row r="2918" spans="1:4">
      <c r="A2918" s="226" t="s">
        <v>4754</v>
      </c>
      <c r="B2918" s="226">
        <v>534190</v>
      </c>
      <c r="C2918" s="226" t="s">
        <v>486</v>
      </c>
      <c r="D2918" s="226" t="s">
        <v>983</v>
      </c>
    </row>
    <row r="2919" spans="1:4">
      <c r="A2919" s="226" t="s">
        <v>4755</v>
      </c>
      <c r="B2919" s="226">
        <v>507609</v>
      </c>
      <c r="C2919" s="226" t="s">
        <v>486</v>
      </c>
      <c r="D2919" s="226" t="s">
        <v>683</v>
      </c>
    </row>
    <row r="2920" spans="1:4">
      <c r="A2920" s="226" t="s">
        <v>4756</v>
      </c>
      <c r="B2920" s="226">
        <v>531092</v>
      </c>
      <c r="C2920" s="226" t="s">
        <v>4757</v>
      </c>
      <c r="D2920" s="226" t="s">
        <v>883</v>
      </c>
    </row>
    <row r="2921" spans="1:4">
      <c r="A2921" s="226" t="s">
        <v>4758</v>
      </c>
      <c r="B2921" s="226">
        <v>538537</v>
      </c>
      <c r="C2921" s="226" t="s">
        <v>486</v>
      </c>
      <c r="D2921" s="226" t="s">
        <v>508</v>
      </c>
    </row>
    <row r="2922" spans="1:4">
      <c r="A2922" s="226" t="s">
        <v>4759</v>
      </c>
      <c r="B2922" s="226">
        <v>520021</v>
      </c>
      <c r="C2922" s="226" t="s">
        <v>4760</v>
      </c>
      <c r="D2922" s="226" t="s">
        <v>840</v>
      </c>
    </row>
    <row r="2923" spans="1:4">
      <c r="A2923" s="226" t="s">
        <v>4761</v>
      </c>
      <c r="B2923" s="226">
        <v>532880</v>
      </c>
      <c r="C2923" s="226" t="s">
        <v>4762</v>
      </c>
      <c r="D2923" s="226" t="s">
        <v>572</v>
      </c>
    </row>
    <row r="2924" spans="1:4">
      <c r="A2924" s="226" t="s">
        <v>4763</v>
      </c>
      <c r="B2924" s="226" t="s">
        <v>486</v>
      </c>
      <c r="C2924" s="226" t="s">
        <v>4764</v>
      </c>
      <c r="D2924" s="226" t="s">
        <v>497</v>
      </c>
    </row>
    <row r="2925" spans="1:4">
      <c r="A2925" s="226" t="s">
        <v>4765</v>
      </c>
      <c r="B2925" s="226" t="s">
        <v>486</v>
      </c>
      <c r="C2925" s="226" t="s">
        <v>4764</v>
      </c>
      <c r="D2925" s="226" t="s">
        <v>497</v>
      </c>
    </row>
    <row r="2926" spans="1:4">
      <c r="A2926" s="226" t="s">
        <v>4766</v>
      </c>
      <c r="B2926" s="226">
        <v>531496</v>
      </c>
      <c r="C2926" s="226" t="s">
        <v>486</v>
      </c>
      <c r="D2926" s="226" t="s">
        <v>501</v>
      </c>
    </row>
    <row r="2927" spans="1:4">
      <c r="A2927" s="226" t="s">
        <v>4767</v>
      </c>
      <c r="B2927" s="226">
        <v>532167</v>
      </c>
      <c r="C2927" s="226" t="s">
        <v>486</v>
      </c>
      <c r="D2927" s="226" t="s">
        <v>534</v>
      </c>
    </row>
    <row r="2928" spans="1:4">
      <c r="A2928" s="226" t="s">
        <v>4768</v>
      </c>
      <c r="B2928" s="226">
        <v>533317</v>
      </c>
      <c r="C2928" s="226" t="s">
        <v>4769</v>
      </c>
      <c r="D2928" s="226" t="s">
        <v>645</v>
      </c>
    </row>
    <row r="2929" spans="1:4">
      <c r="A2929" s="226" t="s">
        <v>4770</v>
      </c>
      <c r="B2929" s="226">
        <v>532340</v>
      </c>
      <c r="C2929" s="226" t="s">
        <v>486</v>
      </c>
      <c r="D2929" s="226" t="s">
        <v>579</v>
      </c>
    </row>
    <row r="2930" spans="1:4">
      <c r="A2930" s="226" t="s">
        <v>4771</v>
      </c>
      <c r="B2930" s="226">
        <v>514324</v>
      </c>
      <c r="C2930" s="226" t="s">
        <v>486</v>
      </c>
      <c r="D2930" s="226" t="s">
        <v>501</v>
      </c>
    </row>
    <row r="2931" spans="1:4">
      <c r="A2931" s="226" t="s">
        <v>4772</v>
      </c>
      <c r="B2931" s="226">
        <v>514324</v>
      </c>
      <c r="C2931" s="226" t="s">
        <v>486</v>
      </c>
      <c r="D2931" s="226" t="s">
        <v>501</v>
      </c>
    </row>
    <row r="2932" spans="1:4">
      <c r="A2932" s="226" t="s">
        <v>4773</v>
      </c>
      <c r="B2932" s="226" t="s">
        <v>486</v>
      </c>
      <c r="C2932" s="226" t="s">
        <v>4774</v>
      </c>
      <c r="D2932" s="226" t="s">
        <v>497</v>
      </c>
    </row>
    <row r="2933" spans="1:4">
      <c r="A2933" s="226" t="s">
        <v>4775</v>
      </c>
      <c r="B2933" s="226">
        <v>533632</v>
      </c>
      <c r="C2933" s="226" t="s">
        <v>4776</v>
      </c>
      <c r="D2933" s="226" t="s">
        <v>506</v>
      </c>
    </row>
    <row r="2934" spans="1:4">
      <c r="A2934" s="226" t="s">
        <v>4777</v>
      </c>
      <c r="B2934" s="226">
        <v>530805</v>
      </c>
      <c r="C2934" s="226" t="s">
        <v>486</v>
      </c>
      <c r="D2934" s="226" t="s">
        <v>570</v>
      </c>
    </row>
    <row r="2935" spans="1:4">
      <c r="A2935" s="226" t="s">
        <v>4778</v>
      </c>
      <c r="B2935" s="226">
        <v>535647</v>
      </c>
      <c r="C2935" s="226" t="s">
        <v>486</v>
      </c>
      <c r="D2935" s="226" t="s">
        <v>489</v>
      </c>
    </row>
    <row r="2936" spans="1:4">
      <c r="A2936" s="226" t="s">
        <v>4779</v>
      </c>
      <c r="B2936" s="226">
        <v>532944</v>
      </c>
      <c r="C2936" s="226" t="s">
        <v>4780</v>
      </c>
      <c r="D2936" s="226" t="s">
        <v>1430</v>
      </c>
    </row>
    <row r="2937" spans="1:4">
      <c r="A2937" s="226" t="s">
        <v>4781</v>
      </c>
      <c r="B2937" s="226">
        <v>540386</v>
      </c>
      <c r="C2937" s="226" t="s">
        <v>486</v>
      </c>
      <c r="D2937" s="226" t="s">
        <v>470</v>
      </c>
    </row>
    <row r="2938" spans="1:4">
      <c r="A2938" s="226" t="s">
        <v>4782</v>
      </c>
      <c r="B2938" s="226">
        <v>517536</v>
      </c>
      <c r="C2938" s="226" t="s">
        <v>4783</v>
      </c>
      <c r="D2938" s="226" t="s">
        <v>473</v>
      </c>
    </row>
    <row r="2939" spans="1:4">
      <c r="A2939" s="226" t="s">
        <v>4784</v>
      </c>
      <c r="B2939" s="226" t="s">
        <v>486</v>
      </c>
      <c r="C2939" s="226" t="s">
        <v>4785</v>
      </c>
      <c r="D2939" s="226" t="s">
        <v>497</v>
      </c>
    </row>
    <row r="2940" spans="1:4">
      <c r="A2940" s="226" t="s">
        <v>4786</v>
      </c>
      <c r="B2940" s="226">
        <v>530135</v>
      </c>
      <c r="C2940" s="226" t="s">
        <v>4787</v>
      </c>
      <c r="D2940" s="226" t="s">
        <v>520</v>
      </c>
    </row>
    <row r="2941" spans="1:4">
      <c r="A2941" s="226" t="s">
        <v>4788</v>
      </c>
      <c r="B2941" s="226">
        <v>531254</v>
      </c>
      <c r="C2941" s="226" t="s">
        <v>486</v>
      </c>
      <c r="D2941" s="226" t="s">
        <v>503</v>
      </c>
    </row>
    <row r="2942" spans="1:4">
      <c r="A2942" s="226" t="s">
        <v>4789</v>
      </c>
      <c r="B2942" s="226">
        <v>532391</v>
      </c>
      <c r="C2942" s="226" t="s">
        <v>4790</v>
      </c>
      <c r="D2942" s="226" t="s">
        <v>1650</v>
      </c>
    </row>
    <row r="2943" spans="1:4">
      <c r="A2943" s="226" t="s">
        <v>4791</v>
      </c>
      <c r="B2943" s="226">
        <v>532391</v>
      </c>
      <c r="C2943" s="226" t="s">
        <v>4790</v>
      </c>
      <c r="D2943" s="226" t="s">
        <v>1650</v>
      </c>
    </row>
    <row r="2944" spans="1:4">
      <c r="A2944" s="226" t="s">
        <v>4792</v>
      </c>
      <c r="B2944" s="226">
        <v>539598</v>
      </c>
      <c r="C2944" s="226" t="s">
        <v>486</v>
      </c>
      <c r="D2944" s="226" t="s">
        <v>503</v>
      </c>
    </row>
    <row r="2945" spans="1:4">
      <c r="A2945" s="226" t="s">
        <v>4793</v>
      </c>
      <c r="B2945" s="226">
        <v>532466</v>
      </c>
      <c r="C2945" s="226" t="s">
        <v>4794</v>
      </c>
      <c r="D2945" s="226" t="s">
        <v>473</v>
      </c>
    </row>
    <row r="2946" spans="1:4">
      <c r="A2946" s="226" t="s">
        <v>4795</v>
      </c>
      <c r="B2946" s="226">
        <v>512626</v>
      </c>
      <c r="C2946" s="226" t="s">
        <v>4796</v>
      </c>
      <c r="D2946" s="226" t="s">
        <v>501</v>
      </c>
    </row>
    <row r="2947" spans="1:4">
      <c r="A2947" s="226" t="s">
        <v>4797</v>
      </c>
      <c r="B2947" s="226">
        <v>524372</v>
      </c>
      <c r="C2947" s="226" t="s">
        <v>4798</v>
      </c>
      <c r="D2947" s="226" t="s">
        <v>524</v>
      </c>
    </row>
    <row r="2948" spans="1:4">
      <c r="A2948" s="226" t="s">
        <v>4799</v>
      </c>
      <c r="B2948" s="226">
        <v>531157</v>
      </c>
      <c r="C2948" s="226" t="s">
        <v>486</v>
      </c>
      <c r="D2948" s="226" t="s">
        <v>645</v>
      </c>
    </row>
    <row r="2949" spans="1:4">
      <c r="A2949" s="226" t="s">
        <v>4800</v>
      </c>
      <c r="B2949" s="226">
        <v>513121</v>
      </c>
      <c r="C2949" s="226" t="s">
        <v>4801</v>
      </c>
      <c r="D2949" s="226" t="s">
        <v>645</v>
      </c>
    </row>
    <row r="2950" spans="1:4">
      <c r="A2950" s="226" t="s">
        <v>4802</v>
      </c>
      <c r="B2950" s="226">
        <v>504879</v>
      </c>
      <c r="C2950" s="226" t="s">
        <v>4803</v>
      </c>
      <c r="D2950" s="226" t="s">
        <v>1403</v>
      </c>
    </row>
    <row r="2951" spans="1:4">
      <c r="A2951" s="226" t="s">
        <v>4804</v>
      </c>
      <c r="B2951" s="226">
        <v>530365</v>
      </c>
      <c r="C2951" s="226" t="s">
        <v>4805</v>
      </c>
      <c r="D2951" s="226" t="s">
        <v>762</v>
      </c>
    </row>
    <row r="2952" spans="1:4">
      <c r="A2952" s="226" t="s">
        <v>4806</v>
      </c>
      <c r="B2952" s="226">
        <v>507690</v>
      </c>
      <c r="C2952" s="226" t="s">
        <v>486</v>
      </c>
      <c r="D2952" s="226" t="s">
        <v>920</v>
      </c>
    </row>
    <row r="2953" spans="1:4">
      <c r="A2953" s="226" t="s">
        <v>4807</v>
      </c>
      <c r="B2953" s="226">
        <v>535754</v>
      </c>
      <c r="C2953" s="226" t="s">
        <v>4808</v>
      </c>
      <c r="D2953" s="226" t="s">
        <v>499</v>
      </c>
    </row>
    <row r="2954" spans="1:4">
      <c r="A2954" s="226" t="s">
        <v>4809</v>
      </c>
      <c r="B2954" s="226">
        <v>541301</v>
      </c>
      <c r="C2954" s="226" t="s">
        <v>4810</v>
      </c>
      <c r="D2954" s="226" t="s">
        <v>854</v>
      </c>
    </row>
    <row r="2955" spans="1:4">
      <c r="A2955" s="226" t="s">
        <v>4811</v>
      </c>
      <c r="B2955" s="226">
        <v>533263</v>
      </c>
      <c r="C2955" s="226" t="s">
        <v>4812</v>
      </c>
      <c r="D2955" s="226" t="s">
        <v>624</v>
      </c>
    </row>
    <row r="2956" spans="1:4">
      <c r="A2956" s="226" t="s">
        <v>4813</v>
      </c>
      <c r="B2956" s="226">
        <v>502420</v>
      </c>
      <c r="C2956" s="226" t="s">
        <v>4814</v>
      </c>
      <c r="D2956" s="226" t="s">
        <v>480</v>
      </c>
    </row>
    <row r="2957" spans="1:4">
      <c r="A2957" s="226" t="s">
        <v>4815</v>
      </c>
      <c r="B2957" s="226">
        <v>526325</v>
      </c>
      <c r="C2957" s="226" t="s">
        <v>4816</v>
      </c>
      <c r="D2957" s="226" t="s">
        <v>680</v>
      </c>
    </row>
    <row r="2958" spans="1:4">
      <c r="A2958" s="226" t="s">
        <v>4817</v>
      </c>
      <c r="B2958" s="226">
        <v>534076</v>
      </c>
      <c r="C2958" s="226" t="s">
        <v>4818</v>
      </c>
      <c r="D2958" s="226" t="s">
        <v>670</v>
      </c>
    </row>
    <row r="2959" spans="1:4">
      <c r="A2959" s="226" t="s">
        <v>4819</v>
      </c>
      <c r="B2959" s="226">
        <v>531512</v>
      </c>
      <c r="C2959" s="226" t="s">
        <v>486</v>
      </c>
      <c r="D2959" s="226" t="s">
        <v>489</v>
      </c>
    </row>
    <row r="2960" spans="1:4">
      <c r="A2960" s="226" t="s">
        <v>4820</v>
      </c>
      <c r="B2960" s="226">
        <v>500078</v>
      </c>
      <c r="C2960" s="226" t="s">
        <v>486</v>
      </c>
      <c r="D2960" s="226" t="s">
        <v>534</v>
      </c>
    </row>
    <row r="2961" spans="1:4">
      <c r="A2961" s="226" t="s">
        <v>4821</v>
      </c>
      <c r="B2961" s="226">
        <v>500315</v>
      </c>
      <c r="C2961" s="226" t="s">
        <v>4822</v>
      </c>
      <c r="D2961" s="226" t="s">
        <v>803</v>
      </c>
    </row>
    <row r="2962" spans="1:4">
      <c r="A2962" s="226" t="s">
        <v>4823</v>
      </c>
      <c r="B2962" s="226">
        <v>506579</v>
      </c>
      <c r="C2962" s="226" t="s">
        <v>4824</v>
      </c>
      <c r="D2962" s="226" t="s">
        <v>534</v>
      </c>
    </row>
    <row r="2963" spans="1:4">
      <c r="A2963" s="226" t="s">
        <v>4825</v>
      </c>
      <c r="B2963" s="226">
        <v>500314</v>
      </c>
      <c r="C2963" s="226" t="s">
        <v>4826</v>
      </c>
      <c r="D2963" s="226" t="s">
        <v>686</v>
      </c>
    </row>
    <row r="2964" spans="1:4">
      <c r="A2964" s="226" t="s">
        <v>4827</v>
      </c>
      <c r="B2964" s="226">
        <v>532817</v>
      </c>
      <c r="C2964" s="226" t="s">
        <v>4828</v>
      </c>
      <c r="D2964" s="226" t="s">
        <v>1013</v>
      </c>
    </row>
    <row r="2965" spans="1:4">
      <c r="A2965" s="226" t="s">
        <v>4829</v>
      </c>
      <c r="B2965" s="226">
        <v>531859</v>
      </c>
      <c r="C2965" s="226" t="s">
        <v>486</v>
      </c>
      <c r="D2965" s="226" t="s">
        <v>1403</v>
      </c>
    </row>
    <row r="2966" spans="1:4">
      <c r="A2966" s="226" t="s">
        <v>4830</v>
      </c>
      <c r="B2966" s="226">
        <v>541206</v>
      </c>
      <c r="C2966" s="226" t="s">
        <v>486</v>
      </c>
      <c r="D2966" s="226" t="s">
        <v>806</v>
      </c>
    </row>
    <row r="2967" spans="1:4">
      <c r="A2967" s="226" t="s">
        <v>4831</v>
      </c>
      <c r="B2967" s="226">
        <v>531626</v>
      </c>
      <c r="C2967" s="226" t="s">
        <v>486</v>
      </c>
      <c r="D2967" s="226" t="s">
        <v>599</v>
      </c>
    </row>
    <row r="2968" spans="1:4">
      <c r="A2968" s="226" t="s">
        <v>4832</v>
      </c>
      <c r="B2968" s="226">
        <v>531626</v>
      </c>
      <c r="C2968" s="226" t="s">
        <v>486</v>
      </c>
      <c r="D2968" s="226" t="s">
        <v>599</v>
      </c>
    </row>
    <row r="2969" spans="1:4">
      <c r="A2969" s="226" t="s">
        <v>4833</v>
      </c>
      <c r="B2969" s="226">
        <v>539015</v>
      </c>
      <c r="C2969" s="226" t="s">
        <v>4834</v>
      </c>
      <c r="D2969" s="226" t="s">
        <v>1222</v>
      </c>
    </row>
    <row r="2970" spans="1:4">
      <c r="A2970" s="226" t="s">
        <v>4835</v>
      </c>
      <c r="B2970" s="226">
        <v>539287</v>
      </c>
      <c r="C2970" s="226" t="s">
        <v>4836</v>
      </c>
      <c r="D2970" s="226" t="s">
        <v>524</v>
      </c>
    </row>
    <row r="2971" spans="1:4">
      <c r="A2971" s="226" t="s">
        <v>4837</v>
      </c>
      <c r="B2971" s="226">
        <v>530173</v>
      </c>
      <c r="C2971" s="226" t="s">
        <v>486</v>
      </c>
      <c r="D2971" s="226" t="s">
        <v>599</v>
      </c>
    </row>
    <row r="2972" spans="1:4">
      <c r="A2972" s="226" t="s">
        <v>4838</v>
      </c>
      <c r="B2972" s="226">
        <v>501179</v>
      </c>
      <c r="C2972" s="226" t="s">
        <v>486</v>
      </c>
      <c r="D2972" s="226" t="s">
        <v>506</v>
      </c>
    </row>
    <row r="2973" spans="1:4">
      <c r="A2973" s="226" t="s">
        <v>4839</v>
      </c>
      <c r="B2973" s="226">
        <v>509782</v>
      </c>
      <c r="C2973" s="226" t="s">
        <v>486</v>
      </c>
      <c r="D2973" s="226" t="s">
        <v>906</v>
      </c>
    </row>
    <row r="2974" spans="1:4">
      <c r="A2974" s="226" t="s">
        <v>4840</v>
      </c>
      <c r="B2974" s="226">
        <v>540198</v>
      </c>
      <c r="C2974" s="226" t="s">
        <v>486</v>
      </c>
      <c r="D2974" s="226" t="s">
        <v>501</v>
      </c>
    </row>
    <row r="2975" spans="1:4">
      <c r="A2975" s="226" t="s">
        <v>4841</v>
      </c>
      <c r="B2975" s="226">
        <v>500317</v>
      </c>
      <c r="C2975" s="226" t="s">
        <v>4842</v>
      </c>
      <c r="D2975" s="226" t="s">
        <v>506</v>
      </c>
    </row>
    <row r="2976" spans="1:4">
      <c r="A2976" s="226" t="s">
        <v>4843</v>
      </c>
      <c r="B2976" s="226">
        <v>539290</v>
      </c>
      <c r="C2976" s="226" t="s">
        <v>4844</v>
      </c>
      <c r="D2976" s="226" t="s">
        <v>506</v>
      </c>
    </row>
    <row r="2977" spans="1:4">
      <c r="A2977" s="226" t="s">
        <v>4845</v>
      </c>
      <c r="B2977" s="226">
        <v>509099</v>
      </c>
      <c r="C2977" s="226" t="s">
        <v>486</v>
      </c>
      <c r="D2977" s="226" t="s">
        <v>906</v>
      </c>
    </row>
    <row r="2978" spans="1:4">
      <c r="A2978" s="226" t="s">
        <v>4846</v>
      </c>
      <c r="B2978" s="226">
        <v>531065</v>
      </c>
      <c r="C2978" s="226" t="s">
        <v>486</v>
      </c>
      <c r="D2978" s="226" t="s">
        <v>1184</v>
      </c>
    </row>
    <row r="2979" spans="1:4">
      <c r="A2979" s="226" t="s">
        <v>4847</v>
      </c>
      <c r="B2979" s="226">
        <v>514460</v>
      </c>
      <c r="C2979" s="226" t="s">
        <v>486</v>
      </c>
      <c r="D2979" s="226" t="s">
        <v>508</v>
      </c>
    </row>
    <row r="2980" spans="1:4">
      <c r="A2980" s="226" t="s">
        <v>4848</v>
      </c>
      <c r="B2980" s="226">
        <v>523151</v>
      </c>
      <c r="C2980" s="226" t="s">
        <v>486</v>
      </c>
      <c r="D2980" s="226" t="s">
        <v>570</v>
      </c>
    </row>
    <row r="2981" spans="1:4">
      <c r="A2981" s="226" t="s">
        <v>4849</v>
      </c>
      <c r="B2981" s="226">
        <v>514330</v>
      </c>
      <c r="C2981" s="226" t="s">
        <v>486</v>
      </c>
      <c r="D2981" s="226" t="s">
        <v>501</v>
      </c>
    </row>
    <row r="2982" spans="1:4">
      <c r="A2982" s="226" t="s">
        <v>4850</v>
      </c>
      <c r="B2982" s="226">
        <v>530741</v>
      </c>
      <c r="C2982" s="226" t="s">
        <v>486</v>
      </c>
      <c r="D2982" s="226" t="s">
        <v>566</v>
      </c>
    </row>
    <row r="2983" spans="1:4">
      <c r="A2983" s="226" t="s">
        <v>4851</v>
      </c>
      <c r="B2983" s="226">
        <v>539291</v>
      </c>
      <c r="C2983" s="226" t="s">
        <v>486</v>
      </c>
      <c r="D2983" s="226" t="s">
        <v>683</v>
      </c>
    </row>
    <row r="2984" spans="1:4">
      <c r="A2984" s="226" t="s">
        <v>4852</v>
      </c>
      <c r="B2984" s="226">
        <v>539352</v>
      </c>
      <c r="C2984" s="226" t="s">
        <v>486</v>
      </c>
      <c r="D2984" s="226" t="s">
        <v>489</v>
      </c>
    </row>
    <row r="2985" spans="1:4">
      <c r="A2985" s="226" t="s">
        <v>4853</v>
      </c>
      <c r="B2985" s="226">
        <v>513403</v>
      </c>
      <c r="C2985" s="226" t="s">
        <v>486</v>
      </c>
      <c r="D2985" s="226" t="s">
        <v>518</v>
      </c>
    </row>
    <row r="2986" spans="1:4">
      <c r="A2986" s="226" t="s">
        <v>4854</v>
      </c>
      <c r="B2986" s="226">
        <v>523862</v>
      </c>
      <c r="C2986" s="226" t="s">
        <v>486</v>
      </c>
      <c r="D2986" s="226" t="s">
        <v>503</v>
      </c>
    </row>
    <row r="2987" spans="1:4">
      <c r="A2987" s="226" t="s">
        <v>4855</v>
      </c>
      <c r="B2987" s="226">
        <v>523483</v>
      </c>
      <c r="C2987" s="226" t="s">
        <v>486</v>
      </c>
      <c r="D2987" s="226" t="s">
        <v>1013</v>
      </c>
    </row>
    <row r="2988" spans="1:4">
      <c r="A2988" s="226" t="s">
        <v>4856</v>
      </c>
      <c r="B2988" s="226">
        <v>538963</v>
      </c>
      <c r="C2988" s="226" t="s">
        <v>486</v>
      </c>
      <c r="D2988" s="226" t="s">
        <v>808</v>
      </c>
    </row>
    <row r="2989" spans="1:4">
      <c r="A2989" s="226" t="s">
        <v>4857</v>
      </c>
      <c r="B2989" s="226">
        <v>531395</v>
      </c>
      <c r="C2989" s="226" t="s">
        <v>486</v>
      </c>
      <c r="D2989" s="226" t="s">
        <v>501</v>
      </c>
    </row>
    <row r="2990" spans="1:4">
      <c r="A2990" s="226" t="s">
        <v>4858</v>
      </c>
      <c r="B2990" s="226">
        <v>532350</v>
      </c>
      <c r="C2990" s="226" t="s">
        <v>486</v>
      </c>
      <c r="D2990" s="226" t="s">
        <v>489</v>
      </c>
    </row>
    <row r="2991" spans="1:4">
      <c r="A2991" s="226" t="s">
        <v>4859</v>
      </c>
      <c r="B2991" s="226">
        <v>526905</v>
      </c>
      <c r="C2991" s="226" t="s">
        <v>486</v>
      </c>
      <c r="D2991" s="226" t="s">
        <v>534</v>
      </c>
    </row>
    <row r="2992" spans="1:4">
      <c r="A2992" s="226" t="s">
        <v>4860</v>
      </c>
      <c r="B2992" s="226">
        <v>517230</v>
      </c>
      <c r="C2992" s="226" t="s">
        <v>4861</v>
      </c>
      <c r="D2992" s="226" t="s">
        <v>508</v>
      </c>
    </row>
    <row r="2993" spans="1:4">
      <c r="A2993" s="226" t="s">
        <v>4862</v>
      </c>
      <c r="B2993" s="226">
        <v>532827</v>
      </c>
      <c r="C2993" s="226" t="s">
        <v>4863</v>
      </c>
      <c r="D2993" s="226" t="s">
        <v>599</v>
      </c>
    </row>
    <row r="2994" spans="1:4">
      <c r="A2994" s="226" t="s">
        <v>4864</v>
      </c>
      <c r="B2994" s="226">
        <v>532900</v>
      </c>
      <c r="C2994" s="226" t="s">
        <v>4865</v>
      </c>
      <c r="D2994" s="226" t="s">
        <v>503</v>
      </c>
    </row>
    <row r="2995" spans="1:4">
      <c r="A2995" s="226" t="s">
        <v>4866</v>
      </c>
      <c r="B2995" s="226">
        <v>540648</v>
      </c>
      <c r="C2995" s="226" t="s">
        <v>4867</v>
      </c>
      <c r="D2995" s="226" t="s">
        <v>506</v>
      </c>
    </row>
    <row r="2996" spans="1:4">
      <c r="A2996" s="226" t="s">
        <v>4868</v>
      </c>
      <c r="B2996" s="226">
        <v>539121</v>
      </c>
      <c r="C2996" s="226" t="s">
        <v>486</v>
      </c>
      <c r="D2996" s="226" t="s">
        <v>790</v>
      </c>
    </row>
    <row r="2997" spans="1:4">
      <c r="A2997" s="226" t="s">
        <v>4869</v>
      </c>
      <c r="B2997" s="226">
        <v>541444</v>
      </c>
      <c r="C2997" s="226" t="s">
        <v>486</v>
      </c>
      <c r="D2997" s="226" t="s">
        <v>599</v>
      </c>
    </row>
    <row r="2998" spans="1:4">
      <c r="A2998" s="226" t="s">
        <v>4870</v>
      </c>
      <c r="B2998" s="226">
        <v>532521</v>
      </c>
      <c r="C2998" s="226" t="s">
        <v>4871</v>
      </c>
      <c r="D2998" s="226" t="s">
        <v>579</v>
      </c>
    </row>
    <row r="2999" spans="1:4">
      <c r="A2999" s="226" t="s">
        <v>4872</v>
      </c>
      <c r="B2999" s="226">
        <v>511597</v>
      </c>
      <c r="C2999" s="226" t="s">
        <v>486</v>
      </c>
      <c r="D2999" s="226" t="s">
        <v>503</v>
      </c>
    </row>
    <row r="3000" spans="1:4">
      <c r="A3000" s="226" t="s">
        <v>4873</v>
      </c>
      <c r="B3000" s="226">
        <v>517397</v>
      </c>
      <c r="C3000" s="226" t="s">
        <v>486</v>
      </c>
      <c r="D3000" s="226" t="s">
        <v>1027</v>
      </c>
    </row>
    <row r="3001" spans="1:4">
      <c r="A3001" s="226" t="s">
        <v>4874</v>
      </c>
      <c r="B3001" s="226">
        <v>517397</v>
      </c>
      <c r="C3001" s="226" t="s">
        <v>486</v>
      </c>
      <c r="D3001" s="226" t="s">
        <v>1027</v>
      </c>
    </row>
    <row r="3002" spans="1:4">
      <c r="A3002" s="226" t="s">
        <v>4875</v>
      </c>
      <c r="B3002" s="226">
        <v>511525</v>
      </c>
      <c r="C3002" s="226" t="s">
        <v>486</v>
      </c>
      <c r="D3002" s="226" t="s">
        <v>579</v>
      </c>
    </row>
    <row r="3003" spans="1:4">
      <c r="A3003" s="226" t="s">
        <v>4876</v>
      </c>
      <c r="B3003" s="226">
        <v>531349</v>
      </c>
      <c r="C3003" s="226" t="s">
        <v>4877</v>
      </c>
      <c r="D3003" s="226" t="s">
        <v>823</v>
      </c>
    </row>
    <row r="3004" spans="1:4">
      <c r="A3004" s="226" t="s">
        <v>4878</v>
      </c>
      <c r="B3004" s="226" t="s">
        <v>486</v>
      </c>
      <c r="C3004" s="226" t="s">
        <v>4879</v>
      </c>
      <c r="D3004" s="226" t="s">
        <v>497</v>
      </c>
    </row>
    <row r="3005" spans="1:4">
      <c r="A3005" s="226" t="s">
        <v>4880</v>
      </c>
      <c r="B3005" s="226">
        <v>538742</v>
      </c>
      <c r="C3005" s="226" t="s">
        <v>486</v>
      </c>
      <c r="D3005" s="226" t="s">
        <v>508</v>
      </c>
    </row>
    <row r="3006" spans="1:4">
      <c r="A3006" s="226" t="s">
        <v>4881</v>
      </c>
      <c r="B3006" s="226">
        <v>538860</v>
      </c>
      <c r="C3006" s="226" t="s">
        <v>486</v>
      </c>
      <c r="D3006" s="226" t="s">
        <v>503</v>
      </c>
    </row>
    <row r="3007" spans="1:4">
      <c r="A3007" s="226" t="s">
        <v>4882</v>
      </c>
      <c r="B3007" s="226">
        <v>524820</v>
      </c>
      <c r="C3007" s="226" t="s">
        <v>4883</v>
      </c>
      <c r="D3007" s="226" t="s">
        <v>695</v>
      </c>
    </row>
    <row r="3008" spans="1:4">
      <c r="A3008" s="226" t="s">
        <v>4884</v>
      </c>
      <c r="B3008" s="226">
        <v>508941</v>
      </c>
      <c r="C3008" s="226" t="s">
        <v>486</v>
      </c>
      <c r="D3008" s="226" t="s">
        <v>670</v>
      </c>
    </row>
    <row r="3009" spans="1:4">
      <c r="A3009" s="226" t="s">
        <v>4885</v>
      </c>
      <c r="B3009" s="226">
        <v>504093</v>
      </c>
      <c r="C3009" s="226" t="s">
        <v>486</v>
      </c>
      <c r="D3009" s="226" t="s">
        <v>1031</v>
      </c>
    </row>
    <row r="3010" spans="1:4">
      <c r="A3010" s="226" t="s">
        <v>4886</v>
      </c>
      <c r="B3010" s="226">
        <v>513511</v>
      </c>
      <c r="C3010" s="226" t="s">
        <v>486</v>
      </c>
      <c r="D3010" s="226" t="s">
        <v>518</v>
      </c>
    </row>
    <row r="3011" spans="1:4">
      <c r="A3011" s="226" t="s">
        <v>4887</v>
      </c>
      <c r="B3011" s="226">
        <v>531726</v>
      </c>
      <c r="C3011" s="226" t="s">
        <v>486</v>
      </c>
      <c r="D3011" s="226" t="s">
        <v>524</v>
      </c>
    </row>
    <row r="3012" spans="1:4">
      <c r="A3012" s="226" t="s">
        <v>4888</v>
      </c>
      <c r="B3012" s="226">
        <v>506122</v>
      </c>
      <c r="C3012" s="226" t="s">
        <v>486</v>
      </c>
      <c r="D3012" s="226" t="s">
        <v>840</v>
      </c>
    </row>
    <row r="3013" spans="1:4">
      <c r="A3013" s="226" t="s">
        <v>4889</v>
      </c>
      <c r="B3013" s="226">
        <v>531280</v>
      </c>
      <c r="C3013" s="226" t="s">
        <v>486</v>
      </c>
      <c r="D3013" s="226" t="s">
        <v>680</v>
      </c>
    </row>
    <row r="3014" spans="1:4">
      <c r="A3014" s="226" t="s">
        <v>4890</v>
      </c>
      <c r="B3014" s="226">
        <v>534796</v>
      </c>
      <c r="C3014" s="226" t="s">
        <v>486</v>
      </c>
      <c r="D3014" s="226" t="s">
        <v>605</v>
      </c>
    </row>
    <row r="3015" spans="1:4">
      <c r="A3015" s="226" t="s">
        <v>4891</v>
      </c>
      <c r="B3015" s="226" t="s">
        <v>486</v>
      </c>
      <c r="C3015" s="226" t="s">
        <v>4892</v>
      </c>
      <c r="D3015" s="226" t="s">
        <v>497</v>
      </c>
    </row>
    <row r="3016" spans="1:4">
      <c r="A3016" s="226" t="s">
        <v>4893</v>
      </c>
      <c r="B3016" s="226">
        <v>539143</v>
      </c>
      <c r="C3016" s="226" t="s">
        <v>486</v>
      </c>
      <c r="D3016" s="226" t="s">
        <v>346</v>
      </c>
    </row>
    <row r="3017" spans="1:4">
      <c r="A3017" s="226" t="s">
        <v>4894</v>
      </c>
      <c r="B3017" s="226">
        <v>500322</v>
      </c>
      <c r="C3017" s="226" t="s">
        <v>486</v>
      </c>
      <c r="D3017" s="226" t="s">
        <v>499</v>
      </c>
    </row>
    <row r="3018" spans="1:4">
      <c r="A3018" s="226" t="s">
        <v>4895</v>
      </c>
      <c r="B3018" s="226">
        <v>513359</v>
      </c>
      <c r="C3018" s="226" t="s">
        <v>4896</v>
      </c>
      <c r="D3018" s="226" t="s">
        <v>762</v>
      </c>
    </row>
    <row r="3019" spans="1:4">
      <c r="A3019" s="226" t="s">
        <v>4897</v>
      </c>
      <c r="B3019" s="226">
        <v>533211</v>
      </c>
      <c r="C3019" s="226" t="s">
        <v>4898</v>
      </c>
      <c r="D3019" s="226" t="s">
        <v>524</v>
      </c>
    </row>
    <row r="3020" spans="1:4">
      <c r="A3020" s="226" t="s">
        <v>4899</v>
      </c>
      <c r="B3020" s="226">
        <v>539889</v>
      </c>
      <c r="C3020" s="226" t="s">
        <v>4900</v>
      </c>
      <c r="D3020" s="226" t="s">
        <v>546</v>
      </c>
    </row>
    <row r="3021" spans="1:4">
      <c r="A3021" s="226" t="s">
        <v>4901</v>
      </c>
      <c r="B3021" s="226">
        <v>531255</v>
      </c>
      <c r="C3021" s="226" t="s">
        <v>486</v>
      </c>
      <c r="D3021" s="226" t="s">
        <v>503</v>
      </c>
    </row>
    <row r="3022" spans="1:4">
      <c r="A3022" s="226" t="s">
        <v>4902</v>
      </c>
      <c r="B3022" s="226">
        <v>530555</v>
      </c>
      <c r="C3022" s="226" t="s">
        <v>4903</v>
      </c>
      <c r="D3022" s="226" t="s">
        <v>783</v>
      </c>
    </row>
    <row r="3023" spans="1:4">
      <c r="A3023" s="226" t="s">
        <v>4904</v>
      </c>
      <c r="B3023" s="226">
        <v>507970</v>
      </c>
      <c r="C3023" s="226" t="s">
        <v>486</v>
      </c>
      <c r="D3023" s="226" t="s">
        <v>667</v>
      </c>
    </row>
    <row r="3024" spans="1:4">
      <c r="A3024" s="226" t="s">
        <v>4905</v>
      </c>
      <c r="B3024" s="226">
        <v>507970</v>
      </c>
      <c r="C3024" s="226" t="s">
        <v>486</v>
      </c>
      <c r="D3024" s="226" t="s">
        <v>667</v>
      </c>
    </row>
    <row r="3025" spans="1:4">
      <c r="A3025" s="226" t="s">
        <v>4906</v>
      </c>
      <c r="B3025" s="226">
        <v>524689</v>
      </c>
      <c r="C3025" s="226" t="s">
        <v>4907</v>
      </c>
      <c r="D3025" s="226" t="s">
        <v>524</v>
      </c>
    </row>
    <row r="3026" spans="1:4">
      <c r="A3026" s="226" t="s">
        <v>4908</v>
      </c>
      <c r="B3026" s="226">
        <v>524689</v>
      </c>
      <c r="C3026" s="226" t="s">
        <v>4907</v>
      </c>
      <c r="D3026" s="226" t="s">
        <v>524</v>
      </c>
    </row>
    <row r="3027" spans="1:4">
      <c r="A3027" s="226" t="s">
        <v>4909</v>
      </c>
      <c r="B3027" s="226">
        <v>539481</v>
      </c>
      <c r="C3027" s="226" t="s">
        <v>486</v>
      </c>
      <c r="D3027" s="226" t="s">
        <v>503</v>
      </c>
    </row>
    <row r="3028" spans="1:4">
      <c r="A3028" s="226" t="s">
        <v>4910</v>
      </c>
      <c r="B3028" s="226" t="s">
        <v>486</v>
      </c>
      <c r="C3028" s="226" t="s">
        <v>4911</v>
      </c>
      <c r="D3028" s="226" t="s">
        <v>497</v>
      </c>
    </row>
    <row r="3029" spans="1:4">
      <c r="A3029" s="226" t="s">
        <v>4912</v>
      </c>
      <c r="B3029" s="226">
        <v>524628</v>
      </c>
      <c r="C3029" s="226" t="s">
        <v>486</v>
      </c>
      <c r="D3029" s="226" t="s">
        <v>508</v>
      </c>
    </row>
    <row r="3030" spans="1:4">
      <c r="A3030" s="226" t="s">
        <v>4913</v>
      </c>
      <c r="B3030" s="226">
        <v>532911</v>
      </c>
      <c r="C3030" s="226" t="s">
        <v>486</v>
      </c>
      <c r="D3030" s="226" t="s">
        <v>572</v>
      </c>
    </row>
    <row r="3031" spans="1:4">
      <c r="A3031" s="226" t="s">
        <v>4914</v>
      </c>
      <c r="B3031" s="226">
        <v>540359</v>
      </c>
      <c r="C3031" s="226" t="s">
        <v>486</v>
      </c>
      <c r="D3031" s="226" t="s">
        <v>524</v>
      </c>
    </row>
    <row r="3032" spans="1:4">
      <c r="A3032" s="226" t="s">
        <v>4915</v>
      </c>
      <c r="B3032" s="226">
        <v>540467</v>
      </c>
      <c r="C3032" s="226" t="s">
        <v>486</v>
      </c>
      <c r="D3032" s="226" t="s">
        <v>599</v>
      </c>
    </row>
    <row r="3033" spans="1:4">
      <c r="A3033" s="226" t="s">
        <v>4916</v>
      </c>
      <c r="B3033" s="226">
        <v>780017</v>
      </c>
      <c r="C3033" s="226" t="s">
        <v>486</v>
      </c>
      <c r="D3033" s="226" t="s">
        <v>577</v>
      </c>
    </row>
    <row r="3034" spans="1:4">
      <c r="A3034" s="226" t="s">
        <v>4917</v>
      </c>
      <c r="B3034" s="226">
        <v>506128</v>
      </c>
      <c r="C3034" s="226" t="s">
        <v>486</v>
      </c>
      <c r="D3034" s="226" t="s">
        <v>524</v>
      </c>
    </row>
    <row r="3035" spans="1:4">
      <c r="A3035" s="226" t="s">
        <v>4918</v>
      </c>
      <c r="B3035" s="226">
        <v>511702</v>
      </c>
      <c r="C3035" s="226" t="s">
        <v>486</v>
      </c>
      <c r="D3035" s="226" t="s">
        <v>503</v>
      </c>
    </row>
    <row r="3036" spans="1:4">
      <c r="A3036" s="226" t="s">
        <v>4919</v>
      </c>
      <c r="B3036" s="226">
        <v>511176</v>
      </c>
      <c r="C3036" s="226" t="s">
        <v>486</v>
      </c>
      <c r="D3036" s="226" t="s">
        <v>572</v>
      </c>
    </row>
    <row r="3037" spans="1:4">
      <c r="A3037" s="226" t="s">
        <v>4920</v>
      </c>
      <c r="B3037" s="226">
        <v>532780</v>
      </c>
      <c r="C3037" s="226" t="s">
        <v>4921</v>
      </c>
      <c r="D3037" s="226" t="s">
        <v>572</v>
      </c>
    </row>
    <row r="3038" spans="1:4">
      <c r="A3038" s="226" t="s">
        <v>4922</v>
      </c>
      <c r="B3038" s="226">
        <v>526349</v>
      </c>
      <c r="C3038" s="226" t="s">
        <v>486</v>
      </c>
      <c r="D3038" s="226" t="s">
        <v>840</v>
      </c>
    </row>
    <row r="3039" spans="1:4">
      <c r="A3039" s="226" t="s">
        <v>4923</v>
      </c>
      <c r="B3039" s="226">
        <v>541347</v>
      </c>
      <c r="C3039" s="226" t="s">
        <v>486</v>
      </c>
      <c r="D3039" s="226" t="s">
        <v>1184</v>
      </c>
    </row>
    <row r="3040" spans="1:4">
      <c r="A3040" s="226" t="s">
        <v>4924</v>
      </c>
      <c r="B3040" s="226">
        <v>521080</v>
      </c>
      <c r="C3040" s="226" t="s">
        <v>486</v>
      </c>
      <c r="D3040" s="226" t="s">
        <v>501</v>
      </c>
    </row>
    <row r="3041" spans="1:4">
      <c r="A3041" s="226" t="s">
        <v>4925</v>
      </c>
      <c r="B3041" s="226" t="s">
        <v>486</v>
      </c>
      <c r="C3041" s="226" t="s">
        <v>4926</v>
      </c>
      <c r="D3041" s="226" t="s">
        <v>497</v>
      </c>
    </row>
    <row r="3042" spans="1:4">
      <c r="A3042" s="226" t="s">
        <v>4927</v>
      </c>
      <c r="B3042" s="226">
        <v>500456</v>
      </c>
      <c r="C3042" s="226" t="s">
        <v>486</v>
      </c>
      <c r="D3042" s="226" t="s">
        <v>862</v>
      </c>
    </row>
    <row r="3043" spans="1:4">
      <c r="A3043" s="226" t="s">
        <v>4928</v>
      </c>
      <c r="B3043" s="226">
        <v>511734</v>
      </c>
      <c r="C3043" s="226" t="s">
        <v>486</v>
      </c>
      <c r="D3043" s="226" t="s">
        <v>503</v>
      </c>
    </row>
    <row r="3044" spans="1:4">
      <c r="A3044" s="226" t="s">
        <v>4929</v>
      </c>
      <c r="B3044" s="226">
        <v>503092</v>
      </c>
      <c r="C3044" s="226" t="s">
        <v>486</v>
      </c>
      <c r="D3044" s="226" t="s">
        <v>501</v>
      </c>
    </row>
    <row r="3045" spans="1:4">
      <c r="A3045" s="226" t="s">
        <v>4930</v>
      </c>
      <c r="B3045" s="226">
        <v>539401</v>
      </c>
      <c r="C3045" s="226" t="s">
        <v>486</v>
      </c>
      <c r="D3045" s="226" t="s">
        <v>599</v>
      </c>
    </row>
    <row r="3046" spans="1:4">
      <c r="A3046" s="226" t="s">
        <v>4931</v>
      </c>
      <c r="B3046" s="226">
        <v>531120</v>
      </c>
      <c r="C3046" s="226" t="s">
        <v>4932</v>
      </c>
      <c r="D3046" s="226" t="s">
        <v>883</v>
      </c>
    </row>
    <row r="3047" spans="1:4">
      <c r="A3047" s="226" t="s">
        <v>4933</v>
      </c>
      <c r="B3047" s="226">
        <v>526381</v>
      </c>
      <c r="C3047" s="226" t="s">
        <v>4934</v>
      </c>
      <c r="D3047" s="226" t="s">
        <v>558</v>
      </c>
    </row>
    <row r="3048" spans="1:4">
      <c r="A3048" s="226" t="s">
        <v>4935</v>
      </c>
      <c r="B3048" s="226">
        <v>517417</v>
      </c>
      <c r="C3048" s="226" t="s">
        <v>486</v>
      </c>
      <c r="D3048" s="226" t="s">
        <v>494</v>
      </c>
    </row>
    <row r="3049" spans="1:4">
      <c r="A3049" s="226" t="s">
        <v>4936</v>
      </c>
      <c r="B3049" s="226">
        <v>517417</v>
      </c>
      <c r="C3049" s="226" t="s">
        <v>486</v>
      </c>
      <c r="D3049" s="226" t="s">
        <v>494</v>
      </c>
    </row>
    <row r="3050" spans="1:4">
      <c r="A3050" s="226" t="s">
        <v>4937</v>
      </c>
      <c r="B3050" s="226">
        <v>524031</v>
      </c>
      <c r="C3050" s="226" t="s">
        <v>486</v>
      </c>
      <c r="D3050" s="226" t="s">
        <v>572</v>
      </c>
    </row>
    <row r="3051" spans="1:4">
      <c r="A3051" s="226" t="s">
        <v>4938</v>
      </c>
      <c r="B3051" s="226">
        <v>514326</v>
      </c>
      <c r="C3051" s="226" t="s">
        <v>4939</v>
      </c>
      <c r="D3051" s="226" t="s">
        <v>501</v>
      </c>
    </row>
    <row r="3052" spans="1:4">
      <c r="A3052" s="226" t="s">
        <v>4940</v>
      </c>
      <c r="B3052" s="226">
        <v>514326</v>
      </c>
      <c r="C3052" s="226" t="s">
        <v>4939</v>
      </c>
      <c r="D3052" s="226" t="s">
        <v>501</v>
      </c>
    </row>
    <row r="3053" spans="1:4">
      <c r="A3053" s="226" t="s">
        <v>4941</v>
      </c>
      <c r="B3053" s="226">
        <v>539113</v>
      </c>
      <c r="C3053" s="226" t="s">
        <v>486</v>
      </c>
      <c r="D3053" s="226" t="s">
        <v>503</v>
      </c>
    </row>
    <row r="3054" spans="1:4">
      <c r="A3054" s="226" t="s">
        <v>4942</v>
      </c>
      <c r="B3054" s="226">
        <v>532742</v>
      </c>
      <c r="C3054" s="226" t="s">
        <v>486</v>
      </c>
      <c r="D3054" s="226" t="s">
        <v>645</v>
      </c>
    </row>
    <row r="3055" spans="1:4">
      <c r="A3055" s="226" t="s">
        <v>4943</v>
      </c>
      <c r="B3055" s="226">
        <v>535658</v>
      </c>
      <c r="C3055" s="226" t="s">
        <v>486</v>
      </c>
      <c r="D3055" s="226" t="s">
        <v>503</v>
      </c>
    </row>
    <row r="3056" spans="1:4">
      <c r="A3056" s="226" t="s">
        <v>4944</v>
      </c>
      <c r="B3056" s="226">
        <v>532676</v>
      </c>
      <c r="C3056" s="226" t="s">
        <v>4945</v>
      </c>
      <c r="D3056" s="226" t="s">
        <v>883</v>
      </c>
    </row>
    <row r="3057" spans="1:4">
      <c r="A3057" s="226" t="s">
        <v>4946</v>
      </c>
      <c r="B3057" s="226">
        <v>514087</v>
      </c>
      <c r="C3057" s="226" t="s">
        <v>486</v>
      </c>
      <c r="D3057" s="226" t="s">
        <v>501</v>
      </c>
    </row>
    <row r="3058" spans="1:4">
      <c r="A3058" s="226" t="s">
        <v>4947</v>
      </c>
      <c r="B3058" s="226">
        <v>534809</v>
      </c>
      <c r="C3058" s="226" t="s">
        <v>4948</v>
      </c>
      <c r="D3058" s="226" t="s">
        <v>599</v>
      </c>
    </row>
    <row r="3059" spans="1:4">
      <c r="A3059" s="226" t="s">
        <v>4949</v>
      </c>
      <c r="B3059" s="226">
        <v>517119</v>
      </c>
      <c r="C3059" s="226" t="s">
        <v>486</v>
      </c>
      <c r="D3059" s="226" t="s">
        <v>810</v>
      </c>
    </row>
    <row r="3060" spans="1:4">
      <c r="A3060" s="226" t="s">
        <v>4950</v>
      </c>
      <c r="B3060" s="226">
        <v>538730</v>
      </c>
      <c r="C3060" s="226" t="s">
        <v>4951</v>
      </c>
      <c r="D3060" s="226" t="s">
        <v>508</v>
      </c>
    </row>
    <row r="3061" spans="1:4">
      <c r="A3061" s="226" t="s">
        <v>4952</v>
      </c>
      <c r="B3061" s="226">
        <v>532808</v>
      </c>
      <c r="C3061" s="226" t="s">
        <v>4953</v>
      </c>
      <c r="D3061" s="226" t="s">
        <v>599</v>
      </c>
    </row>
    <row r="3062" spans="1:4">
      <c r="A3062" s="226" t="s">
        <v>4954</v>
      </c>
      <c r="B3062" s="226">
        <v>523260</v>
      </c>
      <c r="C3062" s="226" t="s">
        <v>4955</v>
      </c>
      <c r="D3062" s="226" t="s">
        <v>680</v>
      </c>
    </row>
    <row r="3063" spans="1:4">
      <c r="A3063" s="226" t="s">
        <v>4956</v>
      </c>
      <c r="B3063" s="226">
        <v>539273</v>
      </c>
      <c r="C3063" s="226" t="s">
        <v>486</v>
      </c>
      <c r="D3063" s="226" t="s">
        <v>974</v>
      </c>
    </row>
    <row r="3064" spans="1:4">
      <c r="A3064" s="226" t="s">
        <v>4957</v>
      </c>
      <c r="B3064" s="226">
        <v>524136</v>
      </c>
      <c r="C3064" s="226" t="s">
        <v>486</v>
      </c>
      <c r="D3064" s="226" t="s">
        <v>368</v>
      </c>
    </row>
    <row r="3065" spans="1:4">
      <c r="A3065" s="226" t="s">
        <v>4958</v>
      </c>
      <c r="B3065" s="226">
        <v>531352</v>
      </c>
      <c r="C3065" s="226" t="s">
        <v>486</v>
      </c>
      <c r="D3065" s="226" t="s">
        <v>501</v>
      </c>
    </row>
    <row r="3066" spans="1:4">
      <c r="A3066" s="226" t="s">
        <v>4959</v>
      </c>
      <c r="B3066" s="226">
        <v>503031</v>
      </c>
      <c r="C3066" s="226" t="s">
        <v>4960</v>
      </c>
      <c r="D3066" s="226" t="s">
        <v>572</v>
      </c>
    </row>
    <row r="3067" spans="1:4">
      <c r="A3067" s="226" t="s">
        <v>4961</v>
      </c>
      <c r="B3067" s="226">
        <v>539333</v>
      </c>
      <c r="C3067" s="226" t="s">
        <v>4962</v>
      </c>
      <c r="D3067" s="226" t="s">
        <v>572</v>
      </c>
    </row>
    <row r="3068" spans="1:4">
      <c r="A3068" s="226" t="s">
        <v>4963</v>
      </c>
      <c r="B3068" s="226">
        <v>513228</v>
      </c>
      <c r="C3068" s="226" t="s">
        <v>4964</v>
      </c>
      <c r="D3068" s="226" t="s">
        <v>518</v>
      </c>
    </row>
    <row r="3069" spans="1:4">
      <c r="A3069" s="226" t="s">
        <v>4965</v>
      </c>
      <c r="B3069" s="226" t="s">
        <v>486</v>
      </c>
      <c r="C3069" s="226" t="s">
        <v>4966</v>
      </c>
      <c r="D3069" s="226" t="s">
        <v>497</v>
      </c>
    </row>
    <row r="3070" spans="1:4">
      <c r="A3070" s="226" t="s">
        <v>4967</v>
      </c>
      <c r="B3070" s="226">
        <v>500329</v>
      </c>
      <c r="C3070" s="226" t="s">
        <v>486</v>
      </c>
      <c r="D3070" s="226" t="s">
        <v>489</v>
      </c>
    </row>
    <row r="3071" spans="1:4">
      <c r="A3071" s="226" t="s">
        <v>4968</v>
      </c>
      <c r="B3071" s="226">
        <v>524210</v>
      </c>
      <c r="C3071" s="226" t="s">
        <v>486</v>
      </c>
      <c r="D3071" s="226" t="s">
        <v>534</v>
      </c>
    </row>
    <row r="3072" spans="1:4">
      <c r="A3072" s="226" t="s">
        <v>4969</v>
      </c>
      <c r="B3072" s="226">
        <v>524210</v>
      </c>
      <c r="C3072" s="226" t="s">
        <v>486</v>
      </c>
      <c r="D3072" s="226" t="s">
        <v>534</v>
      </c>
    </row>
    <row r="3073" spans="1:4">
      <c r="A3073" s="226" t="s">
        <v>4970</v>
      </c>
      <c r="B3073" s="226">
        <v>501144</v>
      </c>
      <c r="C3073" s="226" t="s">
        <v>486</v>
      </c>
      <c r="D3073" s="226" t="s">
        <v>906</v>
      </c>
    </row>
    <row r="3074" spans="1:4">
      <c r="A3074" s="226" t="s">
        <v>4971</v>
      </c>
      <c r="B3074" s="226" t="s">
        <v>486</v>
      </c>
      <c r="C3074" s="226" t="s">
        <v>4972</v>
      </c>
      <c r="D3074" s="226" t="s">
        <v>497</v>
      </c>
    </row>
    <row r="3075" spans="1:4">
      <c r="A3075" s="226" t="s">
        <v>4973</v>
      </c>
      <c r="B3075" s="226">
        <v>521062</v>
      </c>
      <c r="C3075" s="226" t="s">
        <v>486</v>
      </c>
      <c r="D3075" s="226" t="s">
        <v>1222</v>
      </c>
    </row>
    <row r="3076" spans="1:4">
      <c r="A3076" s="226" t="s">
        <v>4974</v>
      </c>
      <c r="B3076" s="226">
        <v>526435</v>
      </c>
      <c r="C3076" s="226" t="s">
        <v>486</v>
      </c>
      <c r="D3076" s="226" t="s">
        <v>480</v>
      </c>
    </row>
    <row r="3077" spans="1:4">
      <c r="A3077" s="226" t="s">
        <v>4975</v>
      </c>
      <c r="B3077" s="226">
        <v>504132</v>
      </c>
      <c r="C3077" s="226" t="s">
        <v>486</v>
      </c>
      <c r="D3077" s="226" t="s">
        <v>670</v>
      </c>
    </row>
    <row r="3078" spans="1:4">
      <c r="A3078" s="226" t="s">
        <v>4976</v>
      </c>
      <c r="B3078" s="226">
        <v>533179</v>
      </c>
      <c r="C3078" s="226" t="s">
        <v>4977</v>
      </c>
      <c r="D3078" s="226" t="s">
        <v>473</v>
      </c>
    </row>
    <row r="3079" spans="1:4">
      <c r="A3079" s="226" t="s">
        <v>4978</v>
      </c>
      <c r="B3079" s="226">
        <v>517172</v>
      </c>
      <c r="C3079" s="226" t="s">
        <v>486</v>
      </c>
      <c r="D3079" s="226" t="s">
        <v>1027</v>
      </c>
    </row>
    <row r="3080" spans="1:4">
      <c r="A3080" s="226" t="s">
        <v>4979</v>
      </c>
      <c r="B3080" s="226">
        <v>530381</v>
      </c>
      <c r="C3080" s="226" t="s">
        <v>4980</v>
      </c>
      <c r="D3080" s="226" t="s">
        <v>883</v>
      </c>
    </row>
    <row r="3081" spans="1:4">
      <c r="A3081" s="226" t="s">
        <v>4981</v>
      </c>
      <c r="B3081" s="226">
        <v>532522</v>
      </c>
      <c r="C3081" s="226" t="s">
        <v>4982</v>
      </c>
      <c r="D3081" s="226" t="s">
        <v>695</v>
      </c>
    </row>
    <row r="3082" spans="1:4">
      <c r="A3082" s="226" t="s">
        <v>4983</v>
      </c>
      <c r="B3082" s="226">
        <v>500680</v>
      </c>
      <c r="C3082" s="226" t="s">
        <v>4984</v>
      </c>
      <c r="D3082" s="226" t="s">
        <v>524</v>
      </c>
    </row>
    <row r="3083" spans="1:4">
      <c r="A3083" s="226" t="s">
        <v>4985</v>
      </c>
      <c r="B3083" s="226">
        <v>531769</v>
      </c>
      <c r="C3083" s="226" t="s">
        <v>486</v>
      </c>
      <c r="D3083" s="226" t="s">
        <v>579</v>
      </c>
    </row>
    <row r="3084" spans="1:4">
      <c r="A3084" s="226" t="s">
        <v>4986</v>
      </c>
      <c r="B3084" s="226">
        <v>533581</v>
      </c>
      <c r="C3084" s="226" t="s">
        <v>4987</v>
      </c>
      <c r="D3084" s="226" t="s">
        <v>854</v>
      </c>
    </row>
    <row r="3085" spans="1:4">
      <c r="A3085" s="226" t="s">
        <v>4988</v>
      </c>
      <c r="B3085" s="226">
        <v>526747</v>
      </c>
      <c r="C3085" s="226" t="s">
        <v>486</v>
      </c>
      <c r="D3085" s="226" t="s">
        <v>790</v>
      </c>
    </row>
    <row r="3086" spans="1:4">
      <c r="A3086" s="226" t="s">
        <v>4989</v>
      </c>
      <c r="B3086" s="226">
        <v>531281</v>
      </c>
      <c r="C3086" s="226" t="s">
        <v>486</v>
      </c>
      <c r="D3086" s="226" t="s">
        <v>1013</v>
      </c>
    </row>
    <row r="3087" spans="1:4">
      <c r="A3087" s="226" t="s">
        <v>4990</v>
      </c>
      <c r="B3087" s="226">
        <v>500143</v>
      </c>
      <c r="C3087" s="226" t="s">
        <v>486</v>
      </c>
      <c r="D3087" s="226" t="s">
        <v>508</v>
      </c>
    </row>
    <row r="3088" spans="1:4">
      <c r="A3088" s="226" t="s">
        <v>4991</v>
      </c>
      <c r="B3088" s="226">
        <v>512026</v>
      </c>
      <c r="C3088" s="226" t="s">
        <v>486</v>
      </c>
      <c r="D3088" s="226" t="s">
        <v>508</v>
      </c>
    </row>
    <row r="3089" spans="1:4">
      <c r="A3089" s="226" t="s">
        <v>4992</v>
      </c>
      <c r="B3089" s="226">
        <v>523620</v>
      </c>
      <c r="C3089" s="226" t="s">
        <v>486</v>
      </c>
      <c r="D3089" s="226" t="s">
        <v>524</v>
      </c>
    </row>
    <row r="3090" spans="1:4">
      <c r="A3090" s="226" t="s">
        <v>4993</v>
      </c>
      <c r="B3090" s="226">
        <v>506590</v>
      </c>
      <c r="C3090" s="226" t="s">
        <v>4994</v>
      </c>
      <c r="D3090" s="226" t="s">
        <v>4995</v>
      </c>
    </row>
    <row r="3091" spans="1:4">
      <c r="A3091" s="226" t="s">
        <v>4996</v>
      </c>
      <c r="B3091" s="226">
        <v>526481</v>
      </c>
      <c r="C3091" s="226" t="s">
        <v>486</v>
      </c>
      <c r="D3091" s="226" t="s">
        <v>599</v>
      </c>
    </row>
    <row r="3092" spans="1:4">
      <c r="A3092" s="226" t="s">
        <v>4997</v>
      </c>
      <c r="B3092" s="226">
        <v>537839</v>
      </c>
      <c r="C3092" s="226" t="s">
        <v>486</v>
      </c>
      <c r="D3092" s="226" t="s">
        <v>686</v>
      </c>
    </row>
    <row r="3093" spans="1:4">
      <c r="A3093" s="226" t="s">
        <v>4998</v>
      </c>
      <c r="B3093" s="226">
        <v>509084</v>
      </c>
      <c r="C3093" s="226" t="s">
        <v>486</v>
      </c>
      <c r="D3093" s="226" t="s">
        <v>906</v>
      </c>
    </row>
    <row r="3094" spans="1:4">
      <c r="A3094" s="226" t="s">
        <v>4999</v>
      </c>
      <c r="B3094" s="226">
        <v>526588</v>
      </c>
      <c r="C3094" s="226" t="s">
        <v>486</v>
      </c>
      <c r="D3094" s="226" t="s">
        <v>1722</v>
      </c>
    </row>
    <row r="3095" spans="1:4">
      <c r="A3095" s="226" t="s">
        <v>5000</v>
      </c>
      <c r="B3095" s="226">
        <v>526588</v>
      </c>
      <c r="C3095" s="226" t="s">
        <v>486</v>
      </c>
      <c r="D3095" s="226" t="s">
        <v>1722</v>
      </c>
    </row>
    <row r="3096" spans="1:4">
      <c r="A3096" s="226" t="s">
        <v>5001</v>
      </c>
      <c r="B3096" s="226">
        <v>524808</v>
      </c>
      <c r="C3096" s="226" t="s">
        <v>486</v>
      </c>
      <c r="D3096" s="226" t="s">
        <v>629</v>
      </c>
    </row>
    <row r="3097" spans="1:4">
      <c r="A3097" s="226" t="s">
        <v>5002</v>
      </c>
      <c r="B3097" s="226">
        <v>524808</v>
      </c>
      <c r="C3097" s="226" t="s">
        <v>486</v>
      </c>
      <c r="D3097" s="226" t="s">
        <v>629</v>
      </c>
    </row>
    <row r="3098" spans="1:4">
      <c r="A3098" s="226" t="s">
        <v>5003</v>
      </c>
      <c r="B3098" s="226">
        <v>523642</v>
      </c>
      <c r="C3098" s="226" t="s">
        <v>5004</v>
      </c>
      <c r="D3098" s="226" t="s">
        <v>629</v>
      </c>
    </row>
    <row r="3099" spans="1:4">
      <c r="A3099" s="226" t="s">
        <v>5005</v>
      </c>
      <c r="B3099" s="226">
        <v>530305</v>
      </c>
      <c r="C3099" s="226" t="s">
        <v>486</v>
      </c>
      <c r="D3099" s="226" t="s">
        <v>1184</v>
      </c>
    </row>
    <row r="3100" spans="1:4">
      <c r="A3100" s="226" t="s">
        <v>5006</v>
      </c>
      <c r="B3100" s="226">
        <v>507498</v>
      </c>
      <c r="C3100" s="226" t="s">
        <v>486</v>
      </c>
      <c r="D3100" s="226" t="s">
        <v>1184</v>
      </c>
    </row>
    <row r="3101" spans="1:4">
      <c r="A3101" s="226" t="s">
        <v>5007</v>
      </c>
      <c r="B3101" s="226">
        <v>532355</v>
      </c>
      <c r="C3101" s="226" t="s">
        <v>486</v>
      </c>
      <c r="D3101" s="226" t="s">
        <v>489</v>
      </c>
    </row>
    <row r="3102" spans="1:4">
      <c r="A3102" s="226" t="s">
        <v>5008</v>
      </c>
      <c r="B3102" s="226">
        <v>500331</v>
      </c>
      <c r="C3102" s="226" t="s">
        <v>5009</v>
      </c>
      <c r="D3102" s="226" t="s">
        <v>645</v>
      </c>
    </row>
    <row r="3103" spans="1:4">
      <c r="A3103" s="226" t="s">
        <v>5010</v>
      </c>
      <c r="B3103" s="226">
        <v>500327</v>
      </c>
      <c r="C3103" s="226" t="s">
        <v>5011</v>
      </c>
      <c r="D3103" s="226" t="s">
        <v>605</v>
      </c>
    </row>
    <row r="3104" spans="1:4">
      <c r="A3104" s="226" t="s">
        <v>5012</v>
      </c>
      <c r="B3104" s="226">
        <v>539883</v>
      </c>
      <c r="C3104" s="226" t="s">
        <v>5013</v>
      </c>
      <c r="D3104" s="226" t="s">
        <v>651</v>
      </c>
    </row>
    <row r="3105" spans="1:4">
      <c r="A3105" s="226" t="s">
        <v>5014</v>
      </c>
      <c r="B3105" s="226">
        <v>519439</v>
      </c>
      <c r="C3105" s="226" t="s">
        <v>486</v>
      </c>
      <c r="D3105" s="226" t="s">
        <v>734</v>
      </c>
    </row>
    <row r="3106" spans="1:4">
      <c r="A3106" s="226" t="s">
        <v>5015</v>
      </c>
      <c r="B3106" s="226">
        <v>531879</v>
      </c>
      <c r="C3106" s="226" t="s">
        <v>5016</v>
      </c>
      <c r="D3106" s="226" t="s">
        <v>1117</v>
      </c>
    </row>
    <row r="3107" spans="1:4">
      <c r="A3107" s="226" t="s">
        <v>5017</v>
      </c>
      <c r="B3107" s="226">
        <v>514300</v>
      </c>
      <c r="C3107" s="226" t="s">
        <v>5018</v>
      </c>
      <c r="D3107" s="226" t="s">
        <v>501</v>
      </c>
    </row>
    <row r="3108" spans="1:4">
      <c r="A3108" s="226" t="s">
        <v>5019</v>
      </c>
      <c r="B3108" s="226">
        <v>507864</v>
      </c>
      <c r="C3108" s="226" t="s">
        <v>486</v>
      </c>
      <c r="D3108" s="226" t="s">
        <v>470</v>
      </c>
    </row>
    <row r="3109" spans="1:4">
      <c r="A3109" s="226" t="s">
        <v>5020</v>
      </c>
      <c r="B3109" s="226">
        <v>500302</v>
      </c>
      <c r="C3109" s="226" t="s">
        <v>5021</v>
      </c>
      <c r="D3109" s="226" t="s">
        <v>524</v>
      </c>
    </row>
    <row r="3110" spans="1:4">
      <c r="A3110" s="226" t="s">
        <v>5022</v>
      </c>
      <c r="B3110" s="226">
        <v>532979</v>
      </c>
      <c r="C3110" s="226" t="s">
        <v>5023</v>
      </c>
      <c r="D3110" s="226" t="s">
        <v>524</v>
      </c>
    </row>
    <row r="3111" spans="1:4">
      <c r="A3111" s="226" t="s">
        <v>5024</v>
      </c>
      <c r="B3111" s="226">
        <v>530683</v>
      </c>
      <c r="C3111" s="226" t="s">
        <v>486</v>
      </c>
      <c r="D3111" s="226" t="s">
        <v>680</v>
      </c>
    </row>
    <row r="3112" spans="1:4">
      <c r="A3112" s="226" t="s">
        <v>5025</v>
      </c>
      <c r="B3112" s="226">
        <v>513519</v>
      </c>
      <c r="C3112" s="226" t="s">
        <v>5026</v>
      </c>
      <c r="D3112" s="226" t="s">
        <v>783</v>
      </c>
    </row>
    <row r="3113" spans="1:4">
      <c r="A3113" s="226" t="s">
        <v>5027</v>
      </c>
      <c r="B3113" s="226">
        <v>500333</v>
      </c>
      <c r="C3113" s="226" t="s">
        <v>486</v>
      </c>
      <c r="D3113" s="226" t="s">
        <v>965</v>
      </c>
    </row>
    <row r="3114" spans="1:4">
      <c r="A3114" s="226" t="s">
        <v>5028</v>
      </c>
      <c r="B3114" s="226">
        <v>523105</v>
      </c>
      <c r="C3114" s="226" t="s">
        <v>486</v>
      </c>
      <c r="D3114" s="226" t="s">
        <v>680</v>
      </c>
    </row>
    <row r="3115" spans="1:4">
      <c r="A3115" s="226" t="s">
        <v>5029</v>
      </c>
      <c r="B3115" s="226">
        <v>523648</v>
      </c>
      <c r="C3115" s="226" t="s">
        <v>5030</v>
      </c>
      <c r="D3115" s="226" t="s">
        <v>645</v>
      </c>
    </row>
    <row r="3116" spans="1:4">
      <c r="A3116" s="226" t="s">
        <v>5031</v>
      </c>
      <c r="B3116" s="226">
        <v>523648</v>
      </c>
      <c r="C3116" s="226" t="s">
        <v>5030</v>
      </c>
      <c r="D3116" s="226" t="s">
        <v>645</v>
      </c>
    </row>
    <row r="3117" spans="1:4">
      <c r="A3117" s="226" t="s">
        <v>5032</v>
      </c>
      <c r="B3117" s="226">
        <v>534060</v>
      </c>
      <c r="C3117" s="226" t="s">
        <v>486</v>
      </c>
      <c r="D3117" s="226" t="s">
        <v>503</v>
      </c>
    </row>
    <row r="3118" spans="1:4">
      <c r="A3118" s="226" t="s">
        <v>5033</v>
      </c>
      <c r="B3118" s="226">
        <v>532366</v>
      </c>
      <c r="C3118" s="226" t="s">
        <v>5034</v>
      </c>
      <c r="D3118" s="226" t="s">
        <v>503</v>
      </c>
    </row>
    <row r="3119" spans="1:4">
      <c r="A3119" s="226" t="s">
        <v>5035</v>
      </c>
      <c r="B3119" s="226">
        <v>540173</v>
      </c>
      <c r="C3119" s="226" t="s">
        <v>5036</v>
      </c>
      <c r="D3119" s="226" t="s">
        <v>544</v>
      </c>
    </row>
    <row r="3120" spans="1:4">
      <c r="A3120" s="226" t="s">
        <v>5037</v>
      </c>
      <c r="B3120" s="226">
        <v>539150</v>
      </c>
      <c r="C3120" s="226" t="s">
        <v>5038</v>
      </c>
      <c r="D3120" s="226" t="s">
        <v>1080</v>
      </c>
    </row>
    <row r="3121" spans="1:4">
      <c r="A3121" s="226" t="s">
        <v>5039</v>
      </c>
      <c r="B3121" s="226">
        <v>532803</v>
      </c>
      <c r="C3121" s="226" t="s">
        <v>5040</v>
      </c>
      <c r="D3121" s="226" t="s">
        <v>683</v>
      </c>
    </row>
    <row r="3122" spans="1:4">
      <c r="A3122" s="226" t="s">
        <v>5041</v>
      </c>
      <c r="B3122" s="226">
        <v>539195</v>
      </c>
      <c r="C3122" s="226" t="s">
        <v>486</v>
      </c>
      <c r="D3122" s="226" t="s">
        <v>534</v>
      </c>
    </row>
    <row r="3123" spans="1:4">
      <c r="A3123" s="226" t="s">
        <v>5042</v>
      </c>
      <c r="B3123" s="226">
        <v>523628</v>
      </c>
      <c r="C3123" s="226" t="s">
        <v>5043</v>
      </c>
      <c r="D3123" s="226" t="s">
        <v>572</v>
      </c>
    </row>
    <row r="3124" spans="1:4">
      <c r="A3124" s="226" t="s">
        <v>5044</v>
      </c>
      <c r="B3124" s="226">
        <v>524570</v>
      </c>
      <c r="C3124" s="226" t="s">
        <v>5045</v>
      </c>
      <c r="D3124" s="226" t="s">
        <v>645</v>
      </c>
    </row>
    <row r="3125" spans="1:4">
      <c r="A3125" s="226" t="s">
        <v>5046</v>
      </c>
      <c r="B3125" s="226">
        <v>532486</v>
      </c>
      <c r="C3125" s="226" t="s">
        <v>5047</v>
      </c>
      <c r="D3125" s="226" t="s">
        <v>1013</v>
      </c>
    </row>
    <row r="3126" spans="1:4">
      <c r="A3126" s="226" t="s">
        <v>5048</v>
      </c>
      <c r="B3126" s="226">
        <v>526687</v>
      </c>
      <c r="C3126" s="226" t="s">
        <v>486</v>
      </c>
      <c r="D3126" s="226" t="s">
        <v>686</v>
      </c>
    </row>
    <row r="3127" spans="1:4">
      <c r="A3127" s="226" t="s">
        <v>5049</v>
      </c>
      <c r="B3127" s="226">
        <v>540717</v>
      </c>
      <c r="C3127" s="226" t="s">
        <v>486</v>
      </c>
      <c r="D3127" s="226" t="s">
        <v>508</v>
      </c>
    </row>
    <row r="3128" spans="1:4">
      <c r="A3128" s="226" t="s">
        <v>5050</v>
      </c>
      <c r="B3128" s="226">
        <v>507645</v>
      </c>
      <c r="C3128" s="226" t="s">
        <v>486</v>
      </c>
      <c r="D3128" s="226" t="s">
        <v>645</v>
      </c>
    </row>
    <row r="3129" spans="1:4">
      <c r="A3129" s="226" t="s">
        <v>5051</v>
      </c>
      <c r="B3129" s="226">
        <v>531768</v>
      </c>
      <c r="C3129" s="226" t="s">
        <v>5052</v>
      </c>
      <c r="D3129" s="226" t="s">
        <v>1650</v>
      </c>
    </row>
    <row r="3130" spans="1:4">
      <c r="A3130" s="226" t="s">
        <v>5053</v>
      </c>
      <c r="B3130" s="226">
        <v>542652</v>
      </c>
      <c r="C3130" s="226" t="s">
        <v>5054</v>
      </c>
      <c r="D3130" s="226" t="s">
        <v>783</v>
      </c>
    </row>
    <row r="3131" spans="1:4">
      <c r="A3131" s="226" t="s">
        <v>5055</v>
      </c>
      <c r="B3131" s="226">
        <v>506605</v>
      </c>
      <c r="C3131" s="226" t="s">
        <v>486</v>
      </c>
      <c r="D3131" s="226" t="s">
        <v>534</v>
      </c>
    </row>
    <row r="3132" spans="1:4">
      <c r="A3132" s="226" t="s">
        <v>5056</v>
      </c>
      <c r="B3132" s="226">
        <v>531397</v>
      </c>
      <c r="C3132" s="226" t="s">
        <v>486</v>
      </c>
      <c r="D3132" s="226" t="s">
        <v>680</v>
      </c>
    </row>
    <row r="3133" spans="1:4">
      <c r="A3133" s="226" t="s">
        <v>5057</v>
      </c>
      <c r="B3133" s="226">
        <v>514486</v>
      </c>
      <c r="C3133" s="226" t="s">
        <v>486</v>
      </c>
      <c r="D3133" s="226" t="s">
        <v>501</v>
      </c>
    </row>
    <row r="3134" spans="1:4">
      <c r="A3134" s="226" t="s">
        <v>5058</v>
      </c>
      <c r="B3134" s="226">
        <v>531454</v>
      </c>
      <c r="C3134" s="226" t="s">
        <v>486</v>
      </c>
      <c r="D3134" s="226" t="s">
        <v>862</v>
      </c>
    </row>
    <row r="3135" spans="1:4">
      <c r="A3135" s="226" t="s">
        <v>5059</v>
      </c>
      <c r="B3135" s="226">
        <v>531454</v>
      </c>
      <c r="C3135" s="226" t="s">
        <v>486</v>
      </c>
      <c r="D3135" s="226" t="s">
        <v>862</v>
      </c>
    </row>
    <row r="3136" spans="1:4">
      <c r="A3136" s="226" t="s">
        <v>5060</v>
      </c>
      <c r="B3136" s="226">
        <v>537573</v>
      </c>
      <c r="C3136" s="226" t="s">
        <v>486</v>
      </c>
      <c r="D3136" s="226" t="s">
        <v>605</v>
      </c>
    </row>
    <row r="3137" spans="1:4">
      <c r="A3137" s="226" t="s">
        <v>5061</v>
      </c>
      <c r="B3137" s="226">
        <v>526043</v>
      </c>
      <c r="C3137" s="226" t="s">
        <v>486</v>
      </c>
      <c r="D3137" s="226" t="s">
        <v>494</v>
      </c>
    </row>
    <row r="3138" spans="1:4">
      <c r="A3138" s="226" t="s">
        <v>5062</v>
      </c>
      <c r="B3138" s="226">
        <v>524051</v>
      </c>
      <c r="C3138" s="226" t="s">
        <v>5063</v>
      </c>
      <c r="D3138" s="226" t="s">
        <v>534</v>
      </c>
    </row>
    <row r="3139" spans="1:4">
      <c r="A3139" s="226" t="s">
        <v>5064</v>
      </c>
      <c r="B3139" s="226">
        <v>539354</v>
      </c>
      <c r="C3139" s="226" t="s">
        <v>486</v>
      </c>
      <c r="D3139" s="226" t="s">
        <v>680</v>
      </c>
    </row>
    <row r="3140" spans="1:4">
      <c r="A3140" s="226" t="s">
        <v>5065</v>
      </c>
      <c r="B3140" s="226">
        <v>512481</v>
      </c>
      <c r="C3140" s="226" t="s">
        <v>486</v>
      </c>
      <c r="D3140" s="226" t="s">
        <v>503</v>
      </c>
    </row>
    <row r="3141" spans="1:4">
      <c r="A3141" s="226" t="s">
        <v>5066</v>
      </c>
      <c r="B3141" s="226">
        <v>512481</v>
      </c>
      <c r="C3141" s="226" t="s">
        <v>486</v>
      </c>
      <c r="D3141" s="226" t="s">
        <v>503</v>
      </c>
    </row>
    <row r="3142" spans="1:4">
      <c r="A3142" s="226" t="s">
        <v>5067</v>
      </c>
      <c r="B3142" s="226">
        <v>532626</v>
      </c>
      <c r="C3142" s="226" t="s">
        <v>486</v>
      </c>
      <c r="D3142" s="226" t="s">
        <v>2730</v>
      </c>
    </row>
    <row r="3143" spans="1:4">
      <c r="A3143" s="226" t="s">
        <v>5068</v>
      </c>
      <c r="B3143" s="226">
        <v>532460</v>
      </c>
      <c r="C3143" s="226" t="s">
        <v>5069</v>
      </c>
      <c r="D3143" s="226" t="s">
        <v>1184</v>
      </c>
    </row>
    <row r="3144" spans="1:4">
      <c r="A3144" s="226" t="s">
        <v>5070</v>
      </c>
      <c r="B3144" s="226">
        <v>532011</v>
      </c>
      <c r="C3144" s="226" t="s">
        <v>486</v>
      </c>
      <c r="D3144" s="226" t="s">
        <v>489</v>
      </c>
    </row>
    <row r="3145" spans="1:4">
      <c r="A3145" s="226" t="s">
        <v>5071</v>
      </c>
      <c r="B3145" s="226">
        <v>540727</v>
      </c>
      <c r="C3145" s="226" t="s">
        <v>486</v>
      </c>
      <c r="D3145" s="226" t="s">
        <v>1403</v>
      </c>
    </row>
    <row r="3146" spans="1:4">
      <c r="A3146" s="226" t="s">
        <v>5072</v>
      </c>
      <c r="B3146" s="226">
        <v>519359</v>
      </c>
      <c r="C3146" s="226" t="s">
        <v>486</v>
      </c>
      <c r="D3146" s="226" t="s">
        <v>734</v>
      </c>
    </row>
    <row r="3147" spans="1:4">
      <c r="A3147" s="226" t="s">
        <v>5073</v>
      </c>
      <c r="B3147" s="226">
        <v>531870</v>
      </c>
      <c r="C3147" s="226" t="s">
        <v>486</v>
      </c>
      <c r="D3147" s="226" t="s">
        <v>883</v>
      </c>
    </row>
    <row r="3148" spans="1:4">
      <c r="A3148" s="226" t="s">
        <v>5074</v>
      </c>
      <c r="B3148" s="226">
        <v>532933</v>
      </c>
      <c r="C3148" s="226" t="s">
        <v>486</v>
      </c>
      <c r="D3148" s="226" t="s">
        <v>840</v>
      </c>
    </row>
    <row r="3149" spans="1:4">
      <c r="A3149" s="226" t="s">
        <v>5075</v>
      </c>
      <c r="B3149" s="226" t="s">
        <v>486</v>
      </c>
      <c r="C3149" s="226" t="s">
        <v>5076</v>
      </c>
      <c r="D3149" s="226" t="s">
        <v>497</v>
      </c>
    </row>
    <row r="3150" spans="1:4">
      <c r="A3150" s="226" t="s">
        <v>5077</v>
      </c>
      <c r="B3150" s="226">
        <v>532810</v>
      </c>
      <c r="C3150" s="226" t="s">
        <v>5078</v>
      </c>
      <c r="D3150" s="226" t="s">
        <v>503</v>
      </c>
    </row>
    <row r="3151" spans="1:4">
      <c r="A3151" s="226" t="s">
        <v>5079</v>
      </c>
      <c r="B3151" s="226">
        <v>532898</v>
      </c>
      <c r="C3151" s="226" t="s">
        <v>5080</v>
      </c>
      <c r="D3151" s="226" t="s">
        <v>624</v>
      </c>
    </row>
    <row r="3152" spans="1:4">
      <c r="A3152" s="226" t="s">
        <v>5081</v>
      </c>
      <c r="B3152" s="226">
        <v>532898</v>
      </c>
      <c r="C3152" s="226" t="s">
        <v>5080</v>
      </c>
      <c r="D3152" s="226" t="s">
        <v>624</v>
      </c>
    </row>
    <row r="3153" spans="1:4">
      <c r="A3153" s="226" t="s">
        <v>5082</v>
      </c>
      <c r="B3153" s="226">
        <v>539302</v>
      </c>
      <c r="C3153" s="226" t="s">
        <v>5083</v>
      </c>
      <c r="D3153" s="226" t="s">
        <v>883</v>
      </c>
    </row>
    <row r="3154" spans="1:4">
      <c r="A3154" s="226" t="s">
        <v>5084</v>
      </c>
      <c r="B3154" s="226" t="s">
        <v>486</v>
      </c>
      <c r="C3154" s="226" t="s">
        <v>5085</v>
      </c>
      <c r="D3154" s="226" t="s">
        <v>497</v>
      </c>
    </row>
    <row r="3155" spans="1:4">
      <c r="A3155" s="226" t="s">
        <v>5086</v>
      </c>
      <c r="B3155" s="226">
        <v>538731</v>
      </c>
      <c r="C3155" s="226" t="s">
        <v>486</v>
      </c>
      <c r="D3155" s="226" t="s">
        <v>663</v>
      </c>
    </row>
    <row r="3156" spans="1:4">
      <c r="A3156" s="226" t="s">
        <v>5087</v>
      </c>
      <c r="B3156" s="226">
        <v>532934</v>
      </c>
      <c r="C3156" s="226" t="s">
        <v>5088</v>
      </c>
      <c r="D3156" s="226" t="s">
        <v>840</v>
      </c>
    </row>
    <row r="3157" spans="1:4">
      <c r="A3157" s="226" t="s">
        <v>5089</v>
      </c>
      <c r="B3157" s="226">
        <v>539351</v>
      </c>
      <c r="C3157" s="226" t="s">
        <v>5090</v>
      </c>
      <c r="D3157" s="226" t="s">
        <v>546</v>
      </c>
    </row>
    <row r="3158" spans="1:4">
      <c r="A3158" s="226" t="s">
        <v>5091</v>
      </c>
      <c r="B3158" s="226">
        <v>540027</v>
      </c>
      <c r="C3158" s="226" t="s">
        <v>486</v>
      </c>
      <c r="D3158" s="226" t="s">
        <v>487</v>
      </c>
    </row>
    <row r="3159" spans="1:4">
      <c r="A3159" s="226" t="s">
        <v>5092</v>
      </c>
      <c r="B3159" s="226">
        <v>540027</v>
      </c>
      <c r="C3159" s="226" t="s">
        <v>486</v>
      </c>
      <c r="D3159" s="226" t="s">
        <v>487</v>
      </c>
    </row>
    <row r="3160" spans="1:4">
      <c r="A3160" s="226" t="s">
        <v>5093</v>
      </c>
      <c r="B3160" s="226">
        <v>531855</v>
      </c>
      <c r="C3160" s="226" t="s">
        <v>486</v>
      </c>
      <c r="D3160" s="226" t="s">
        <v>518</v>
      </c>
    </row>
    <row r="3161" spans="1:4">
      <c r="A3161" s="226" t="s">
        <v>5094</v>
      </c>
      <c r="B3161" s="226">
        <v>506042</v>
      </c>
      <c r="C3161" s="226" t="s">
        <v>486</v>
      </c>
      <c r="D3161" s="226" t="s">
        <v>518</v>
      </c>
    </row>
    <row r="3162" spans="1:4">
      <c r="A3162" s="226" t="s">
        <v>5095</v>
      </c>
      <c r="B3162" s="226">
        <v>513532</v>
      </c>
      <c r="C3162" s="226" t="s">
        <v>486</v>
      </c>
      <c r="D3162" s="226" t="s">
        <v>840</v>
      </c>
    </row>
    <row r="3163" spans="1:4">
      <c r="A3163" s="226" t="s">
        <v>5096</v>
      </c>
      <c r="B3163" s="226">
        <v>530095</v>
      </c>
      <c r="C3163" s="226" t="s">
        <v>486</v>
      </c>
      <c r="D3163" s="226" t="s">
        <v>518</v>
      </c>
    </row>
    <row r="3164" spans="1:4">
      <c r="A3164" s="226" t="s">
        <v>5097</v>
      </c>
      <c r="B3164" s="226">
        <v>533178</v>
      </c>
      <c r="C3164" s="226" t="s">
        <v>5098</v>
      </c>
      <c r="D3164" s="226" t="s">
        <v>501</v>
      </c>
    </row>
    <row r="3165" spans="1:4">
      <c r="A3165" s="226" t="s">
        <v>5099</v>
      </c>
      <c r="B3165" s="226">
        <v>500192</v>
      </c>
      <c r="C3165" s="226" t="s">
        <v>486</v>
      </c>
      <c r="D3165" s="226" t="s">
        <v>501</v>
      </c>
    </row>
    <row r="3166" spans="1:4">
      <c r="A3166" s="226" t="s">
        <v>5100</v>
      </c>
      <c r="B3166" s="226">
        <v>522205</v>
      </c>
      <c r="C3166" s="226" t="s">
        <v>5101</v>
      </c>
      <c r="D3166" s="226" t="s">
        <v>883</v>
      </c>
    </row>
    <row r="3167" spans="1:4">
      <c r="A3167" s="226" t="s">
        <v>5102</v>
      </c>
      <c r="B3167" s="226">
        <v>531746</v>
      </c>
      <c r="C3167" s="226" t="s">
        <v>5103</v>
      </c>
      <c r="D3167" s="226" t="s">
        <v>572</v>
      </c>
    </row>
    <row r="3168" spans="1:4">
      <c r="A3168" s="226" t="s">
        <v>5104</v>
      </c>
      <c r="B3168" s="226">
        <v>533605</v>
      </c>
      <c r="C3168" s="226" t="s">
        <v>5105</v>
      </c>
      <c r="D3168" s="226" t="s">
        <v>883</v>
      </c>
    </row>
    <row r="3169" spans="1:4">
      <c r="A3169" s="226" t="s">
        <v>5106</v>
      </c>
      <c r="B3169" s="226">
        <v>506022</v>
      </c>
      <c r="C3169" s="226" t="s">
        <v>5107</v>
      </c>
      <c r="D3169" s="226" t="s">
        <v>518</v>
      </c>
    </row>
    <row r="3170" spans="1:4">
      <c r="A3170" s="226" t="s">
        <v>5108</v>
      </c>
      <c r="B3170" s="226">
        <v>542684</v>
      </c>
      <c r="C3170" s="226" t="s">
        <v>5109</v>
      </c>
      <c r="D3170" s="226" t="s">
        <v>605</v>
      </c>
    </row>
    <row r="3171" spans="1:4">
      <c r="A3171" s="226" t="s">
        <v>5110</v>
      </c>
      <c r="B3171" s="226">
        <v>533239</v>
      </c>
      <c r="C3171" s="226" t="s">
        <v>5111</v>
      </c>
      <c r="D3171" s="226" t="s">
        <v>883</v>
      </c>
    </row>
    <row r="3172" spans="1:4">
      <c r="A3172" s="226" t="s">
        <v>5112</v>
      </c>
      <c r="B3172" s="226">
        <v>531437</v>
      </c>
      <c r="C3172" s="226" t="s">
        <v>486</v>
      </c>
      <c r="D3172" s="226" t="s">
        <v>501</v>
      </c>
    </row>
    <row r="3173" spans="1:4">
      <c r="A3173" s="226" t="s">
        <v>5113</v>
      </c>
      <c r="B3173" s="226">
        <v>531172</v>
      </c>
      <c r="C3173" s="226" t="s">
        <v>486</v>
      </c>
      <c r="D3173" s="226" t="s">
        <v>501</v>
      </c>
    </row>
    <row r="3174" spans="1:4">
      <c r="A3174" s="226" t="s">
        <v>5114</v>
      </c>
      <c r="B3174" s="226">
        <v>519014</v>
      </c>
      <c r="C3174" s="226" t="s">
        <v>486</v>
      </c>
      <c r="D3174" s="226" t="s">
        <v>501</v>
      </c>
    </row>
    <row r="3175" spans="1:4">
      <c r="A3175" s="226" t="s">
        <v>5115</v>
      </c>
      <c r="B3175" s="226">
        <v>519014</v>
      </c>
      <c r="C3175" s="226" t="s">
        <v>486</v>
      </c>
      <c r="D3175" s="226" t="s">
        <v>501</v>
      </c>
    </row>
    <row r="3176" spans="1:4">
      <c r="A3176" s="226" t="s">
        <v>5116</v>
      </c>
      <c r="B3176" s="226">
        <v>540724</v>
      </c>
      <c r="C3176" s="226" t="s">
        <v>5117</v>
      </c>
      <c r="D3176" s="226" t="s">
        <v>546</v>
      </c>
    </row>
    <row r="3177" spans="1:4">
      <c r="A3177" s="226" t="s">
        <v>5118</v>
      </c>
      <c r="B3177" s="226">
        <v>526490</v>
      </c>
      <c r="C3177" s="226" t="s">
        <v>486</v>
      </c>
      <c r="D3177" s="226" t="s">
        <v>980</v>
      </c>
    </row>
    <row r="3178" spans="1:4">
      <c r="A3178" s="226" t="s">
        <v>5119</v>
      </c>
      <c r="B3178" s="226">
        <v>531257</v>
      </c>
      <c r="C3178" s="226" t="s">
        <v>486</v>
      </c>
      <c r="D3178" s="226" t="s">
        <v>645</v>
      </c>
    </row>
    <row r="3179" spans="1:4">
      <c r="A3179" s="226" t="s">
        <v>5120</v>
      </c>
      <c r="B3179" s="226">
        <v>540901</v>
      </c>
      <c r="C3179" s="226" t="s">
        <v>5121</v>
      </c>
      <c r="D3179" s="226" t="s">
        <v>487</v>
      </c>
    </row>
    <row r="3180" spans="1:4">
      <c r="A3180" s="226" t="s">
        <v>5122</v>
      </c>
      <c r="B3180" s="226">
        <v>506107</v>
      </c>
      <c r="C3180" s="226" t="s">
        <v>486</v>
      </c>
      <c r="D3180" s="226" t="s">
        <v>906</v>
      </c>
    </row>
    <row r="3181" spans="1:4">
      <c r="A3181" s="226" t="s">
        <v>5123</v>
      </c>
      <c r="B3181" s="226">
        <v>539636</v>
      </c>
      <c r="C3181" s="226" t="s">
        <v>5124</v>
      </c>
      <c r="D3181" s="226" t="s">
        <v>840</v>
      </c>
    </row>
    <row r="3182" spans="1:4">
      <c r="A3182" s="226" t="s">
        <v>5125</v>
      </c>
      <c r="B3182" s="226">
        <v>523874</v>
      </c>
      <c r="C3182" s="226" t="s">
        <v>486</v>
      </c>
      <c r="D3182" s="226" t="s">
        <v>508</v>
      </c>
    </row>
    <row r="3183" spans="1:4">
      <c r="A3183" s="226" t="s">
        <v>5126</v>
      </c>
      <c r="B3183" s="226">
        <v>517258</v>
      </c>
      <c r="C3183" s="226" t="s">
        <v>486</v>
      </c>
      <c r="D3183" s="226" t="s">
        <v>1027</v>
      </c>
    </row>
    <row r="3184" spans="1:4">
      <c r="A3184" s="226" t="s">
        <v>5127</v>
      </c>
      <c r="B3184" s="226">
        <v>523539</v>
      </c>
      <c r="C3184" s="226" t="s">
        <v>5128</v>
      </c>
      <c r="D3184" s="226" t="s">
        <v>1403</v>
      </c>
    </row>
    <row r="3185" spans="1:4">
      <c r="A3185" s="226" t="s">
        <v>5129</v>
      </c>
      <c r="B3185" s="226">
        <v>523539</v>
      </c>
      <c r="C3185" s="226" t="s">
        <v>5128</v>
      </c>
      <c r="D3185" s="226" t="s">
        <v>1403</v>
      </c>
    </row>
    <row r="3186" spans="1:4">
      <c r="A3186" s="226" t="s">
        <v>5130</v>
      </c>
      <c r="B3186" s="226" t="s">
        <v>486</v>
      </c>
      <c r="C3186" s="226" t="s">
        <v>5131</v>
      </c>
      <c r="D3186" s="226" t="s">
        <v>577</v>
      </c>
    </row>
    <row r="3187" spans="1:4">
      <c r="A3187" s="226" t="s">
        <v>5132</v>
      </c>
      <c r="B3187" s="226">
        <v>530669</v>
      </c>
      <c r="C3187" s="226" t="s">
        <v>486</v>
      </c>
      <c r="D3187" s="226" t="s">
        <v>470</v>
      </c>
    </row>
    <row r="3188" spans="1:4">
      <c r="A3188" s="226" t="s">
        <v>5133</v>
      </c>
      <c r="B3188" s="226">
        <v>530331</v>
      </c>
      <c r="C3188" s="226" t="s">
        <v>486</v>
      </c>
      <c r="D3188" s="226" t="s">
        <v>501</v>
      </c>
    </row>
    <row r="3189" spans="1:4">
      <c r="A3189" s="226" t="s">
        <v>5134</v>
      </c>
      <c r="B3189" s="226">
        <v>780007</v>
      </c>
      <c r="C3189" s="226" t="s">
        <v>486</v>
      </c>
      <c r="D3189" s="226" t="s">
        <v>577</v>
      </c>
    </row>
    <row r="3190" spans="1:4">
      <c r="A3190" s="226" t="s">
        <v>5135</v>
      </c>
      <c r="B3190" s="226">
        <v>526247</v>
      </c>
      <c r="C3190" s="226" t="s">
        <v>5136</v>
      </c>
      <c r="D3190" s="226" t="s">
        <v>645</v>
      </c>
    </row>
    <row r="3191" spans="1:4">
      <c r="A3191" s="226" t="s">
        <v>5137</v>
      </c>
      <c r="B3191" s="226">
        <v>500540</v>
      </c>
      <c r="C3191" s="226" t="s">
        <v>5138</v>
      </c>
      <c r="D3191" s="226" t="s">
        <v>494</v>
      </c>
    </row>
    <row r="3192" spans="1:4">
      <c r="A3192" s="226" t="s">
        <v>5139</v>
      </c>
      <c r="B3192" s="226">
        <v>513291</v>
      </c>
      <c r="C3192" s="226" t="s">
        <v>486</v>
      </c>
      <c r="D3192" s="226" t="s">
        <v>808</v>
      </c>
    </row>
    <row r="3193" spans="1:4">
      <c r="A3193" s="226" t="s">
        <v>5140</v>
      </c>
      <c r="B3193" s="226">
        <v>514354</v>
      </c>
      <c r="C3193" s="226" t="s">
        <v>5141</v>
      </c>
      <c r="D3193" s="226" t="s">
        <v>534</v>
      </c>
    </row>
    <row r="3194" spans="1:4">
      <c r="A3194" s="226" t="s">
        <v>5142</v>
      </c>
      <c r="B3194" s="226">
        <v>509835</v>
      </c>
      <c r="C3194" s="226" t="s">
        <v>486</v>
      </c>
      <c r="D3194" s="226" t="s">
        <v>501</v>
      </c>
    </row>
    <row r="3195" spans="1:4">
      <c r="A3195" s="226" t="s">
        <v>5143</v>
      </c>
      <c r="B3195" s="226">
        <v>531802</v>
      </c>
      <c r="C3195" s="226" t="s">
        <v>486</v>
      </c>
      <c r="D3195" s="226" t="s">
        <v>572</v>
      </c>
    </row>
    <row r="3196" spans="1:4">
      <c r="A3196" s="226" t="s">
        <v>5144</v>
      </c>
      <c r="B3196" s="226">
        <v>509077</v>
      </c>
      <c r="C3196" s="226" t="s">
        <v>5145</v>
      </c>
      <c r="D3196" s="226" t="s">
        <v>2086</v>
      </c>
    </row>
    <row r="3197" spans="1:4">
      <c r="A3197" s="226" t="s">
        <v>5146</v>
      </c>
      <c r="B3197" s="226">
        <v>533274</v>
      </c>
      <c r="C3197" s="226" t="s">
        <v>5147</v>
      </c>
      <c r="D3197" s="226" t="s">
        <v>572</v>
      </c>
    </row>
    <row r="3198" spans="1:4">
      <c r="A3198" s="226" t="s">
        <v>5148</v>
      </c>
      <c r="B3198" s="226">
        <v>540293</v>
      </c>
      <c r="C3198" s="226" t="s">
        <v>5149</v>
      </c>
      <c r="D3198" s="226" t="s">
        <v>840</v>
      </c>
    </row>
    <row r="3199" spans="1:4">
      <c r="A3199" s="226" t="s">
        <v>5150</v>
      </c>
      <c r="B3199" s="226">
        <v>519262</v>
      </c>
      <c r="C3199" s="226" t="s">
        <v>486</v>
      </c>
      <c r="D3199" s="226" t="s">
        <v>683</v>
      </c>
    </row>
    <row r="3200" spans="1:4">
      <c r="A3200" s="226" t="s">
        <v>5151</v>
      </c>
      <c r="B3200" s="226">
        <v>531246</v>
      </c>
      <c r="C3200" s="226" t="s">
        <v>486</v>
      </c>
      <c r="D3200" s="226" t="s">
        <v>734</v>
      </c>
    </row>
    <row r="3201" spans="1:4">
      <c r="A3201" s="226" t="s">
        <v>5152</v>
      </c>
      <c r="B3201" s="226">
        <v>530589</v>
      </c>
      <c r="C3201" s="226" t="s">
        <v>486</v>
      </c>
      <c r="D3201" s="226" t="s">
        <v>605</v>
      </c>
    </row>
    <row r="3202" spans="1:4">
      <c r="A3202" s="226" t="s">
        <v>5153</v>
      </c>
      <c r="B3202" s="226">
        <v>535514</v>
      </c>
      <c r="C3202" s="226" t="s">
        <v>486</v>
      </c>
      <c r="D3202" s="226" t="s">
        <v>503</v>
      </c>
    </row>
    <row r="3203" spans="1:4">
      <c r="A3203" s="226" t="s">
        <v>5154</v>
      </c>
      <c r="B3203" s="226">
        <v>540404</v>
      </c>
      <c r="C3203" s="226" t="s">
        <v>486</v>
      </c>
      <c r="D3203" s="226" t="s">
        <v>683</v>
      </c>
    </row>
    <row r="3204" spans="1:4">
      <c r="A3204" s="226" t="s">
        <v>5155</v>
      </c>
      <c r="B3204" s="226">
        <v>532748</v>
      </c>
      <c r="C3204" s="226" t="s">
        <v>5156</v>
      </c>
      <c r="D3204" s="226" t="s">
        <v>489</v>
      </c>
    </row>
    <row r="3205" spans="1:4">
      <c r="A3205" s="226" t="s">
        <v>5157</v>
      </c>
      <c r="B3205" s="226">
        <v>519299</v>
      </c>
      <c r="C3205" s="226" t="s">
        <v>486</v>
      </c>
      <c r="D3205" s="226" t="s">
        <v>734</v>
      </c>
    </row>
    <row r="3206" spans="1:4">
      <c r="A3206" s="226" t="s">
        <v>5158</v>
      </c>
      <c r="B3206" s="226">
        <v>530695</v>
      </c>
      <c r="C3206" s="226" t="s">
        <v>486</v>
      </c>
      <c r="D3206" s="226" t="s">
        <v>572</v>
      </c>
    </row>
    <row r="3207" spans="1:4">
      <c r="A3207" s="226" t="s">
        <v>5159</v>
      </c>
      <c r="B3207" s="226">
        <v>500337</v>
      </c>
      <c r="C3207" s="226" t="s">
        <v>5160</v>
      </c>
      <c r="D3207" s="226" t="s">
        <v>470</v>
      </c>
    </row>
    <row r="3208" spans="1:4">
      <c r="A3208" s="226" t="s">
        <v>5161</v>
      </c>
      <c r="B3208" s="226">
        <v>521149</v>
      </c>
      <c r="C3208" s="226" t="s">
        <v>486</v>
      </c>
      <c r="D3208" s="226" t="s">
        <v>572</v>
      </c>
    </row>
    <row r="3209" spans="1:4">
      <c r="A3209" s="226" t="s">
        <v>5162</v>
      </c>
      <c r="B3209" s="226">
        <v>521149</v>
      </c>
      <c r="C3209" s="226" t="s">
        <v>486</v>
      </c>
      <c r="D3209" s="226" t="s">
        <v>572</v>
      </c>
    </row>
    <row r="3210" spans="1:4">
      <c r="A3210" s="226" t="s">
        <v>5163</v>
      </c>
      <c r="B3210" s="226">
        <v>531735</v>
      </c>
      <c r="C3210" s="226" t="s">
        <v>486</v>
      </c>
      <c r="D3210" s="226" t="s">
        <v>503</v>
      </c>
    </row>
    <row r="3211" spans="1:4">
      <c r="A3211" s="226" t="s">
        <v>5164</v>
      </c>
      <c r="B3211" s="226">
        <v>500338</v>
      </c>
      <c r="C3211" s="226" t="s">
        <v>5165</v>
      </c>
      <c r="D3211" s="226" t="s">
        <v>499</v>
      </c>
    </row>
    <row r="3212" spans="1:4">
      <c r="A3212" s="226" t="s">
        <v>5166</v>
      </c>
      <c r="B3212" s="226">
        <v>512217</v>
      </c>
      <c r="C3212" s="226" t="s">
        <v>486</v>
      </c>
      <c r="D3212" s="226" t="s">
        <v>503</v>
      </c>
    </row>
    <row r="3213" spans="1:4">
      <c r="A3213" s="226" t="s">
        <v>5167</v>
      </c>
      <c r="B3213" s="226">
        <v>531688</v>
      </c>
      <c r="C3213" s="226" t="s">
        <v>486</v>
      </c>
      <c r="D3213" s="226" t="s">
        <v>579</v>
      </c>
    </row>
    <row r="3214" spans="1:4">
      <c r="A3214" s="226" t="s">
        <v>5168</v>
      </c>
      <c r="B3214" s="226">
        <v>531688</v>
      </c>
      <c r="C3214" s="226" t="s">
        <v>486</v>
      </c>
      <c r="D3214" s="226" t="s">
        <v>579</v>
      </c>
    </row>
    <row r="3215" spans="1:4">
      <c r="A3215" s="226" t="s">
        <v>5169</v>
      </c>
      <c r="B3215" s="226" t="s">
        <v>486</v>
      </c>
      <c r="C3215" s="226" t="s">
        <v>5170</v>
      </c>
      <c r="D3215" s="226" t="s">
        <v>497</v>
      </c>
    </row>
    <row r="3216" spans="1:4">
      <c r="A3216" s="226" t="s">
        <v>5171</v>
      </c>
      <c r="B3216" s="226">
        <v>539359</v>
      </c>
      <c r="C3216" s="226" t="s">
        <v>486</v>
      </c>
      <c r="D3216" s="226" t="s">
        <v>1403</v>
      </c>
    </row>
    <row r="3217" spans="1:4">
      <c r="A3217" s="226" t="s">
        <v>5172</v>
      </c>
      <c r="B3217" s="226">
        <v>532387</v>
      </c>
      <c r="C3217" s="226" t="s">
        <v>5173</v>
      </c>
      <c r="D3217" s="226" t="s">
        <v>489</v>
      </c>
    </row>
    <row r="3218" spans="1:4">
      <c r="A3218" s="226" t="s">
        <v>5174</v>
      </c>
      <c r="B3218" s="226">
        <v>524580</v>
      </c>
      <c r="C3218" s="226" t="s">
        <v>486</v>
      </c>
      <c r="D3218" s="226" t="s">
        <v>508</v>
      </c>
    </row>
    <row r="3219" spans="1:4">
      <c r="A3219" s="226" t="s">
        <v>5175</v>
      </c>
      <c r="B3219" s="226">
        <v>511557</v>
      </c>
      <c r="C3219" s="226" t="s">
        <v>486</v>
      </c>
      <c r="D3219" s="226" t="s">
        <v>906</v>
      </c>
    </row>
    <row r="3220" spans="1:4">
      <c r="A3220" s="226" t="s">
        <v>5176</v>
      </c>
      <c r="B3220" s="226">
        <v>512105</v>
      </c>
      <c r="C3220" s="226" t="s">
        <v>486</v>
      </c>
      <c r="D3220" s="226" t="s">
        <v>906</v>
      </c>
    </row>
    <row r="3221" spans="1:4">
      <c r="A3221" s="226" t="s">
        <v>5177</v>
      </c>
      <c r="B3221" s="226">
        <v>526009</v>
      </c>
      <c r="C3221" s="226" t="s">
        <v>486</v>
      </c>
      <c r="D3221" s="226" t="s">
        <v>508</v>
      </c>
    </row>
    <row r="3222" spans="1:4">
      <c r="A3222" s="226" t="s">
        <v>5178</v>
      </c>
      <c r="B3222" s="226">
        <v>526009</v>
      </c>
      <c r="C3222" s="226" t="s">
        <v>486</v>
      </c>
      <c r="D3222" s="226" t="s">
        <v>508</v>
      </c>
    </row>
    <row r="3223" spans="1:4">
      <c r="A3223" s="226" t="s">
        <v>5179</v>
      </c>
      <c r="B3223" s="226" t="s">
        <v>486</v>
      </c>
      <c r="C3223" s="226" t="s">
        <v>5180</v>
      </c>
      <c r="D3223" s="226" t="s">
        <v>508</v>
      </c>
    </row>
    <row r="3224" spans="1:4">
      <c r="A3224" s="226" t="s">
        <v>5181</v>
      </c>
      <c r="B3224" s="226">
        <v>500459</v>
      </c>
      <c r="C3224" s="226" t="s">
        <v>5182</v>
      </c>
      <c r="D3224" s="226" t="s">
        <v>667</v>
      </c>
    </row>
    <row r="3225" spans="1:4">
      <c r="A3225" s="226" t="s">
        <v>5183</v>
      </c>
      <c r="B3225" s="226">
        <v>531265</v>
      </c>
      <c r="C3225" s="226" t="s">
        <v>486</v>
      </c>
      <c r="D3225" s="226" t="s">
        <v>566</v>
      </c>
    </row>
    <row r="3226" spans="1:4">
      <c r="A3226" s="226" t="s">
        <v>5184</v>
      </c>
      <c r="B3226" s="226" t="s">
        <v>486</v>
      </c>
      <c r="C3226" s="226" t="s">
        <v>5185</v>
      </c>
      <c r="D3226" s="226" t="s">
        <v>497</v>
      </c>
    </row>
    <row r="3227" spans="1:4">
      <c r="A3227" s="226" t="s">
        <v>5186</v>
      </c>
      <c r="B3227" s="226">
        <v>526494</v>
      </c>
      <c r="C3227" s="226" t="s">
        <v>486</v>
      </c>
      <c r="D3227" s="226" t="s">
        <v>680</v>
      </c>
    </row>
    <row r="3228" spans="1:4">
      <c r="A3228" s="226" t="s">
        <v>5187</v>
      </c>
      <c r="B3228" s="226">
        <v>590057</v>
      </c>
      <c r="C3228" s="226" t="s">
        <v>5188</v>
      </c>
      <c r="D3228" s="226" t="s">
        <v>579</v>
      </c>
    </row>
    <row r="3229" spans="1:4">
      <c r="A3229" s="226" t="s">
        <v>5189</v>
      </c>
      <c r="B3229" s="226">
        <v>590057</v>
      </c>
      <c r="C3229" s="226" t="s">
        <v>5188</v>
      </c>
      <c r="D3229" s="226" t="s">
        <v>579</v>
      </c>
    </row>
    <row r="3230" spans="1:4">
      <c r="A3230" s="226" t="s">
        <v>5190</v>
      </c>
      <c r="B3230" s="226">
        <v>540703</v>
      </c>
      <c r="C3230" s="226" t="s">
        <v>486</v>
      </c>
      <c r="D3230" s="226" t="s">
        <v>570</v>
      </c>
    </row>
    <row r="3231" spans="1:4">
      <c r="A3231" s="226" t="s">
        <v>5191</v>
      </c>
      <c r="B3231" s="226">
        <v>532647</v>
      </c>
      <c r="C3231" s="226" t="s">
        <v>5192</v>
      </c>
      <c r="D3231" s="226" t="s">
        <v>599</v>
      </c>
    </row>
    <row r="3232" spans="1:4">
      <c r="A3232" s="226" t="s">
        <v>5193</v>
      </c>
      <c r="B3232" s="226">
        <v>532647</v>
      </c>
      <c r="C3232" s="226" t="s">
        <v>5192</v>
      </c>
      <c r="D3232" s="226" t="s">
        <v>599</v>
      </c>
    </row>
    <row r="3233" spans="1:4">
      <c r="A3233" s="226" t="s">
        <v>5194</v>
      </c>
      <c r="B3233" s="226">
        <v>534675</v>
      </c>
      <c r="C3233" s="226" t="s">
        <v>5195</v>
      </c>
      <c r="D3233" s="226" t="s">
        <v>572</v>
      </c>
    </row>
    <row r="3234" spans="1:4">
      <c r="A3234" s="226" t="s">
        <v>5196</v>
      </c>
      <c r="B3234" s="226">
        <v>505502</v>
      </c>
      <c r="C3234" s="226" t="s">
        <v>486</v>
      </c>
      <c r="D3234" s="226" t="s">
        <v>470</v>
      </c>
    </row>
    <row r="3235" spans="1:4">
      <c r="A3235" s="226" t="s">
        <v>5197</v>
      </c>
      <c r="B3235" s="226">
        <v>526801</v>
      </c>
      <c r="C3235" s="226" t="s">
        <v>5198</v>
      </c>
      <c r="D3235" s="226" t="s">
        <v>883</v>
      </c>
    </row>
    <row r="3236" spans="1:4">
      <c r="A3236" s="226" t="s">
        <v>5199</v>
      </c>
      <c r="B3236" s="226">
        <v>540544</v>
      </c>
      <c r="C3236" s="226" t="s">
        <v>5200</v>
      </c>
      <c r="D3236" s="226" t="s">
        <v>883</v>
      </c>
    </row>
    <row r="3237" spans="1:4">
      <c r="A3237" s="226" t="s">
        <v>5201</v>
      </c>
      <c r="B3237" s="226">
        <v>532524</v>
      </c>
      <c r="C3237" s="226" t="s">
        <v>5202</v>
      </c>
      <c r="D3237" s="226" t="s">
        <v>624</v>
      </c>
    </row>
    <row r="3238" spans="1:4">
      <c r="A3238" s="226" t="s">
        <v>5203</v>
      </c>
      <c r="B3238" s="226">
        <v>533344</v>
      </c>
      <c r="C3238" s="226" t="s">
        <v>5204</v>
      </c>
      <c r="D3238" s="226" t="s">
        <v>503</v>
      </c>
    </row>
    <row r="3239" spans="1:4">
      <c r="A3239" s="226" t="s">
        <v>5205</v>
      </c>
      <c r="B3239" s="226">
        <v>532524</v>
      </c>
      <c r="C3239" s="226" t="s">
        <v>5202</v>
      </c>
      <c r="D3239" s="226" t="s">
        <v>624</v>
      </c>
    </row>
    <row r="3240" spans="1:4">
      <c r="A3240" s="226" t="s">
        <v>5206</v>
      </c>
      <c r="B3240" s="226">
        <v>539006</v>
      </c>
      <c r="C3240" s="226" t="s">
        <v>486</v>
      </c>
      <c r="D3240" s="226" t="s">
        <v>1403</v>
      </c>
    </row>
    <row r="3241" spans="1:4">
      <c r="A3241" s="226" t="s">
        <v>5207</v>
      </c>
      <c r="B3241" s="226">
        <v>509220</v>
      </c>
      <c r="C3241" s="226" t="s">
        <v>5208</v>
      </c>
      <c r="D3241" s="226" t="s">
        <v>508</v>
      </c>
    </row>
    <row r="3242" spans="1:4">
      <c r="A3242" s="226" t="s">
        <v>5209</v>
      </c>
      <c r="B3242" s="226">
        <v>539785</v>
      </c>
      <c r="C3242" s="226" t="s">
        <v>5210</v>
      </c>
      <c r="D3242" s="226" t="s">
        <v>480</v>
      </c>
    </row>
    <row r="3243" spans="1:4">
      <c r="A3243" s="226" t="s">
        <v>5211</v>
      </c>
      <c r="B3243" s="226">
        <v>512591</v>
      </c>
      <c r="C3243" s="226" t="s">
        <v>486</v>
      </c>
      <c r="D3243" s="226" t="s">
        <v>508</v>
      </c>
    </row>
    <row r="3244" spans="1:4">
      <c r="A3244" s="226" t="s">
        <v>5212</v>
      </c>
      <c r="B3244" s="226" t="s">
        <v>486</v>
      </c>
      <c r="C3244" s="226" t="s">
        <v>5213</v>
      </c>
      <c r="D3244" s="226" t="s">
        <v>497</v>
      </c>
    </row>
    <row r="3245" spans="1:4">
      <c r="A3245" s="226" t="s">
        <v>5214</v>
      </c>
      <c r="B3245" s="226">
        <v>512461</v>
      </c>
      <c r="C3245" s="226" t="s">
        <v>486</v>
      </c>
      <c r="D3245" s="226" t="s">
        <v>508</v>
      </c>
    </row>
    <row r="3246" spans="1:4">
      <c r="A3246" s="226" t="s">
        <v>5215</v>
      </c>
      <c r="B3246" s="226">
        <v>512099</v>
      </c>
      <c r="C3246" s="226" t="s">
        <v>486</v>
      </c>
      <c r="D3246" s="226" t="s">
        <v>599</v>
      </c>
    </row>
    <row r="3247" spans="1:4">
      <c r="A3247" s="226" t="s">
        <v>5216</v>
      </c>
      <c r="B3247" s="226">
        <v>532693</v>
      </c>
      <c r="C3247" s="226" t="s">
        <v>5217</v>
      </c>
      <c r="D3247" s="226" t="s">
        <v>883</v>
      </c>
    </row>
    <row r="3248" spans="1:4">
      <c r="A3248" s="226" t="s">
        <v>5218</v>
      </c>
      <c r="B3248" s="226">
        <v>533295</v>
      </c>
      <c r="C3248" s="226" t="s">
        <v>5219</v>
      </c>
      <c r="D3248" s="226" t="s">
        <v>803</v>
      </c>
    </row>
    <row r="3249" spans="1:4">
      <c r="A3249" s="226" t="s">
        <v>5220</v>
      </c>
      <c r="B3249" s="226">
        <v>506852</v>
      </c>
      <c r="C3249" s="226" t="s">
        <v>486</v>
      </c>
      <c r="D3249" s="226" t="s">
        <v>534</v>
      </c>
    </row>
    <row r="3250" spans="1:4">
      <c r="A3250" s="226" t="s">
        <v>5221</v>
      </c>
      <c r="B3250" s="226">
        <v>506618</v>
      </c>
      <c r="C3250" s="226" t="s">
        <v>5222</v>
      </c>
      <c r="D3250" s="226" t="s">
        <v>629</v>
      </c>
    </row>
    <row r="3251" spans="1:4">
      <c r="A3251" s="226" t="s">
        <v>5223</v>
      </c>
      <c r="B3251" s="226">
        <v>500346</v>
      </c>
      <c r="C3251" s="226" t="s">
        <v>486</v>
      </c>
      <c r="D3251" s="226" t="s">
        <v>631</v>
      </c>
    </row>
    <row r="3252" spans="1:4">
      <c r="A3252" s="226" t="s">
        <v>5224</v>
      </c>
      <c r="B3252" s="226">
        <v>532461</v>
      </c>
      <c r="C3252" s="226" t="s">
        <v>5225</v>
      </c>
      <c r="D3252" s="226" t="s">
        <v>803</v>
      </c>
    </row>
    <row r="3253" spans="1:4">
      <c r="A3253" s="226" t="s">
        <v>5226</v>
      </c>
      <c r="B3253" s="226">
        <v>532891</v>
      </c>
      <c r="C3253" s="226" t="s">
        <v>5227</v>
      </c>
      <c r="D3253" s="226" t="s">
        <v>572</v>
      </c>
    </row>
    <row r="3254" spans="1:4">
      <c r="A3254" s="226" t="s">
        <v>5228</v>
      </c>
      <c r="B3254" s="226">
        <v>540492</v>
      </c>
      <c r="C3254" s="226" t="s">
        <v>486</v>
      </c>
      <c r="D3254" s="226" t="s">
        <v>508</v>
      </c>
    </row>
    <row r="3255" spans="1:4">
      <c r="A3255" s="226" t="s">
        <v>5229</v>
      </c>
      <c r="B3255" s="226">
        <v>523315</v>
      </c>
      <c r="C3255" s="226" t="s">
        <v>486</v>
      </c>
      <c r="D3255" s="226" t="s">
        <v>480</v>
      </c>
    </row>
    <row r="3256" spans="1:4">
      <c r="A3256" s="226" t="s">
        <v>5230</v>
      </c>
      <c r="B3256" s="226">
        <v>538993</v>
      </c>
      <c r="C3256" s="226" t="s">
        <v>486</v>
      </c>
      <c r="D3256" s="226" t="s">
        <v>572</v>
      </c>
    </row>
    <row r="3257" spans="1:4">
      <c r="A3257" s="226" t="s">
        <v>5231</v>
      </c>
      <c r="B3257" s="226">
        <v>540159</v>
      </c>
      <c r="C3257" s="226" t="s">
        <v>486</v>
      </c>
      <c r="D3257" s="226" t="s">
        <v>489</v>
      </c>
    </row>
    <row r="3258" spans="1:4">
      <c r="A3258" s="226" t="s">
        <v>5232</v>
      </c>
      <c r="B3258" s="226">
        <v>538647</v>
      </c>
      <c r="C3258" s="226" t="s">
        <v>486</v>
      </c>
      <c r="D3258" s="226" t="s">
        <v>503</v>
      </c>
    </row>
    <row r="3259" spans="1:4">
      <c r="A3259" s="226" t="s">
        <v>5233</v>
      </c>
      <c r="B3259" s="226" t="s">
        <v>486</v>
      </c>
      <c r="C3259" s="226" t="s">
        <v>5234</v>
      </c>
      <c r="D3259" s="226" t="s">
        <v>497</v>
      </c>
    </row>
    <row r="3260" spans="1:4">
      <c r="A3260" s="226" t="s">
        <v>5235</v>
      </c>
      <c r="B3260" s="226">
        <v>531562</v>
      </c>
      <c r="C3260" s="226" t="s">
        <v>486</v>
      </c>
      <c r="D3260" s="226" t="s">
        <v>501</v>
      </c>
    </row>
    <row r="3261" spans="1:4">
      <c r="A3261" s="226" t="s">
        <v>5236</v>
      </c>
      <c r="B3261" s="226">
        <v>517556</v>
      </c>
      <c r="C3261" s="226" t="s">
        <v>5237</v>
      </c>
      <c r="D3261" s="226" t="s">
        <v>572</v>
      </c>
    </row>
    <row r="3262" spans="1:4">
      <c r="A3262" s="226" t="s">
        <v>5238</v>
      </c>
      <c r="B3262" s="226">
        <v>532689</v>
      </c>
      <c r="C3262" s="226" t="s">
        <v>5239</v>
      </c>
      <c r="D3262" s="226" t="s">
        <v>487</v>
      </c>
    </row>
    <row r="3263" spans="1:4">
      <c r="A3263" s="226" t="s">
        <v>5240</v>
      </c>
      <c r="B3263" s="226">
        <v>536659</v>
      </c>
      <c r="C3263" s="226" t="s">
        <v>486</v>
      </c>
      <c r="D3263" s="226" t="s">
        <v>883</v>
      </c>
    </row>
    <row r="3264" spans="1:4">
      <c r="A3264" s="226" t="s">
        <v>5241</v>
      </c>
      <c r="B3264" s="226">
        <v>534109</v>
      </c>
      <c r="C3264" s="226" t="s">
        <v>486</v>
      </c>
      <c r="D3264" s="226" t="s">
        <v>503</v>
      </c>
    </row>
    <row r="3265" spans="1:4">
      <c r="A3265" s="226" t="s">
        <v>5242</v>
      </c>
      <c r="B3265" s="226">
        <v>511116</v>
      </c>
      <c r="C3265" s="226" t="s">
        <v>486</v>
      </c>
      <c r="D3265" s="226" t="s">
        <v>1427</v>
      </c>
    </row>
    <row r="3266" spans="1:4">
      <c r="A3266" s="226" t="s">
        <v>5243</v>
      </c>
      <c r="B3266" s="226">
        <v>538596</v>
      </c>
      <c r="C3266" s="226" t="s">
        <v>486</v>
      </c>
      <c r="D3266" s="226" t="s">
        <v>572</v>
      </c>
    </row>
    <row r="3267" spans="1:4">
      <c r="A3267" s="226" t="s">
        <v>5244</v>
      </c>
      <c r="B3267" s="226">
        <v>530281</v>
      </c>
      <c r="C3267" s="226" t="s">
        <v>486</v>
      </c>
      <c r="D3267" s="226" t="s">
        <v>680</v>
      </c>
    </row>
    <row r="3268" spans="1:4">
      <c r="A3268" s="226" t="s">
        <v>5245</v>
      </c>
      <c r="B3268" s="226">
        <v>530281</v>
      </c>
      <c r="C3268" s="226" t="s">
        <v>486</v>
      </c>
      <c r="D3268" s="226" t="s">
        <v>680</v>
      </c>
    </row>
    <row r="3269" spans="1:4">
      <c r="A3269" s="226" t="s">
        <v>5246</v>
      </c>
      <c r="B3269" s="226">
        <v>590099</v>
      </c>
      <c r="C3269" s="226" t="s">
        <v>5247</v>
      </c>
      <c r="D3269" s="226" t="s">
        <v>470</v>
      </c>
    </row>
    <row r="3270" spans="1:4">
      <c r="A3270" s="226" t="s">
        <v>5248</v>
      </c>
      <c r="B3270" s="226">
        <v>590110</v>
      </c>
      <c r="C3270" s="226" t="s">
        <v>5249</v>
      </c>
      <c r="D3270" s="226" t="s">
        <v>470</v>
      </c>
    </row>
    <row r="3271" spans="1:4">
      <c r="A3271" s="226" t="s">
        <v>5250</v>
      </c>
      <c r="B3271" s="226">
        <v>539978</v>
      </c>
      <c r="C3271" s="226" t="s">
        <v>5251</v>
      </c>
      <c r="D3271" s="226" t="s">
        <v>346</v>
      </c>
    </row>
    <row r="3272" spans="1:4">
      <c r="A3272" s="226" t="s">
        <v>5252</v>
      </c>
      <c r="B3272" s="226">
        <v>539962</v>
      </c>
      <c r="C3272" s="226" t="s">
        <v>486</v>
      </c>
      <c r="D3272" s="226" t="s">
        <v>503</v>
      </c>
    </row>
    <row r="3273" spans="1:4">
      <c r="A3273" s="226" t="s">
        <v>5253</v>
      </c>
      <c r="B3273" s="226">
        <v>535719</v>
      </c>
      <c r="C3273" s="226" t="s">
        <v>486</v>
      </c>
      <c r="D3273" s="226" t="s">
        <v>473</v>
      </c>
    </row>
    <row r="3274" spans="1:4">
      <c r="A3274" s="226" t="s">
        <v>5254</v>
      </c>
      <c r="B3274" s="226">
        <v>535719</v>
      </c>
      <c r="C3274" s="226" t="s">
        <v>486</v>
      </c>
      <c r="D3274" s="226" t="s">
        <v>473</v>
      </c>
    </row>
    <row r="3275" spans="1:4">
      <c r="A3275" s="226" t="s">
        <v>5255</v>
      </c>
      <c r="B3275" s="226">
        <v>539678</v>
      </c>
      <c r="C3275" s="226" t="s">
        <v>5256</v>
      </c>
      <c r="D3275" s="226" t="s">
        <v>579</v>
      </c>
    </row>
    <row r="3276" spans="1:4">
      <c r="A3276" s="226" t="s">
        <v>5257</v>
      </c>
      <c r="B3276" s="226">
        <v>532866</v>
      </c>
      <c r="C3276" s="226" t="s">
        <v>5258</v>
      </c>
      <c r="D3276" s="226" t="s">
        <v>473</v>
      </c>
    </row>
    <row r="3277" spans="1:4">
      <c r="A3277" s="226" t="s">
        <v>5259</v>
      </c>
      <c r="B3277" s="226">
        <v>532024</v>
      </c>
      <c r="C3277" s="226" t="s">
        <v>486</v>
      </c>
      <c r="D3277" s="226" t="s">
        <v>470</v>
      </c>
    </row>
    <row r="3278" spans="1:4">
      <c r="A3278" s="226" t="s">
        <v>5260</v>
      </c>
      <c r="B3278" s="226">
        <v>536456</v>
      </c>
      <c r="C3278" s="226" t="s">
        <v>486</v>
      </c>
      <c r="D3278" s="226" t="s">
        <v>683</v>
      </c>
    </row>
    <row r="3279" spans="1:4">
      <c r="A3279" s="226" t="s">
        <v>5261</v>
      </c>
      <c r="B3279" s="226">
        <v>509845</v>
      </c>
      <c r="C3279" s="226" t="s">
        <v>486</v>
      </c>
      <c r="D3279" s="226" t="s">
        <v>572</v>
      </c>
    </row>
    <row r="3280" spans="1:4">
      <c r="A3280" s="226" t="s">
        <v>5262</v>
      </c>
      <c r="B3280" s="226" t="s">
        <v>486</v>
      </c>
      <c r="C3280" s="226" t="s">
        <v>5263</v>
      </c>
      <c r="D3280" s="226" t="s">
        <v>497</v>
      </c>
    </row>
    <row r="3281" spans="1:4">
      <c r="A3281" s="226" t="s">
        <v>5264</v>
      </c>
      <c r="B3281" s="226">
        <v>533284</v>
      </c>
      <c r="C3281" s="226" t="s">
        <v>5265</v>
      </c>
      <c r="D3281" s="226" t="s">
        <v>883</v>
      </c>
    </row>
    <row r="3282" spans="1:4">
      <c r="A3282" s="226" t="s">
        <v>5266</v>
      </c>
      <c r="B3282" s="226">
        <v>530917</v>
      </c>
      <c r="C3282" s="226" t="s">
        <v>486</v>
      </c>
      <c r="D3282" s="226" t="s">
        <v>906</v>
      </c>
    </row>
    <row r="3283" spans="1:4">
      <c r="A3283" s="226" t="s">
        <v>5267</v>
      </c>
      <c r="B3283" s="226">
        <v>517447</v>
      </c>
      <c r="C3283" s="226" t="s">
        <v>5268</v>
      </c>
      <c r="D3283" s="226" t="s">
        <v>579</v>
      </c>
    </row>
    <row r="3284" spans="1:4">
      <c r="A3284" s="226" t="s">
        <v>5269</v>
      </c>
      <c r="B3284" s="226">
        <v>517447</v>
      </c>
      <c r="C3284" s="226" t="s">
        <v>5268</v>
      </c>
      <c r="D3284" s="226" t="s">
        <v>579</v>
      </c>
    </row>
    <row r="3285" spans="1:4">
      <c r="A3285" s="226" t="s">
        <v>5270</v>
      </c>
      <c r="B3285" s="226">
        <v>532735</v>
      </c>
      <c r="C3285" s="226" t="s">
        <v>5271</v>
      </c>
      <c r="D3285" s="226" t="s">
        <v>473</v>
      </c>
    </row>
    <row r="3286" spans="1:4">
      <c r="A3286" s="226" t="s">
        <v>5272</v>
      </c>
      <c r="B3286" s="226">
        <v>512565</v>
      </c>
      <c r="C3286" s="226" t="s">
        <v>486</v>
      </c>
      <c r="D3286" s="226" t="s">
        <v>683</v>
      </c>
    </row>
    <row r="3287" spans="1:4">
      <c r="A3287" s="226" t="s">
        <v>5273</v>
      </c>
      <c r="B3287" s="226">
        <v>538119</v>
      </c>
      <c r="C3287" s="226" t="s">
        <v>486</v>
      </c>
      <c r="D3287" s="226" t="s">
        <v>501</v>
      </c>
    </row>
    <row r="3288" spans="1:4">
      <c r="A3288" s="226" t="s">
        <v>5274</v>
      </c>
      <c r="B3288" s="226">
        <v>524502</v>
      </c>
      <c r="C3288" s="226" t="s">
        <v>486</v>
      </c>
      <c r="D3288" s="226" t="s">
        <v>1650</v>
      </c>
    </row>
    <row r="3289" spans="1:4">
      <c r="A3289" s="226" t="s">
        <v>5275</v>
      </c>
      <c r="B3289" s="226">
        <v>524502</v>
      </c>
      <c r="C3289" s="226" t="s">
        <v>486</v>
      </c>
      <c r="D3289" s="226" t="s">
        <v>1650</v>
      </c>
    </row>
    <row r="3290" spans="1:4">
      <c r="A3290" s="226" t="s">
        <v>5276</v>
      </c>
      <c r="B3290" s="226">
        <v>502271</v>
      </c>
      <c r="C3290" s="226" t="s">
        <v>486</v>
      </c>
      <c r="D3290" s="226" t="s">
        <v>670</v>
      </c>
    </row>
    <row r="3291" spans="1:4">
      <c r="A3291" s="226" t="s">
        <v>5277</v>
      </c>
      <c r="B3291" s="226">
        <v>520073</v>
      </c>
      <c r="C3291" s="226" t="s">
        <v>486</v>
      </c>
      <c r="D3291" s="226" t="s">
        <v>840</v>
      </c>
    </row>
    <row r="3292" spans="1:4">
      <c r="A3292" s="226" t="s">
        <v>5278</v>
      </c>
      <c r="B3292" s="226">
        <v>590070</v>
      </c>
      <c r="C3292" s="226" t="s">
        <v>5279</v>
      </c>
      <c r="D3292" s="226" t="s">
        <v>489</v>
      </c>
    </row>
    <row r="3293" spans="1:4">
      <c r="A3293" s="226" t="s">
        <v>5280</v>
      </c>
      <c r="B3293" s="226">
        <v>590070</v>
      </c>
      <c r="C3293" s="226" t="s">
        <v>5279</v>
      </c>
      <c r="D3293" s="226" t="s">
        <v>489</v>
      </c>
    </row>
    <row r="3294" spans="1:4">
      <c r="A3294" s="226" t="s">
        <v>5281</v>
      </c>
      <c r="B3294" s="226">
        <v>532692</v>
      </c>
      <c r="C3294" s="226" t="s">
        <v>5282</v>
      </c>
      <c r="D3294" s="226" t="s">
        <v>680</v>
      </c>
    </row>
    <row r="3295" spans="1:4">
      <c r="A3295" s="226" t="s">
        <v>5283</v>
      </c>
      <c r="B3295" s="226">
        <v>539673</v>
      </c>
      <c r="C3295" s="226" t="s">
        <v>486</v>
      </c>
      <c r="D3295" s="226" t="s">
        <v>520</v>
      </c>
    </row>
    <row r="3296" spans="1:4">
      <c r="A3296" s="226" t="s">
        <v>5284</v>
      </c>
      <c r="B3296" s="226">
        <v>531273</v>
      </c>
      <c r="C3296" s="226" t="s">
        <v>486</v>
      </c>
      <c r="D3296" s="226" t="s">
        <v>572</v>
      </c>
    </row>
    <row r="3297" spans="1:4">
      <c r="A3297" s="226" t="s">
        <v>5285</v>
      </c>
      <c r="B3297" s="226">
        <v>531273</v>
      </c>
      <c r="C3297" s="226" t="s">
        <v>486</v>
      </c>
      <c r="D3297" s="226" t="s">
        <v>572</v>
      </c>
    </row>
    <row r="3298" spans="1:4">
      <c r="A3298" s="226" t="s">
        <v>5286</v>
      </c>
      <c r="B3298" s="226">
        <v>539814</v>
      </c>
      <c r="C3298" s="226" t="s">
        <v>486</v>
      </c>
      <c r="D3298" s="226" t="s">
        <v>508</v>
      </c>
    </row>
    <row r="3299" spans="1:4">
      <c r="A3299" s="226" t="s">
        <v>5287</v>
      </c>
      <c r="B3299" s="226">
        <v>540125</v>
      </c>
      <c r="C3299" s="226" t="s">
        <v>486</v>
      </c>
      <c r="D3299" s="226" t="s">
        <v>599</v>
      </c>
    </row>
    <row r="3300" spans="1:4">
      <c r="A3300" s="226" t="s">
        <v>5288</v>
      </c>
      <c r="B3300" s="226">
        <v>532497</v>
      </c>
      <c r="C3300" s="226" t="s">
        <v>5289</v>
      </c>
      <c r="D3300" s="226" t="s">
        <v>1117</v>
      </c>
    </row>
    <row r="3301" spans="1:4">
      <c r="A3301" s="226" t="s">
        <v>5290</v>
      </c>
      <c r="B3301" s="226">
        <v>531412</v>
      </c>
      <c r="C3301" s="226" t="s">
        <v>486</v>
      </c>
      <c r="D3301" s="226" t="s">
        <v>667</v>
      </c>
    </row>
    <row r="3302" spans="1:4">
      <c r="A3302" s="226" t="s">
        <v>5291</v>
      </c>
      <c r="B3302" s="226">
        <v>531412</v>
      </c>
      <c r="C3302" s="226" t="s">
        <v>486</v>
      </c>
      <c r="D3302" s="226" t="s">
        <v>667</v>
      </c>
    </row>
    <row r="3303" spans="1:4">
      <c r="A3303" s="226" t="s">
        <v>5292</v>
      </c>
      <c r="B3303" s="226">
        <v>539837</v>
      </c>
      <c r="C3303" s="226" t="s">
        <v>486</v>
      </c>
      <c r="D3303" s="226" t="s">
        <v>670</v>
      </c>
    </row>
    <row r="3304" spans="1:4">
      <c r="A3304" s="226" t="s">
        <v>5293</v>
      </c>
      <c r="B3304" s="226">
        <v>526813</v>
      </c>
      <c r="C3304" s="226" t="s">
        <v>486</v>
      </c>
      <c r="D3304" s="226" t="s">
        <v>2653</v>
      </c>
    </row>
    <row r="3305" spans="1:4">
      <c r="A3305" s="226" t="s">
        <v>5294</v>
      </c>
      <c r="B3305" s="226">
        <v>531552</v>
      </c>
      <c r="C3305" s="226" t="s">
        <v>486</v>
      </c>
      <c r="D3305" s="226" t="s">
        <v>572</v>
      </c>
    </row>
    <row r="3306" spans="1:4">
      <c r="A3306" s="226" t="s">
        <v>5295</v>
      </c>
      <c r="B3306" s="226">
        <v>538921</v>
      </c>
      <c r="C3306" s="226" t="s">
        <v>486</v>
      </c>
      <c r="D3306" s="226" t="s">
        <v>683</v>
      </c>
    </row>
    <row r="3307" spans="1:4">
      <c r="A3307" s="226" t="s">
        <v>5296</v>
      </c>
      <c r="B3307" s="226">
        <v>514316</v>
      </c>
      <c r="C3307" s="226" t="s">
        <v>486</v>
      </c>
      <c r="D3307" s="226" t="s">
        <v>501</v>
      </c>
    </row>
    <row r="3308" spans="1:4">
      <c r="A3308" s="226" t="s">
        <v>5297</v>
      </c>
      <c r="B3308" s="226">
        <v>531887</v>
      </c>
      <c r="C3308" s="226" t="s">
        <v>486</v>
      </c>
      <c r="D3308" s="226" t="s">
        <v>599</v>
      </c>
    </row>
    <row r="3309" spans="1:4">
      <c r="A3309" s="226" t="s">
        <v>5298</v>
      </c>
      <c r="B3309" s="226">
        <v>540270</v>
      </c>
      <c r="C3309" s="226" t="s">
        <v>486</v>
      </c>
      <c r="D3309" s="226" t="s">
        <v>508</v>
      </c>
    </row>
    <row r="3310" spans="1:4">
      <c r="A3310" s="226" t="s">
        <v>5299</v>
      </c>
      <c r="B3310" s="226">
        <v>542649</v>
      </c>
      <c r="C3310" s="226" t="s">
        <v>5300</v>
      </c>
      <c r="D3310" s="226" t="s">
        <v>5301</v>
      </c>
    </row>
    <row r="3311" spans="1:4">
      <c r="A3311" s="226" t="s">
        <v>5302</v>
      </c>
      <c r="B3311" s="226">
        <v>500339</v>
      </c>
      <c r="C3311" s="226" t="s">
        <v>5303</v>
      </c>
      <c r="D3311" s="226" t="s">
        <v>699</v>
      </c>
    </row>
    <row r="3312" spans="1:4">
      <c r="A3312" s="226" t="s">
        <v>5304</v>
      </c>
      <c r="B3312" s="226">
        <v>532441</v>
      </c>
      <c r="C3312" s="226" t="s">
        <v>486</v>
      </c>
      <c r="D3312" s="226" t="s">
        <v>501</v>
      </c>
    </row>
    <row r="3313" spans="1:4">
      <c r="A3313" s="226" t="s">
        <v>5305</v>
      </c>
      <c r="B3313" s="226">
        <v>531694</v>
      </c>
      <c r="C3313" s="226" t="s">
        <v>486</v>
      </c>
      <c r="D3313" s="226" t="s">
        <v>572</v>
      </c>
    </row>
    <row r="3314" spans="1:4">
      <c r="A3314" s="226" t="s">
        <v>5306</v>
      </c>
      <c r="B3314" s="226">
        <v>523523</v>
      </c>
      <c r="C3314" s="226" t="s">
        <v>5307</v>
      </c>
      <c r="D3314" s="226" t="s">
        <v>480</v>
      </c>
    </row>
    <row r="3315" spans="1:4">
      <c r="A3315" s="226" t="s">
        <v>5308</v>
      </c>
      <c r="B3315" s="226">
        <v>530111</v>
      </c>
      <c r="C3315" s="226" t="s">
        <v>486</v>
      </c>
      <c r="D3315" s="226" t="s">
        <v>680</v>
      </c>
    </row>
    <row r="3316" spans="1:4">
      <c r="A3316" s="226" t="s">
        <v>5309</v>
      </c>
      <c r="B3316" s="226">
        <v>530699</v>
      </c>
      <c r="C3316" s="226" t="s">
        <v>5310</v>
      </c>
      <c r="D3316" s="226" t="s">
        <v>501</v>
      </c>
    </row>
    <row r="3317" spans="1:4">
      <c r="A3317" s="226" t="s">
        <v>5311</v>
      </c>
      <c r="B3317" s="226">
        <v>532826</v>
      </c>
      <c r="C3317" s="226" t="s">
        <v>5312</v>
      </c>
      <c r="D3317" s="226" t="s">
        <v>1222</v>
      </c>
    </row>
    <row r="3318" spans="1:4">
      <c r="A3318" s="226" t="s">
        <v>5313</v>
      </c>
      <c r="B3318" s="226">
        <v>503127</v>
      </c>
      <c r="C3318" s="226" t="s">
        <v>486</v>
      </c>
      <c r="D3318" s="226" t="s">
        <v>346</v>
      </c>
    </row>
    <row r="3319" spans="1:4">
      <c r="A3319" s="226" t="s">
        <v>5314</v>
      </c>
      <c r="B3319" s="226">
        <v>532503</v>
      </c>
      <c r="C3319" s="226" t="s">
        <v>486</v>
      </c>
      <c r="D3319" s="226" t="s">
        <v>501</v>
      </c>
    </row>
    <row r="3320" spans="1:4">
      <c r="A3320" s="226" t="s">
        <v>5315</v>
      </c>
      <c r="B3320" s="226">
        <v>538707</v>
      </c>
      <c r="C3320" s="226" t="s">
        <v>486</v>
      </c>
      <c r="D3320" s="226" t="s">
        <v>680</v>
      </c>
    </row>
    <row r="3321" spans="1:4">
      <c r="A3321" s="226" t="s">
        <v>5316</v>
      </c>
      <c r="B3321" s="226">
        <v>526873</v>
      </c>
      <c r="C3321" s="226" t="s">
        <v>486</v>
      </c>
      <c r="D3321" s="226" t="s">
        <v>695</v>
      </c>
    </row>
    <row r="3322" spans="1:4">
      <c r="A3322" s="226" t="s">
        <v>5317</v>
      </c>
      <c r="B3322" s="226">
        <v>530253</v>
      </c>
      <c r="C3322" s="226" t="s">
        <v>486</v>
      </c>
      <c r="D3322" s="226" t="s">
        <v>808</v>
      </c>
    </row>
    <row r="3323" spans="1:4">
      <c r="A3323" s="226" t="s">
        <v>5318</v>
      </c>
      <c r="B3323" s="226">
        <v>507962</v>
      </c>
      <c r="C3323" s="226" t="s">
        <v>486</v>
      </c>
      <c r="D3323" s="226" t="s">
        <v>503</v>
      </c>
    </row>
    <row r="3324" spans="1:4">
      <c r="A3324" s="226" t="s">
        <v>5319</v>
      </c>
      <c r="B3324" s="226">
        <v>526662</v>
      </c>
      <c r="C3324" s="226" t="s">
        <v>5320</v>
      </c>
      <c r="D3324" s="226" t="s">
        <v>883</v>
      </c>
    </row>
    <row r="3325" spans="1:4">
      <c r="A3325" s="226" t="s">
        <v>5321</v>
      </c>
      <c r="B3325" s="226">
        <v>531500</v>
      </c>
      <c r="C3325" s="226" t="s">
        <v>5322</v>
      </c>
      <c r="D3325" s="226" t="s">
        <v>599</v>
      </c>
    </row>
    <row r="3326" spans="1:4">
      <c r="A3326" s="226" t="s">
        <v>5323</v>
      </c>
      <c r="B3326" s="226">
        <v>526823</v>
      </c>
      <c r="C3326" s="226" t="s">
        <v>486</v>
      </c>
      <c r="D3326" s="226" t="s">
        <v>572</v>
      </c>
    </row>
    <row r="3327" spans="1:4">
      <c r="A3327" s="226" t="s">
        <v>5324</v>
      </c>
      <c r="B3327" s="226">
        <v>514028</v>
      </c>
      <c r="C3327" s="226" t="s">
        <v>486</v>
      </c>
      <c r="D3327" s="226" t="s">
        <v>501</v>
      </c>
    </row>
    <row r="3328" spans="1:4">
      <c r="A3328" s="226" t="s">
        <v>5325</v>
      </c>
      <c r="B3328" s="226">
        <v>539495</v>
      </c>
      <c r="C3328" s="226" t="s">
        <v>486</v>
      </c>
      <c r="D3328" s="226" t="s">
        <v>503</v>
      </c>
    </row>
    <row r="3329" spans="1:4">
      <c r="A3329" s="226" t="s">
        <v>5326</v>
      </c>
      <c r="B3329" s="226">
        <v>513369</v>
      </c>
      <c r="C3329" s="226" t="s">
        <v>486</v>
      </c>
      <c r="D3329" s="226" t="s">
        <v>1403</v>
      </c>
    </row>
    <row r="3330" spans="1:4">
      <c r="A3330" s="226" t="s">
        <v>5327</v>
      </c>
      <c r="B3330" s="226" t="s">
        <v>486</v>
      </c>
      <c r="C3330" s="226" t="s">
        <v>5328</v>
      </c>
      <c r="D3330" s="226" t="s">
        <v>497</v>
      </c>
    </row>
    <row r="3331" spans="1:4">
      <c r="A3331" s="226" t="s">
        <v>5329</v>
      </c>
      <c r="B3331" s="226">
        <v>541601</v>
      </c>
      <c r="C3331" s="226" t="s">
        <v>486</v>
      </c>
      <c r="D3331" s="226" t="s">
        <v>524</v>
      </c>
    </row>
    <row r="3332" spans="1:4">
      <c r="A3332" s="226" t="s">
        <v>5330</v>
      </c>
      <c r="B3332" s="226">
        <v>522257</v>
      </c>
      <c r="C3332" s="226" t="s">
        <v>486</v>
      </c>
      <c r="D3332" s="226" t="s">
        <v>494</v>
      </c>
    </row>
    <row r="3333" spans="1:4">
      <c r="A3333" s="226" t="s">
        <v>5331</v>
      </c>
      <c r="B3333" s="226">
        <v>517522</v>
      </c>
      <c r="C3333" s="226" t="s">
        <v>486</v>
      </c>
      <c r="D3333" s="226" t="s">
        <v>840</v>
      </c>
    </row>
    <row r="3334" spans="1:4">
      <c r="A3334" s="226" t="s">
        <v>5332</v>
      </c>
      <c r="B3334" s="226">
        <v>512409</v>
      </c>
      <c r="C3334" s="226" t="s">
        <v>486</v>
      </c>
      <c r="D3334" s="226" t="s">
        <v>503</v>
      </c>
    </row>
    <row r="3335" spans="1:4">
      <c r="A3335" s="226" t="s">
        <v>5333</v>
      </c>
      <c r="B3335" s="226" t="s">
        <v>486</v>
      </c>
      <c r="C3335" s="226" t="s">
        <v>5334</v>
      </c>
      <c r="D3335" s="226" t="s">
        <v>497</v>
      </c>
    </row>
    <row r="3336" spans="1:4">
      <c r="A3336" s="226" t="s">
        <v>5335</v>
      </c>
      <c r="B3336" s="226">
        <v>500354</v>
      </c>
      <c r="C3336" s="226" t="s">
        <v>5336</v>
      </c>
      <c r="D3336" s="226" t="s">
        <v>1184</v>
      </c>
    </row>
    <row r="3337" spans="1:4">
      <c r="A3337" s="226" t="s">
        <v>5337</v>
      </c>
      <c r="B3337" s="226">
        <v>532665</v>
      </c>
      <c r="C3337" s="226" t="s">
        <v>5338</v>
      </c>
      <c r="D3337" s="226" t="s">
        <v>501</v>
      </c>
    </row>
    <row r="3338" spans="1:4">
      <c r="A3338" s="226" t="s">
        <v>5339</v>
      </c>
      <c r="B3338" s="226">
        <v>500355</v>
      </c>
      <c r="C3338" s="226" t="s">
        <v>5340</v>
      </c>
      <c r="D3338" s="226" t="s">
        <v>629</v>
      </c>
    </row>
    <row r="3339" spans="1:4">
      <c r="A3339" s="226" t="s">
        <v>5341</v>
      </c>
      <c r="B3339" s="226">
        <v>500355</v>
      </c>
      <c r="C3339" s="226" t="s">
        <v>5340</v>
      </c>
      <c r="D3339" s="226" t="s">
        <v>629</v>
      </c>
    </row>
    <row r="3340" spans="1:4">
      <c r="A3340" s="226" t="s">
        <v>5342</v>
      </c>
      <c r="B3340" s="226">
        <v>534734</v>
      </c>
      <c r="C3340" s="226" t="s">
        <v>486</v>
      </c>
      <c r="D3340" s="226" t="s">
        <v>645</v>
      </c>
    </row>
    <row r="3341" spans="1:4">
      <c r="A3341" s="226" t="s">
        <v>5343</v>
      </c>
      <c r="B3341" s="226">
        <v>522281</v>
      </c>
      <c r="C3341" s="226" t="s">
        <v>486</v>
      </c>
      <c r="D3341" s="226" t="s">
        <v>783</v>
      </c>
    </row>
    <row r="3342" spans="1:4">
      <c r="A3342" s="226" t="s">
        <v>5344</v>
      </c>
      <c r="B3342" s="226">
        <v>500357</v>
      </c>
      <c r="C3342" s="226" t="s">
        <v>486</v>
      </c>
      <c r="D3342" s="226" t="s">
        <v>480</v>
      </c>
    </row>
    <row r="3343" spans="1:4">
      <c r="A3343" s="226" t="s">
        <v>5345</v>
      </c>
      <c r="B3343" s="226">
        <v>500358</v>
      </c>
      <c r="C3343" s="226" t="s">
        <v>486</v>
      </c>
      <c r="D3343" s="226" t="s">
        <v>503</v>
      </c>
    </row>
    <row r="3344" spans="1:4">
      <c r="A3344" s="226" t="s">
        <v>5346</v>
      </c>
      <c r="B3344" s="226">
        <v>524037</v>
      </c>
      <c r="C3344" s="226" t="s">
        <v>486</v>
      </c>
      <c r="D3344" s="226" t="s">
        <v>993</v>
      </c>
    </row>
    <row r="3345" spans="1:4">
      <c r="A3345" s="226" t="s">
        <v>5347</v>
      </c>
      <c r="B3345" s="226">
        <v>502587</v>
      </c>
      <c r="C3345" s="226" t="s">
        <v>486</v>
      </c>
      <c r="D3345" s="226" t="s">
        <v>480</v>
      </c>
    </row>
    <row r="3346" spans="1:4">
      <c r="A3346" s="226" t="s">
        <v>5348</v>
      </c>
      <c r="B3346" s="226">
        <v>539309</v>
      </c>
      <c r="C3346" s="226" t="s">
        <v>5349</v>
      </c>
      <c r="D3346" s="226" t="s">
        <v>808</v>
      </c>
    </row>
    <row r="3347" spans="1:4">
      <c r="A3347" s="226" t="s">
        <v>5350</v>
      </c>
      <c r="B3347" s="226">
        <v>523289</v>
      </c>
      <c r="C3347" s="226" t="s">
        <v>486</v>
      </c>
      <c r="D3347" s="226" t="s">
        <v>508</v>
      </c>
    </row>
    <row r="3348" spans="1:4">
      <c r="A3348" s="226" t="s">
        <v>5351</v>
      </c>
      <c r="B3348" s="226">
        <v>515127</v>
      </c>
      <c r="C3348" s="226" t="s">
        <v>486</v>
      </c>
      <c r="D3348" s="226" t="s">
        <v>508</v>
      </c>
    </row>
    <row r="3349" spans="1:4">
      <c r="A3349" s="226" t="s">
        <v>5352</v>
      </c>
      <c r="B3349" s="226">
        <v>538540</v>
      </c>
      <c r="C3349" s="226" t="s">
        <v>486</v>
      </c>
      <c r="D3349" s="226" t="s">
        <v>503</v>
      </c>
    </row>
    <row r="3350" spans="1:4">
      <c r="A3350" s="226" t="s">
        <v>5353</v>
      </c>
      <c r="B3350" s="226">
        <v>532369</v>
      </c>
      <c r="C3350" s="226" t="s">
        <v>5354</v>
      </c>
      <c r="D3350" s="226" t="s">
        <v>1013</v>
      </c>
    </row>
    <row r="3351" spans="1:4">
      <c r="A3351" s="226" t="s">
        <v>5355</v>
      </c>
      <c r="B3351" s="226">
        <v>532370</v>
      </c>
      <c r="C3351" s="226" t="s">
        <v>5356</v>
      </c>
      <c r="D3351" s="226" t="s">
        <v>473</v>
      </c>
    </row>
    <row r="3352" spans="1:4">
      <c r="A3352" s="226" t="s">
        <v>5357</v>
      </c>
      <c r="B3352" s="226">
        <v>514223</v>
      </c>
      <c r="C3352" s="226" t="s">
        <v>5358</v>
      </c>
      <c r="D3352" s="226" t="s">
        <v>508</v>
      </c>
    </row>
    <row r="3353" spans="1:4">
      <c r="A3353" s="226" t="s">
        <v>5359</v>
      </c>
      <c r="B3353" s="226">
        <v>530951</v>
      </c>
      <c r="C3353" s="226" t="s">
        <v>486</v>
      </c>
      <c r="D3353" s="226" t="s">
        <v>579</v>
      </c>
    </row>
    <row r="3354" spans="1:4">
      <c r="A3354" s="226" t="s">
        <v>5360</v>
      </c>
      <c r="B3354" s="226">
        <v>532527</v>
      </c>
      <c r="C3354" s="226" t="s">
        <v>5361</v>
      </c>
      <c r="D3354" s="226" t="s">
        <v>1403</v>
      </c>
    </row>
    <row r="3355" spans="1:4">
      <c r="A3355" s="226" t="s">
        <v>5362</v>
      </c>
      <c r="B3355" s="226">
        <v>533262</v>
      </c>
      <c r="C3355" s="226" t="s">
        <v>5363</v>
      </c>
      <c r="D3355" s="226" t="s">
        <v>883</v>
      </c>
    </row>
    <row r="3356" spans="1:4">
      <c r="A3356" s="226" t="s">
        <v>5364</v>
      </c>
      <c r="B3356" s="226">
        <v>532690</v>
      </c>
      <c r="C3356" s="226" t="s">
        <v>5365</v>
      </c>
      <c r="D3356" s="226" t="s">
        <v>518</v>
      </c>
    </row>
    <row r="3357" spans="1:4">
      <c r="A3357" s="226" t="s">
        <v>5366</v>
      </c>
      <c r="B3357" s="226">
        <v>530925</v>
      </c>
      <c r="C3357" s="226" t="s">
        <v>486</v>
      </c>
      <c r="D3357" s="226" t="s">
        <v>503</v>
      </c>
    </row>
    <row r="3358" spans="1:4">
      <c r="A3358" s="226" t="s">
        <v>5367</v>
      </c>
      <c r="B3358" s="226">
        <v>507490</v>
      </c>
      <c r="C3358" s="226" t="s">
        <v>5368</v>
      </c>
      <c r="D3358" s="226" t="s">
        <v>1184</v>
      </c>
    </row>
    <row r="3359" spans="1:4">
      <c r="A3359" s="226" t="s">
        <v>5369</v>
      </c>
      <c r="B3359" s="226">
        <v>531228</v>
      </c>
      <c r="C3359" s="226" t="s">
        <v>486</v>
      </c>
      <c r="D3359" s="226" t="s">
        <v>503</v>
      </c>
    </row>
    <row r="3360" spans="1:4">
      <c r="A3360" s="226" t="s">
        <v>5370</v>
      </c>
      <c r="B3360" s="226">
        <v>532987</v>
      </c>
      <c r="C3360" s="226" t="s">
        <v>5371</v>
      </c>
      <c r="D3360" s="226" t="s">
        <v>840</v>
      </c>
    </row>
    <row r="3361" spans="1:4">
      <c r="A3361" s="226" t="s">
        <v>5372</v>
      </c>
      <c r="B3361" s="226">
        <v>532988</v>
      </c>
      <c r="C3361" s="226" t="s">
        <v>5373</v>
      </c>
      <c r="D3361" s="226" t="s">
        <v>840</v>
      </c>
    </row>
    <row r="3362" spans="1:4">
      <c r="A3362" s="226" t="s">
        <v>5374</v>
      </c>
      <c r="B3362" s="226">
        <v>505800</v>
      </c>
      <c r="C3362" s="226" t="s">
        <v>5375</v>
      </c>
      <c r="D3362" s="226" t="s">
        <v>840</v>
      </c>
    </row>
    <row r="3363" spans="1:4">
      <c r="A3363" s="226" t="s">
        <v>5376</v>
      </c>
      <c r="B3363" s="226">
        <v>532661</v>
      </c>
      <c r="C3363" s="226" t="s">
        <v>5377</v>
      </c>
      <c r="D3363" s="226" t="s">
        <v>840</v>
      </c>
    </row>
    <row r="3364" spans="1:4">
      <c r="A3364" s="226" t="s">
        <v>5378</v>
      </c>
      <c r="B3364" s="226">
        <v>541945</v>
      </c>
      <c r="C3364" s="226" t="s">
        <v>486</v>
      </c>
      <c r="D3364" s="226" t="s">
        <v>883</v>
      </c>
    </row>
    <row r="3365" spans="1:4">
      <c r="A3365" s="226" t="s">
        <v>5379</v>
      </c>
      <c r="B3365" s="226">
        <v>531583</v>
      </c>
      <c r="C3365" s="226" t="s">
        <v>486</v>
      </c>
      <c r="D3365" s="226" t="s">
        <v>503</v>
      </c>
    </row>
    <row r="3366" spans="1:4">
      <c r="A3366" s="226" t="s">
        <v>5380</v>
      </c>
      <c r="B3366" s="226">
        <v>500360</v>
      </c>
      <c r="C3366" s="226" t="s">
        <v>486</v>
      </c>
      <c r="D3366" s="226" t="s">
        <v>494</v>
      </c>
    </row>
    <row r="3367" spans="1:4">
      <c r="A3367" s="226" t="s">
        <v>5381</v>
      </c>
      <c r="B3367" s="226">
        <v>501351</v>
      </c>
      <c r="C3367" s="226" t="s">
        <v>486</v>
      </c>
      <c r="D3367" s="226" t="s">
        <v>906</v>
      </c>
    </row>
    <row r="3368" spans="1:4">
      <c r="A3368" s="226" t="s">
        <v>5382</v>
      </c>
      <c r="B3368" s="226">
        <v>507966</v>
      </c>
      <c r="C3368" s="226" t="s">
        <v>486</v>
      </c>
      <c r="D3368" s="226" t="s">
        <v>686</v>
      </c>
    </row>
    <row r="3369" spans="1:4">
      <c r="A3369" s="226" t="s">
        <v>5383</v>
      </c>
      <c r="B3369" s="226">
        <v>522207</v>
      </c>
      <c r="C3369" s="226" t="s">
        <v>486</v>
      </c>
      <c r="D3369" s="226" t="s">
        <v>840</v>
      </c>
    </row>
    <row r="3370" spans="1:4">
      <c r="A3370" s="226" t="s">
        <v>5384</v>
      </c>
      <c r="B3370" s="226">
        <v>522207</v>
      </c>
      <c r="C3370" s="226" t="s">
        <v>486</v>
      </c>
      <c r="D3370" s="226" t="s">
        <v>840</v>
      </c>
    </row>
    <row r="3371" spans="1:4">
      <c r="A3371" s="226" t="s">
        <v>5385</v>
      </c>
      <c r="B3371" s="226">
        <v>524230</v>
      </c>
      <c r="C3371" s="226" t="s">
        <v>5386</v>
      </c>
      <c r="D3371" s="226" t="s">
        <v>993</v>
      </c>
    </row>
    <row r="3372" spans="1:4">
      <c r="A3372" s="226" t="s">
        <v>5387</v>
      </c>
      <c r="B3372" s="226">
        <v>531233</v>
      </c>
      <c r="C3372" s="226" t="s">
        <v>486</v>
      </c>
      <c r="D3372" s="226" t="s">
        <v>670</v>
      </c>
    </row>
    <row r="3373" spans="1:4">
      <c r="A3373" s="226" t="s">
        <v>5388</v>
      </c>
      <c r="B3373" s="226">
        <v>507649</v>
      </c>
      <c r="C3373" s="226" t="s">
        <v>486</v>
      </c>
      <c r="D3373" s="226" t="s">
        <v>734</v>
      </c>
    </row>
    <row r="3374" spans="1:4">
      <c r="A3374" s="226" t="s">
        <v>5389</v>
      </c>
      <c r="B3374" s="226">
        <v>532918</v>
      </c>
      <c r="C3374" s="226" t="s">
        <v>486</v>
      </c>
      <c r="D3374" s="226" t="s">
        <v>808</v>
      </c>
    </row>
    <row r="3375" spans="1:4">
      <c r="A3375" s="226" t="s">
        <v>5390</v>
      </c>
      <c r="B3375" s="226">
        <v>524610</v>
      </c>
      <c r="C3375" s="226" t="s">
        <v>486</v>
      </c>
      <c r="D3375" s="226" t="s">
        <v>645</v>
      </c>
    </row>
    <row r="3376" spans="1:4">
      <c r="A3376" s="226" t="s">
        <v>5391</v>
      </c>
      <c r="B3376" s="226">
        <v>540796</v>
      </c>
      <c r="C3376" s="226" t="s">
        <v>486</v>
      </c>
      <c r="D3376" s="226" t="s">
        <v>572</v>
      </c>
    </row>
    <row r="3377" spans="1:4">
      <c r="A3377" s="226" t="s">
        <v>5392</v>
      </c>
      <c r="B3377" s="226">
        <v>520111</v>
      </c>
      <c r="C3377" s="226" t="s">
        <v>5393</v>
      </c>
      <c r="D3377" s="226" t="s">
        <v>883</v>
      </c>
    </row>
    <row r="3378" spans="1:4">
      <c r="A3378" s="226" t="s">
        <v>5394</v>
      </c>
      <c r="B3378" s="226">
        <v>534597</v>
      </c>
      <c r="C3378" s="226" t="s">
        <v>5395</v>
      </c>
      <c r="D3378" s="226" t="s">
        <v>624</v>
      </c>
    </row>
    <row r="3379" spans="1:4">
      <c r="A3379" s="226" t="s">
        <v>5396</v>
      </c>
      <c r="B3379" s="226">
        <v>533122</v>
      </c>
      <c r="C3379" s="226" t="s">
        <v>5397</v>
      </c>
      <c r="D3379" s="226" t="s">
        <v>624</v>
      </c>
    </row>
    <row r="3380" spans="1:4">
      <c r="A3380" s="226" t="s">
        <v>5398</v>
      </c>
      <c r="B3380" s="226">
        <v>537840</v>
      </c>
      <c r="C3380" s="226" t="s">
        <v>486</v>
      </c>
      <c r="D3380" s="226" t="s">
        <v>883</v>
      </c>
    </row>
    <row r="3381" spans="1:4">
      <c r="A3381" s="226" t="s">
        <v>5399</v>
      </c>
      <c r="B3381" s="226">
        <v>507300</v>
      </c>
      <c r="C3381" s="226" t="s">
        <v>486</v>
      </c>
      <c r="D3381" s="226" t="s">
        <v>1184</v>
      </c>
    </row>
    <row r="3382" spans="1:4">
      <c r="A3382" s="226" t="s">
        <v>5400</v>
      </c>
      <c r="B3382" s="226">
        <v>533294</v>
      </c>
      <c r="C3382" s="226" t="s">
        <v>5401</v>
      </c>
      <c r="D3382" s="226" t="s">
        <v>1117</v>
      </c>
    </row>
    <row r="3383" spans="1:4">
      <c r="A3383" s="226" t="s">
        <v>5402</v>
      </c>
      <c r="B3383" s="226">
        <v>526095</v>
      </c>
      <c r="C3383" s="226" t="s">
        <v>486</v>
      </c>
      <c r="D3383" s="226" t="s">
        <v>1013</v>
      </c>
    </row>
    <row r="3384" spans="1:4">
      <c r="A3384" s="226" t="s">
        <v>5403</v>
      </c>
      <c r="B3384" s="226">
        <v>504341</v>
      </c>
      <c r="C3384" s="226" t="s">
        <v>486</v>
      </c>
      <c r="D3384" s="226" t="s">
        <v>470</v>
      </c>
    </row>
    <row r="3385" spans="1:4">
      <c r="A3385" s="226" t="s">
        <v>5404</v>
      </c>
      <c r="B3385" s="226">
        <v>541634</v>
      </c>
      <c r="C3385" s="226" t="s">
        <v>486</v>
      </c>
      <c r="D3385" s="226" t="s">
        <v>1013</v>
      </c>
    </row>
    <row r="3386" spans="1:4">
      <c r="A3386" s="226" t="s">
        <v>5405</v>
      </c>
      <c r="B3386" s="226">
        <v>531207</v>
      </c>
      <c r="C3386" s="226" t="s">
        <v>486</v>
      </c>
      <c r="D3386" s="226" t="s">
        <v>524</v>
      </c>
    </row>
    <row r="3387" spans="1:4">
      <c r="A3387" s="226" t="s">
        <v>5406</v>
      </c>
      <c r="B3387" s="226">
        <v>500330</v>
      </c>
      <c r="C3387" s="226" t="s">
        <v>5407</v>
      </c>
      <c r="D3387" s="226" t="s">
        <v>501</v>
      </c>
    </row>
    <row r="3388" spans="1:4">
      <c r="A3388" s="226" t="s">
        <v>5408</v>
      </c>
      <c r="B3388" s="226">
        <v>540065</v>
      </c>
      <c r="C3388" s="226" t="s">
        <v>5409</v>
      </c>
      <c r="D3388" s="226" t="s">
        <v>803</v>
      </c>
    </row>
    <row r="3389" spans="1:4">
      <c r="A3389" s="226" t="s">
        <v>5410</v>
      </c>
      <c r="B3389" s="226">
        <v>531825</v>
      </c>
      <c r="C3389" s="226" t="s">
        <v>486</v>
      </c>
      <c r="D3389" s="226" t="s">
        <v>473</v>
      </c>
    </row>
    <row r="3390" spans="1:4">
      <c r="A3390" s="226" t="s">
        <v>5411</v>
      </c>
      <c r="B3390" s="226">
        <v>537254</v>
      </c>
      <c r="C3390" s="226" t="s">
        <v>486</v>
      </c>
      <c r="D3390" s="226" t="s">
        <v>508</v>
      </c>
    </row>
    <row r="3391" spans="1:4">
      <c r="A3391" s="226" t="s">
        <v>5412</v>
      </c>
      <c r="B3391" s="226">
        <v>534708</v>
      </c>
      <c r="C3391" s="226" t="s">
        <v>486</v>
      </c>
      <c r="D3391" s="226" t="s">
        <v>654</v>
      </c>
    </row>
    <row r="3392" spans="1:4">
      <c r="A3392" s="226" t="s">
        <v>5413</v>
      </c>
      <c r="B3392" s="226">
        <v>533608</v>
      </c>
      <c r="C3392" s="226" t="s">
        <v>486</v>
      </c>
      <c r="D3392" s="226" t="s">
        <v>605</v>
      </c>
    </row>
    <row r="3393" spans="1:4">
      <c r="A3393" s="226" t="s">
        <v>5414</v>
      </c>
      <c r="B3393" s="226">
        <v>533285</v>
      </c>
      <c r="C3393" s="226" t="s">
        <v>486</v>
      </c>
      <c r="D3393" s="226" t="s">
        <v>572</v>
      </c>
    </row>
    <row r="3394" spans="1:4">
      <c r="A3394" s="226" t="s">
        <v>5415</v>
      </c>
      <c r="B3394" s="226">
        <v>539691</v>
      </c>
      <c r="C3394" s="226" t="s">
        <v>486</v>
      </c>
      <c r="D3394" s="226" t="s">
        <v>508</v>
      </c>
    </row>
    <row r="3395" spans="1:4">
      <c r="A3395" s="226" t="s">
        <v>5416</v>
      </c>
      <c r="B3395" s="226">
        <v>530053</v>
      </c>
      <c r="C3395" s="226" t="s">
        <v>486</v>
      </c>
      <c r="D3395" s="226" t="s">
        <v>572</v>
      </c>
    </row>
    <row r="3396" spans="1:4">
      <c r="A3396" s="226" t="s">
        <v>5417</v>
      </c>
      <c r="B3396" s="226">
        <v>513558</v>
      </c>
      <c r="C3396" s="226" t="s">
        <v>486</v>
      </c>
      <c r="D3396" s="226" t="s">
        <v>518</v>
      </c>
    </row>
    <row r="3397" spans="1:4">
      <c r="A3397" s="226" t="s">
        <v>5418</v>
      </c>
      <c r="B3397" s="226">
        <v>538611</v>
      </c>
      <c r="C3397" s="226" t="s">
        <v>486</v>
      </c>
      <c r="D3397" s="226" t="s">
        <v>470</v>
      </c>
    </row>
    <row r="3398" spans="1:4">
      <c r="A3398" s="226" t="s">
        <v>5419</v>
      </c>
      <c r="B3398" s="226">
        <v>532955</v>
      </c>
      <c r="C3398" s="226" t="s">
        <v>5420</v>
      </c>
      <c r="D3398" s="226" t="s">
        <v>503</v>
      </c>
    </row>
    <row r="3399" spans="1:4">
      <c r="A3399" s="226" t="s">
        <v>5421</v>
      </c>
      <c r="B3399" s="226">
        <v>523650</v>
      </c>
      <c r="C3399" s="226" t="s">
        <v>486</v>
      </c>
      <c r="D3399" s="226" t="s">
        <v>494</v>
      </c>
    </row>
    <row r="3400" spans="1:4">
      <c r="A3400" s="226" t="s">
        <v>5422</v>
      </c>
      <c r="B3400" s="226">
        <v>532805</v>
      </c>
      <c r="C3400" s="226" t="s">
        <v>5423</v>
      </c>
      <c r="D3400" s="226" t="s">
        <v>508</v>
      </c>
    </row>
    <row r="3401" spans="1:4">
      <c r="A3401" s="226" t="s">
        <v>5424</v>
      </c>
      <c r="B3401" s="226">
        <v>532805</v>
      </c>
      <c r="C3401" s="226" t="s">
        <v>5423</v>
      </c>
      <c r="D3401" s="226" t="s">
        <v>508</v>
      </c>
    </row>
    <row r="3402" spans="1:4">
      <c r="A3402" s="226" t="s">
        <v>5425</v>
      </c>
      <c r="B3402" s="226">
        <v>532884</v>
      </c>
      <c r="C3402" s="226" t="s">
        <v>5426</v>
      </c>
      <c r="D3402" s="226" t="s">
        <v>1519</v>
      </c>
    </row>
    <row r="3403" spans="1:4">
      <c r="A3403" s="226" t="s">
        <v>5427</v>
      </c>
      <c r="B3403" s="226">
        <v>530815</v>
      </c>
      <c r="C3403" s="226" t="s">
        <v>486</v>
      </c>
      <c r="D3403" s="226" t="s">
        <v>534</v>
      </c>
    </row>
    <row r="3404" spans="1:4">
      <c r="A3404" s="226" t="s">
        <v>5428</v>
      </c>
      <c r="B3404" s="226">
        <v>531033</v>
      </c>
      <c r="C3404" s="226" t="s">
        <v>486</v>
      </c>
      <c r="D3404" s="226" t="s">
        <v>503</v>
      </c>
    </row>
    <row r="3405" spans="1:4">
      <c r="A3405" s="226" t="s">
        <v>5429</v>
      </c>
      <c r="B3405" s="226">
        <v>530807</v>
      </c>
      <c r="C3405" s="226" t="s">
        <v>486</v>
      </c>
      <c r="D3405" s="226" t="s">
        <v>572</v>
      </c>
    </row>
    <row r="3406" spans="1:4">
      <c r="A3406" s="226" t="s">
        <v>5430</v>
      </c>
      <c r="B3406" s="226">
        <v>515018</v>
      </c>
      <c r="C3406" s="226" t="s">
        <v>5431</v>
      </c>
      <c r="D3406" s="226" t="s">
        <v>762</v>
      </c>
    </row>
    <row r="3407" spans="1:4">
      <c r="A3407" s="226" t="s">
        <v>5432</v>
      </c>
      <c r="B3407" s="226">
        <v>540175</v>
      </c>
      <c r="C3407" s="226" t="s">
        <v>486</v>
      </c>
      <c r="D3407" s="226" t="s">
        <v>470</v>
      </c>
    </row>
    <row r="3408" spans="1:4">
      <c r="A3408" s="226" t="s">
        <v>5433</v>
      </c>
      <c r="B3408" s="226">
        <v>511585</v>
      </c>
      <c r="C3408" s="226" t="s">
        <v>486</v>
      </c>
      <c r="D3408" s="226" t="s">
        <v>503</v>
      </c>
    </row>
    <row r="3409" spans="1:4">
      <c r="A3409" s="226" t="s">
        <v>5434</v>
      </c>
      <c r="B3409" s="226">
        <v>512624</v>
      </c>
      <c r="C3409" s="226" t="s">
        <v>486</v>
      </c>
      <c r="D3409" s="226" t="s">
        <v>508</v>
      </c>
    </row>
    <row r="3410" spans="1:4">
      <c r="A3410" s="226" t="s">
        <v>5435</v>
      </c>
      <c r="B3410" s="226">
        <v>505817</v>
      </c>
      <c r="C3410" s="226" t="s">
        <v>486</v>
      </c>
      <c r="D3410" s="226" t="s">
        <v>840</v>
      </c>
    </row>
    <row r="3411" spans="1:4">
      <c r="A3411" s="226" t="s">
        <v>5436</v>
      </c>
      <c r="B3411" s="226">
        <v>505817</v>
      </c>
      <c r="C3411" s="226" t="s">
        <v>486</v>
      </c>
      <c r="D3411" s="226" t="s">
        <v>840</v>
      </c>
    </row>
    <row r="3412" spans="1:4">
      <c r="A3412" s="226" t="s">
        <v>5437</v>
      </c>
      <c r="B3412" s="226">
        <v>526075</v>
      </c>
      <c r="C3412" s="226" t="s">
        <v>486</v>
      </c>
      <c r="D3412" s="226" t="s">
        <v>524</v>
      </c>
    </row>
    <row r="3413" spans="1:4">
      <c r="A3413" s="226" t="s">
        <v>5438</v>
      </c>
      <c r="B3413" s="226">
        <v>530517</v>
      </c>
      <c r="C3413" s="226" t="s">
        <v>5439</v>
      </c>
      <c r="D3413" s="226" t="s">
        <v>911</v>
      </c>
    </row>
    <row r="3414" spans="1:4">
      <c r="A3414" s="226" t="s">
        <v>5440</v>
      </c>
      <c r="B3414" s="226" t="s">
        <v>486</v>
      </c>
      <c r="C3414" s="226" t="s">
        <v>5441</v>
      </c>
      <c r="D3414" s="226" t="s">
        <v>497</v>
      </c>
    </row>
    <row r="3415" spans="1:4">
      <c r="A3415" s="226" t="s">
        <v>5442</v>
      </c>
      <c r="B3415" s="226">
        <v>532124</v>
      </c>
      <c r="C3415" s="226" t="s">
        <v>486</v>
      </c>
      <c r="D3415" s="226" t="s">
        <v>686</v>
      </c>
    </row>
    <row r="3416" spans="1:4">
      <c r="A3416" s="226" t="s">
        <v>5443</v>
      </c>
      <c r="B3416" s="226">
        <v>532124</v>
      </c>
      <c r="C3416" s="226" t="s">
        <v>486</v>
      </c>
      <c r="D3416" s="226" t="s">
        <v>686</v>
      </c>
    </row>
    <row r="3417" spans="1:4">
      <c r="A3417" s="226" t="s">
        <v>5444</v>
      </c>
      <c r="B3417" s="226">
        <v>500111</v>
      </c>
      <c r="C3417" s="226" t="s">
        <v>5445</v>
      </c>
      <c r="D3417" s="226" t="s">
        <v>503</v>
      </c>
    </row>
    <row r="3418" spans="1:4">
      <c r="A3418" s="226" t="s">
        <v>5446</v>
      </c>
      <c r="B3418" s="226">
        <v>503162</v>
      </c>
      <c r="C3418" s="226" t="s">
        <v>486</v>
      </c>
      <c r="D3418" s="226" t="s">
        <v>501</v>
      </c>
    </row>
    <row r="3419" spans="1:4">
      <c r="A3419" s="226" t="s">
        <v>5447</v>
      </c>
      <c r="B3419" s="226">
        <v>532712</v>
      </c>
      <c r="C3419" s="226" t="s">
        <v>5448</v>
      </c>
      <c r="D3419" s="226" t="s">
        <v>1427</v>
      </c>
    </row>
    <row r="3420" spans="1:4">
      <c r="A3420" s="226" t="s">
        <v>5449</v>
      </c>
      <c r="B3420" s="226">
        <v>590106</v>
      </c>
      <c r="C3420" s="226" t="s">
        <v>5450</v>
      </c>
      <c r="D3420" s="226" t="s">
        <v>470</v>
      </c>
    </row>
    <row r="3421" spans="1:4">
      <c r="A3421" s="226" t="s">
        <v>5451</v>
      </c>
      <c r="B3421" s="226">
        <v>590095</v>
      </c>
      <c r="C3421" s="226" t="s">
        <v>5452</v>
      </c>
      <c r="D3421" s="226" t="s">
        <v>470</v>
      </c>
    </row>
    <row r="3422" spans="1:4">
      <c r="A3422" s="226" t="s">
        <v>5453</v>
      </c>
      <c r="B3422" s="226">
        <v>590113</v>
      </c>
      <c r="C3422" s="226" t="s">
        <v>5454</v>
      </c>
      <c r="D3422" s="226" t="s">
        <v>470</v>
      </c>
    </row>
    <row r="3423" spans="1:4">
      <c r="A3423" s="226" t="s">
        <v>5455</v>
      </c>
      <c r="B3423" s="226">
        <v>590104</v>
      </c>
      <c r="C3423" s="226" t="s">
        <v>5456</v>
      </c>
      <c r="D3423" s="226" t="s">
        <v>470</v>
      </c>
    </row>
    <row r="3424" spans="1:4">
      <c r="A3424" s="226" t="s">
        <v>5457</v>
      </c>
      <c r="B3424" s="226">
        <v>590103</v>
      </c>
      <c r="C3424" s="226" t="s">
        <v>5458</v>
      </c>
      <c r="D3424" s="226" t="s">
        <v>470</v>
      </c>
    </row>
    <row r="3425" spans="1:4">
      <c r="A3425" s="226" t="s">
        <v>5459</v>
      </c>
      <c r="B3425" s="226">
        <v>590108</v>
      </c>
      <c r="C3425" s="226" t="s">
        <v>5460</v>
      </c>
      <c r="D3425" s="226" t="s">
        <v>470</v>
      </c>
    </row>
    <row r="3426" spans="1:4">
      <c r="A3426" s="226" t="s">
        <v>5461</v>
      </c>
      <c r="B3426" s="226">
        <v>590109</v>
      </c>
      <c r="C3426" s="226" t="s">
        <v>5462</v>
      </c>
      <c r="D3426" s="226" t="s">
        <v>470</v>
      </c>
    </row>
    <row r="3427" spans="1:4">
      <c r="A3427" s="226" t="s">
        <v>5463</v>
      </c>
      <c r="B3427" s="226">
        <v>540709</v>
      </c>
      <c r="C3427" s="226" t="s">
        <v>5464</v>
      </c>
      <c r="D3427" s="226" t="s">
        <v>544</v>
      </c>
    </row>
    <row r="3428" spans="1:4">
      <c r="A3428" s="226" t="s">
        <v>5465</v>
      </c>
      <c r="B3428" s="226">
        <v>523445</v>
      </c>
      <c r="C3428" s="226" t="s">
        <v>5466</v>
      </c>
      <c r="D3428" s="226" t="s">
        <v>883</v>
      </c>
    </row>
    <row r="3429" spans="1:4">
      <c r="A3429" s="226" t="s">
        <v>5467</v>
      </c>
      <c r="B3429" s="226">
        <v>500325</v>
      </c>
      <c r="C3429" s="226" t="s">
        <v>5468</v>
      </c>
      <c r="D3429" s="226" t="s">
        <v>616</v>
      </c>
    </row>
    <row r="3430" spans="1:4">
      <c r="A3430" s="226" t="s">
        <v>5469</v>
      </c>
      <c r="B3430" s="226">
        <v>500390</v>
      </c>
      <c r="C3430" s="226" t="s">
        <v>5470</v>
      </c>
      <c r="D3430" s="226" t="s">
        <v>624</v>
      </c>
    </row>
    <row r="3431" spans="1:4">
      <c r="A3431" s="226" t="s">
        <v>5471</v>
      </c>
      <c r="B3431" s="226">
        <v>533107</v>
      </c>
      <c r="C3431" s="226" t="s">
        <v>5472</v>
      </c>
      <c r="D3431" s="226" t="s">
        <v>958</v>
      </c>
    </row>
    <row r="3432" spans="1:4">
      <c r="A3432" s="226" t="s">
        <v>5473</v>
      </c>
      <c r="B3432" s="226">
        <v>540767</v>
      </c>
      <c r="C3432" s="226" t="s">
        <v>5474</v>
      </c>
      <c r="D3432" s="226" t="s">
        <v>2888</v>
      </c>
    </row>
    <row r="3433" spans="1:4">
      <c r="A3433" s="226" t="s">
        <v>5475</v>
      </c>
      <c r="B3433" s="226">
        <v>532939</v>
      </c>
      <c r="C3433" s="226" t="s">
        <v>5476</v>
      </c>
      <c r="D3433" s="226" t="s">
        <v>624</v>
      </c>
    </row>
    <row r="3434" spans="1:4">
      <c r="A3434" s="226" t="s">
        <v>5477</v>
      </c>
      <c r="B3434" s="226">
        <v>511712</v>
      </c>
      <c r="C3434" s="226" t="s">
        <v>486</v>
      </c>
      <c r="D3434" s="226" t="s">
        <v>470</v>
      </c>
    </row>
    <row r="3435" spans="1:4">
      <c r="A3435" s="226" t="s">
        <v>5478</v>
      </c>
      <c r="B3435" s="226">
        <v>539760</v>
      </c>
      <c r="C3435" s="226" t="s">
        <v>486</v>
      </c>
      <c r="D3435" s="226" t="s">
        <v>783</v>
      </c>
    </row>
    <row r="3436" spans="1:4">
      <c r="A3436" s="226" t="s">
        <v>5479</v>
      </c>
      <c r="B3436" s="226">
        <v>532915</v>
      </c>
      <c r="C3436" s="226" t="s">
        <v>5480</v>
      </c>
      <c r="D3436" s="226" t="s">
        <v>470</v>
      </c>
    </row>
    <row r="3437" spans="1:4">
      <c r="A3437" s="226" t="s">
        <v>5481</v>
      </c>
      <c r="B3437" s="226">
        <v>540426</v>
      </c>
      <c r="C3437" s="226" t="s">
        <v>486</v>
      </c>
      <c r="D3437" s="226" t="s">
        <v>572</v>
      </c>
    </row>
    <row r="3438" spans="1:4">
      <c r="A3438" s="226" t="s">
        <v>5482</v>
      </c>
      <c r="B3438" s="226">
        <v>513043</v>
      </c>
      <c r="C3438" s="226" t="s">
        <v>486</v>
      </c>
      <c r="D3438" s="226" t="s">
        <v>808</v>
      </c>
    </row>
    <row r="3439" spans="1:4">
      <c r="A3439" s="226" t="s">
        <v>5483</v>
      </c>
      <c r="B3439" s="226">
        <v>512487</v>
      </c>
      <c r="C3439" s="226" t="s">
        <v>486</v>
      </c>
      <c r="D3439" s="226" t="s">
        <v>508</v>
      </c>
    </row>
    <row r="3440" spans="1:4">
      <c r="A3440" s="226" t="s">
        <v>5484</v>
      </c>
      <c r="B3440" s="226">
        <v>505658</v>
      </c>
      <c r="C3440" s="226" t="s">
        <v>486</v>
      </c>
      <c r="D3440" s="226" t="s">
        <v>494</v>
      </c>
    </row>
    <row r="3441" spans="1:4">
      <c r="A3441" s="226" t="s">
        <v>5485</v>
      </c>
      <c r="B3441" s="226">
        <v>504360</v>
      </c>
      <c r="C3441" s="226" t="s">
        <v>486</v>
      </c>
      <c r="D3441" s="226" t="s">
        <v>508</v>
      </c>
    </row>
    <row r="3442" spans="1:4">
      <c r="A3442" s="226" t="s">
        <v>5486</v>
      </c>
      <c r="B3442" s="226">
        <v>511149</v>
      </c>
      <c r="C3442" s="226" t="s">
        <v>486</v>
      </c>
      <c r="D3442" s="226" t="s">
        <v>906</v>
      </c>
    </row>
    <row r="3443" spans="1:4">
      <c r="A3443" s="226" t="s">
        <v>5487</v>
      </c>
      <c r="B3443" s="226">
        <v>530919</v>
      </c>
      <c r="C3443" s="226" t="s">
        <v>5488</v>
      </c>
      <c r="D3443" s="226" t="s">
        <v>3822</v>
      </c>
    </row>
    <row r="3444" spans="1:4">
      <c r="A3444" s="226" t="s">
        <v>5489</v>
      </c>
      <c r="B3444" s="226" t="s">
        <v>486</v>
      </c>
      <c r="C3444" s="226" t="s">
        <v>5490</v>
      </c>
      <c r="D3444" s="226" t="s">
        <v>3822</v>
      </c>
    </row>
    <row r="3445" spans="1:4">
      <c r="A3445" s="226" t="s">
        <v>5491</v>
      </c>
      <c r="B3445" s="226">
        <v>532923</v>
      </c>
      <c r="C3445" s="226" t="s">
        <v>5492</v>
      </c>
      <c r="D3445" s="226" t="s">
        <v>599</v>
      </c>
    </row>
    <row r="3446" spans="1:4">
      <c r="A3446" s="226" t="s">
        <v>5493</v>
      </c>
      <c r="B3446" s="226">
        <v>535322</v>
      </c>
      <c r="C3446" s="226" t="s">
        <v>5494</v>
      </c>
      <c r="D3446" s="226" t="s">
        <v>544</v>
      </c>
    </row>
    <row r="3447" spans="1:4">
      <c r="A3447" s="226" t="s">
        <v>5495</v>
      </c>
      <c r="B3447" s="226">
        <v>532687</v>
      </c>
      <c r="C3447" s="226" t="s">
        <v>5496</v>
      </c>
      <c r="D3447" s="226" t="s">
        <v>2475</v>
      </c>
    </row>
    <row r="3448" spans="1:4">
      <c r="A3448" s="226" t="s">
        <v>5497</v>
      </c>
      <c r="B3448" s="226">
        <v>532687</v>
      </c>
      <c r="C3448" s="226" t="s">
        <v>5496</v>
      </c>
      <c r="D3448" s="226" t="s">
        <v>2475</v>
      </c>
    </row>
    <row r="3449" spans="1:4">
      <c r="A3449" s="226" t="s">
        <v>5498</v>
      </c>
      <c r="B3449" s="226">
        <v>524218</v>
      </c>
      <c r="C3449" s="226" t="s">
        <v>486</v>
      </c>
      <c r="D3449" s="226" t="s">
        <v>524</v>
      </c>
    </row>
    <row r="3450" spans="1:4">
      <c r="A3450" s="226" t="s">
        <v>5499</v>
      </c>
      <c r="B3450" s="226">
        <v>505509</v>
      </c>
      <c r="C3450" s="226" t="s">
        <v>5500</v>
      </c>
      <c r="D3450" s="226" t="s">
        <v>605</v>
      </c>
    </row>
    <row r="3451" spans="1:4">
      <c r="A3451" s="226" t="s">
        <v>5501</v>
      </c>
      <c r="B3451" s="226">
        <v>515085</v>
      </c>
      <c r="C3451" s="226" t="s">
        <v>486</v>
      </c>
      <c r="D3451" s="226" t="s">
        <v>762</v>
      </c>
    </row>
    <row r="3452" spans="1:4">
      <c r="A3452" s="226" t="s">
        <v>5502</v>
      </c>
      <c r="B3452" s="226">
        <v>519191</v>
      </c>
      <c r="C3452" s="226" t="s">
        <v>5503</v>
      </c>
      <c r="D3452" s="226" t="s">
        <v>5504</v>
      </c>
    </row>
    <row r="3453" spans="1:4">
      <c r="A3453" s="226" t="s">
        <v>5505</v>
      </c>
      <c r="B3453" s="226">
        <v>505368</v>
      </c>
      <c r="C3453" s="226" t="s">
        <v>5506</v>
      </c>
      <c r="D3453" s="226" t="s">
        <v>494</v>
      </c>
    </row>
    <row r="3454" spans="1:4">
      <c r="A3454" s="226" t="s">
        <v>5507</v>
      </c>
      <c r="B3454" s="226">
        <v>531888</v>
      </c>
      <c r="C3454" s="226" t="s">
        <v>486</v>
      </c>
      <c r="D3454" s="226" t="s">
        <v>494</v>
      </c>
    </row>
    <row r="3455" spans="1:4">
      <c r="A3455" s="226" t="s">
        <v>5508</v>
      </c>
      <c r="B3455" s="226">
        <v>539669</v>
      </c>
      <c r="C3455" s="226" t="s">
        <v>486</v>
      </c>
      <c r="D3455" s="226" t="s">
        <v>503</v>
      </c>
    </row>
    <row r="3456" spans="1:4">
      <c r="A3456" s="226" t="s">
        <v>5509</v>
      </c>
      <c r="B3456" s="226">
        <v>531952</v>
      </c>
      <c r="C3456" s="226" t="s">
        <v>486</v>
      </c>
      <c r="D3456" s="226" t="s">
        <v>501</v>
      </c>
    </row>
    <row r="3457" spans="1:4">
      <c r="A3457" s="226" t="s">
        <v>5510</v>
      </c>
      <c r="B3457" s="226">
        <v>530271</v>
      </c>
      <c r="C3457" s="226" t="s">
        <v>486</v>
      </c>
      <c r="D3457" s="226" t="s">
        <v>503</v>
      </c>
    </row>
    <row r="3458" spans="1:4">
      <c r="A3458" s="226" t="s">
        <v>5511</v>
      </c>
      <c r="B3458" s="226">
        <v>532766</v>
      </c>
      <c r="C3458" s="226" t="s">
        <v>486</v>
      </c>
      <c r="D3458" s="226" t="s">
        <v>883</v>
      </c>
    </row>
    <row r="3459" spans="1:4">
      <c r="A3459" s="226" t="s">
        <v>5512</v>
      </c>
      <c r="B3459" s="226">
        <v>539435</v>
      </c>
      <c r="C3459" s="226" t="s">
        <v>486</v>
      </c>
      <c r="D3459" s="226" t="s">
        <v>470</v>
      </c>
    </row>
    <row r="3460" spans="1:4">
      <c r="A3460" s="226" t="s">
        <v>5513</v>
      </c>
      <c r="B3460" s="226">
        <v>519230</v>
      </c>
      <c r="C3460" s="226" t="s">
        <v>486</v>
      </c>
      <c r="D3460" s="226" t="s">
        <v>508</v>
      </c>
    </row>
    <row r="3461" spans="1:4">
      <c r="A3461" s="226" t="s">
        <v>5514</v>
      </c>
      <c r="B3461" s="226">
        <v>520008</v>
      </c>
      <c r="C3461" s="226" t="s">
        <v>5515</v>
      </c>
      <c r="D3461" s="226" t="s">
        <v>840</v>
      </c>
    </row>
    <row r="3462" spans="1:4">
      <c r="A3462" s="226" t="s">
        <v>5516</v>
      </c>
      <c r="B3462" s="226">
        <v>540590</v>
      </c>
      <c r="C3462" s="226" t="s">
        <v>486</v>
      </c>
      <c r="D3462" s="226" t="s">
        <v>815</v>
      </c>
    </row>
    <row r="3463" spans="1:4">
      <c r="A3463" s="226" t="s">
        <v>5517</v>
      </c>
      <c r="B3463" s="226">
        <v>524480</v>
      </c>
      <c r="C3463" s="226" t="s">
        <v>486</v>
      </c>
      <c r="D3463" s="226" t="s">
        <v>534</v>
      </c>
    </row>
    <row r="3464" spans="1:4">
      <c r="A3464" s="226" t="s">
        <v>5518</v>
      </c>
      <c r="B3464" s="226">
        <v>540082</v>
      </c>
      <c r="C3464" s="226" t="s">
        <v>486</v>
      </c>
      <c r="D3464" s="226" t="s">
        <v>808</v>
      </c>
    </row>
    <row r="3465" spans="1:4">
      <c r="A3465" s="226" t="s">
        <v>5519</v>
      </c>
      <c r="B3465" s="226">
        <v>504365</v>
      </c>
      <c r="C3465" s="226" t="s">
        <v>486</v>
      </c>
      <c r="D3465" s="226" t="s">
        <v>470</v>
      </c>
    </row>
    <row r="3466" spans="1:4">
      <c r="A3466" s="226" t="s">
        <v>5520</v>
      </c>
      <c r="B3466" s="226">
        <v>541151</v>
      </c>
      <c r="C3466" s="226" t="s">
        <v>486</v>
      </c>
      <c r="D3466" s="226" t="s">
        <v>570</v>
      </c>
    </row>
    <row r="3467" spans="1:4">
      <c r="A3467" s="226" t="s">
        <v>5521</v>
      </c>
      <c r="B3467" s="226">
        <v>541151</v>
      </c>
      <c r="C3467" s="226" t="s">
        <v>486</v>
      </c>
      <c r="D3467" s="226" t="s">
        <v>570</v>
      </c>
    </row>
    <row r="3468" spans="1:4">
      <c r="A3468" s="226" t="s">
        <v>5522</v>
      </c>
      <c r="B3468" s="226">
        <v>507508</v>
      </c>
      <c r="C3468" s="226" t="s">
        <v>486</v>
      </c>
      <c r="D3468" s="226" t="s">
        <v>1184</v>
      </c>
    </row>
    <row r="3469" spans="1:4">
      <c r="A3469" s="226" t="s">
        <v>5523</v>
      </c>
      <c r="B3469" s="226">
        <v>530251</v>
      </c>
      <c r="C3469" s="226" t="s">
        <v>486</v>
      </c>
      <c r="D3469" s="226" t="s">
        <v>508</v>
      </c>
    </row>
    <row r="3470" spans="1:4">
      <c r="A3470" s="226" t="s">
        <v>5524</v>
      </c>
      <c r="B3470" s="226">
        <v>514177</v>
      </c>
      <c r="C3470" s="226" t="s">
        <v>486</v>
      </c>
      <c r="D3470" s="226" t="s">
        <v>501</v>
      </c>
    </row>
    <row r="3471" spans="1:4">
      <c r="A3471" s="226" t="s">
        <v>5525</v>
      </c>
      <c r="B3471" s="226">
        <v>531539</v>
      </c>
      <c r="C3471" s="226" t="s">
        <v>486</v>
      </c>
      <c r="D3471" s="226" t="s">
        <v>518</v>
      </c>
    </row>
    <row r="3472" spans="1:4">
      <c r="A3472" s="226" t="s">
        <v>5526</v>
      </c>
      <c r="B3472" s="226">
        <v>526861</v>
      </c>
      <c r="C3472" s="226" t="s">
        <v>486</v>
      </c>
      <c r="D3472" s="226" t="s">
        <v>494</v>
      </c>
    </row>
    <row r="3473" spans="1:4">
      <c r="A3473" s="226" t="s">
        <v>5527</v>
      </c>
      <c r="B3473" s="226">
        <v>523021</v>
      </c>
      <c r="C3473" s="226" t="s">
        <v>486</v>
      </c>
      <c r="D3473" s="226" t="s">
        <v>680</v>
      </c>
    </row>
    <row r="3474" spans="1:4">
      <c r="A3474" s="226" t="s">
        <v>5528</v>
      </c>
      <c r="B3474" s="226">
        <v>526492</v>
      </c>
      <c r="C3474" s="226" t="s">
        <v>486</v>
      </c>
      <c r="D3474" s="226" t="s">
        <v>1403</v>
      </c>
    </row>
    <row r="3475" spans="1:4">
      <c r="A3475" s="226" t="s">
        <v>5529</v>
      </c>
      <c r="B3475" s="226">
        <v>542383</v>
      </c>
      <c r="C3475" s="226" t="s">
        <v>5530</v>
      </c>
      <c r="D3475" s="226" t="s">
        <v>806</v>
      </c>
    </row>
    <row r="3476" spans="1:4">
      <c r="A3476" s="226" t="s">
        <v>5531</v>
      </c>
      <c r="B3476" s="226">
        <v>541556</v>
      </c>
      <c r="C3476" s="226" t="s">
        <v>5532</v>
      </c>
      <c r="D3476" s="226" t="s">
        <v>883</v>
      </c>
    </row>
    <row r="3477" spans="1:4">
      <c r="A3477" s="226" t="s">
        <v>5533</v>
      </c>
      <c r="B3477" s="226">
        <v>519097</v>
      </c>
      <c r="C3477" s="226" t="s">
        <v>486</v>
      </c>
      <c r="D3477" s="226" t="s">
        <v>534</v>
      </c>
    </row>
    <row r="3478" spans="1:4">
      <c r="A3478" s="226" t="s">
        <v>5534</v>
      </c>
      <c r="B3478" s="226">
        <v>526407</v>
      </c>
      <c r="C3478" s="226" t="s">
        <v>486</v>
      </c>
      <c r="D3478" s="226" t="s">
        <v>599</v>
      </c>
    </row>
    <row r="3479" spans="1:4">
      <c r="A3479" s="226" t="s">
        <v>5535</v>
      </c>
      <c r="B3479" s="226">
        <v>540843</v>
      </c>
      <c r="C3479" s="226" t="s">
        <v>486</v>
      </c>
      <c r="D3479" s="226" t="s">
        <v>3263</v>
      </c>
    </row>
    <row r="3480" spans="1:4">
      <c r="A3480" s="226" t="s">
        <v>5536</v>
      </c>
      <c r="B3480" s="226" t="s">
        <v>486</v>
      </c>
      <c r="C3480" s="226" t="s">
        <v>5537</v>
      </c>
      <c r="D3480" s="226" t="s">
        <v>497</v>
      </c>
    </row>
    <row r="3481" spans="1:4">
      <c r="A3481" s="226" t="s">
        <v>5538</v>
      </c>
      <c r="B3481" s="226">
        <v>512618</v>
      </c>
      <c r="C3481" s="226" t="s">
        <v>486</v>
      </c>
      <c r="D3481" s="226" t="s">
        <v>501</v>
      </c>
    </row>
    <row r="3482" spans="1:4">
      <c r="A3482" s="226" t="s">
        <v>5539</v>
      </c>
      <c r="B3482" s="226">
        <v>540358</v>
      </c>
      <c r="C3482" s="226" t="s">
        <v>486</v>
      </c>
      <c r="D3482" s="226" t="s">
        <v>783</v>
      </c>
    </row>
    <row r="3483" spans="1:4">
      <c r="A3483" s="226" t="s">
        <v>5540</v>
      </c>
      <c r="B3483" s="226">
        <v>500365</v>
      </c>
      <c r="C3483" s="226" t="s">
        <v>486</v>
      </c>
      <c r="D3483" s="226" t="s">
        <v>518</v>
      </c>
    </row>
    <row r="3484" spans="1:4">
      <c r="A3484" s="226" t="s">
        <v>5541</v>
      </c>
      <c r="B3484" s="226">
        <v>531447</v>
      </c>
      <c r="C3484" s="226" t="s">
        <v>486</v>
      </c>
      <c r="D3484" s="226" t="s">
        <v>508</v>
      </c>
    </row>
    <row r="3485" spans="1:4">
      <c r="A3485" s="226" t="s">
        <v>5542</v>
      </c>
      <c r="B3485" s="226">
        <v>531822</v>
      </c>
      <c r="C3485" s="226" t="s">
        <v>486</v>
      </c>
      <c r="D3485" s="226" t="s">
        <v>572</v>
      </c>
    </row>
    <row r="3486" spans="1:4">
      <c r="A3486" s="226" t="s">
        <v>5543</v>
      </c>
      <c r="B3486" s="226">
        <v>532731</v>
      </c>
      <c r="C3486" s="226" t="s">
        <v>5544</v>
      </c>
      <c r="D3486" s="226" t="s">
        <v>518</v>
      </c>
    </row>
    <row r="3487" spans="1:4">
      <c r="A3487" s="226" t="s">
        <v>5545</v>
      </c>
      <c r="B3487" s="226">
        <v>505807</v>
      </c>
      <c r="C3487" s="226" t="s">
        <v>486</v>
      </c>
      <c r="D3487" s="226" t="s">
        <v>1403</v>
      </c>
    </row>
    <row r="3488" spans="1:4">
      <c r="A3488" s="226" t="s">
        <v>5546</v>
      </c>
      <c r="B3488" s="226">
        <v>502448</v>
      </c>
      <c r="C3488" s="226" t="s">
        <v>5547</v>
      </c>
      <c r="D3488" s="226" t="s">
        <v>680</v>
      </c>
    </row>
    <row r="3489" spans="1:4">
      <c r="A3489" s="226" t="s">
        <v>5548</v>
      </c>
      <c r="B3489" s="226">
        <v>500366</v>
      </c>
      <c r="C3489" s="226" t="s">
        <v>5549</v>
      </c>
      <c r="D3489" s="226" t="s">
        <v>492</v>
      </c>
    </row>
    <row r="3490" spans="1:4">
      <c r="A3490" s="226" t="s">
        <v>5550</v>
      </c>
      <c r="B3490" s="226">
        <v>500366</v>
      </c>
      <c r="C3490" s="226" t="s">
        <v>5549</v>
      </c>
      <c r="D3490" s="226" t="s">
        <v>492</v>
      </c>
    </row>
    <row r="3491" spans="1:4">
      <c r="A3491" s="226" t="s">
        <v>5551</v>
      </c>
      <c r="B3491" s="226">
        <v>542145</v>
      </c>
      <c r="C3491" s="226" t="s">
        <v>486</v>
      </c>
      <c r="D3491" s="226" t="s">
        <v>508</v>
      </c>
    </row>
    <row r="3492" spans="1:4">
      <c r="A3492" s="226" t="s">
        <v>5552</v>
      </c>
      <c r="B3492" s="226">
        <v>530991</v>
      </c>
      <c r="C3492" s="226" t="s">
        <v>486</v>
      </c>
      <c r="D3492" s="226" t="s">
        <v>524</v>
      </c>
    </row>
    <row r="3493" spans="1:4">
      <c r="A3493" s="226" t="s">
        <v>5553</v>
      </c>
      <c r="B3493" s="226">
        <v>542599</v>
      </c>
      <c r="C3493" s="226" t="s">
        <v>5554</v>
      </c>
      <c r="D3493" s="226" t="s">
        <v>686</v>
      </c>
    </row>
    <row r="3494" spans="1:4">
      <c r="A3494" s="226" t="s">
        <v>5555</v>
      </c>
      <c r="B3494" s="226">
        <v>531324</v>
      </c>
      <c r="C3494" s="226" t="s">
        <v>486</v>
      </c>
      <c r="D3494" s="226" t="s">
        <v>470</v>
      </c>
    </row>
    <row r="3495" spans="1:4">
      <c r="A3495" s="226" t="s">
        <v>5556</v>
      </c>
      <c r="B3495" s="226">
        <v>533168</v>
      </c>
      <c r="C3495" s="226" t="s">
        <v>5557</v>
      </c>
      <c r="D3495" s="226" t="s">
        <v>892</v>
      </c>
    </row>
    <row r="3496" spans="1:4">
      <c r="A3496" s="226" t="s">
        <v>5558</v>
      </c>
      <c r="B3496" s="226">
        <v>533168</v>
      </c>
      <c r="C3496" s="226" t="s">
        <v>5557</v>
      </c>
      <c r="D3496" s="226" t="s">
        <v>892</v>
      </c>
    </row>
    <row r="3497" spans="1:4">
      <c r="A3497" s="226" t="s">
        <v>5559</v>
      </c>
      <c r="B3497" s="226">
        <v>517500</v>
      </c>
      <c r="C3497" s="226" t="s">
        <v>486</v>
      </c>
      <c r="D3497" s="226" t="s">
        <v>494</v>
      </c>
    </row>
    <row r="3498" spans="1:4">
      <c r="A3498" s="226" t="s">
        <v>5560</v>
      </c>
      <c r="B3498" s="226">
        <v>539922</v>
      </c>
      <c r="C3498" s="226" t="s">
        <v>486</v>
      </c>
      <c r="D3498" s="226" t="s">
        <v>508</v>
      </c>
    </row>
    <row r="3499" spans="1:4">
      <c r="A3499" s="226" t="s">
        <v>5561</v>
      </c>
      <c r="B3499" s="226">
        <v>539922</v>
      </c>
      <c r="C3499" s="226" t="s">
        <v>486</v>
      </c>
      <c r="D3499" s="226" t="s">
        <v>508</v>
      </c>
    </row>
    <row r="3500" spans="1:4">
      <c r="A3500" s="226" t="s">
        <v>5562</v>
      </c>
      <c r="B3500" s="226">
        <v>526193</v>
      </c>
      <c r="C3500" s="226" t="s">
        <v>486</v>
      </c>
      <c r="D3500" s="226" t="s">
        <v>762</v>
      </c>
    </row>
    <row r="3501" spans="1:4">
      <c r="A3501" s="226" t="s">
        <v>5563</v>
      </c>
      <c r="B3501" s="226">
        <v>512047</v>
      </c>
      <c r="C3501" s="226" t="s">
        <v>486</v>
      </c>
      <c r="D3501" s="226" t="s">
        <v>599</v>
      </c>
    </row>
    <row r="3502" spans="1:4">
      <c r="A3502" s="226" t="s">
        <v>5564</v>
      </c>
      <c r="B3502" s="226">
        <v>532699</v>
      </c>
      <c r="C3502" s="226" t="s">
        <v>5565</v>
      </c>
      <c r="D3502" s="226" t="s">
        <v>686</v>
      </c>
    </row>
    <row r="3503" spans="1:4">
      <c r="A3503" s="226" t="s">
        <v>5566</v>
      </c>
      <c r="B3503" s="226">
        <v>526640</v>
      </c>
      <c r="C3503" s="226" t="s">
        <v>486</v>
      </c>
      <c r="D3503" s="226" t="s">
        <v>686</v>
      </c>
    </row>
    <row r="3504" spans="1:4">
      <c r="A3504" s="226" t="s">
        <v>5567</v>
      </c>
      <c r="B3504" s="226">
        <v>532983</v>
      </c>
      <c r="C3504" s="226" t="s">
        <v>5568</v>
      </c>
      <c r="D3504" s="226" t="s">
        <v>524</v>
      </c>
    </row>
    <row r="3505" spans="1:4">
      <c r="A3505" s="226" t="s">
        <v>5569</v>
      </c>
      <c r="B3505" s="226">
        <v>511626</v>
      </c>
      <c r="C3505" s="226" t="s">
        <v>486</v>
      </c>
      <c r="D3505" s="226" t="s">
        <v>503</v>
      </c>
    </row>
    <row r="3506" spans="1:4">
      <c r="A3506" s="226" t="s">
        <v>5570</v>
      </c>
      <c r="B3506" s="226">
        <v>530179</v>
      </c>
      <c r="C3506" s="226" t="s">
        <v>486</v>
      </c>
      <c r="D3506" s="226" t="s">
        <v>501</v>
      </c>
    </row>
    <row r="3507" spans="1:4">
      <c r="A3507" s="226" t="s">
        <v>5571</v>
      </c>
      <c r="B3507" s="226">
        <v>539875</v>
      </c>
      <c r="C3507" s="226" t="s">
        <v>486</v>
      </c>
      <c r="D3507" s="226" t="s">
        <v>506</v>
      </c>
    </row>
    <row r="3508" spans="1:4">
      <c r="A3508" s="226" t="s">
        <v>5572</v>
      </c>
      <c r="B3508" s="226">
        <v>500350</v>
      </c>
      <c r="C3508" s="226" t="s">
        <v>5573</v>
      </c>
      <c r="D3508" s="226" t="s">
        <v>501</v>
      </c>
    </row>
    <row r="3509" spans="1:4">
      <c r="A3509" s="226" t="s">
        <v>5574</v>
      </c>
      <c r="B3509" s="226">
        <v>531215</v>
      </c>
      <c r="C3509" s="226" t="s">
        <v>486</v>
      </c>
      <c r="D3509" s="226" t="s">
        <v>783</v>
      </c>
    </row>
    <row r="3510" spans="1:4">
      <c r="A3510" s="226" t="s">
        <v>5575</v>
      </c>
      <c r="B3510" s="226">
        <v>500367</v>
      </c>
      <c r="C3510" s="226" t="s">
        <v>486</v>
      </c>
      <c r="D3510" s="226" t="s">
        <v>965</v>
      </c>
    </row>
    <row r="3511" spans="1:4">
      <c r="A3511" s="226" t="s">
        <v>5576</v>
      </c>
      <c r="B3511" s="226">
        <v>531099</v>
      </c>
      <c r="C3511" s="226" t="s">
        <v>486</v>
      </c>
      <c r="D3511" s="226" t="s">
        <v>524</v>
      </c>
    </row>
    <row r="3512" spans="1:4">
      <c r="A3512" s="226" t="s">
        <v>5577</v>
      </c>
      <c r="B3512" s="226">
        <v>509020</v>
      </c>
      <c r="C3512" s="226" t="s">
        <v>5578</v>
      </c>
      <c r="D3512" s="226" t="s">
        <v>734</v>
      </c>
    </row>
    <row r="3513" spans="1:4">
      <c r="A3513" s="226" t="s">
        <v>5579</v>
      </c>
      <c r="B3513" s="226">
        <v>500368</v>
      </c>
      <c r="C3513" s="226" t="s">
        <v>5580</v>
      </c>
      <c r="D3513" s="226" t="s">
        <v>734</v>
      </c>
    </row>
    <row r="3514" spans="1:4">
      <c r="A3514" s="226" t="s">
        <v>5581</v>
      </c>
      <c r="B3514" s="226">
        <v>540696</v>
      </c>
      <c r="C3514" s="226" t="s">
        <v>486</v>
      </c>
      <c r="D3514" s="226" t="s">
        <v>508</v>
      </c>
    </row>
    <row r="3515" spans="1:4">
      <c r="A3515" s="226" t="s">
        <v>5582</v>
      </c>
      <c r="B3515" s="226">
        <v>540696</v>
      </c>
      <c r="C3515" s="226" t="s">
        <v>486</v>
      </c>
      <c r="D3515" s="226" t="s">
        <v>508</v>
      </c>
    </row>
    <row r="3516" spans="1:4">
      <c r="A3516" s="226" t="s">
        <v>5583</v>
      </c>
      <c r="B3516" s="226">
        <v>532785</v>
      </c>
      <c r="C3516" s="226" t="s">
        <v>5584</v>
      </c>
      <c r="D3516" s="226" t="s">
        <v>480</v>
      </c>
    </row>
    <row r="3517" spans="1:4">
      <c r="A3517" s="226" t="s">
        <v>5585</v>
      </c>
      <c r="B3517" s="226">
        <v>539226</v>
      </c>
      <c r="C3517" s="226" t="s">
        <v>486</v>
      </c>
      <c r="D3517" s="226" t="s">
        <v>518</v>
      </c>
    </row>
    <row r="3518" spans="1:4">
      <c r="A3518" s="226" t="s">
        <v>5586</v>
      </c>
      <c r="B3518" s="226" t="s">
        <v>486</v>
      </c>
      <c r="C3518" s="226" t="s">
        <v>5587</v>
      </c>
      <c r="D3518" s="226" t="s">
        <v>497</v>
      </c>
    </row>
    <row r="3519" spans="1:4">
      <c r="A3519" s="226" t="s">
        <v>5588</v>
      </c>
      <c r="B3519" s="226">
        <v>519413</v>
      </c>
      <c r="C3519" s="226" t="s">
        <v>486</v>
      </c>
      <c r="D3519" s="226" t="s">
        <v>508</v>
      </c>
    </row>
    <row r="3520" spans="1:4">
      <c r="A3520" s="226" t="s">
        <v>5589</v>
      </c>
      <c r="B3520" s="226">
        <v>530449</v>
      </c>
      <c r="C3520" s="226" t="s">
        <v>486</v>
      </c>
      <c r="D3520" s="226" t="s">
        <v>605</v>
      </c>
    </row>
    <row r="3521" spans="1:4">
      <c r="A3521" s="226" t="s">
        <v>5590</v>
      </c>
      <c r="B3521" s="226">
        <v>533552</v>
      </c>
      <c r="C3521" s="226" t="s">
        <v>5591</v>
      </c>
      <c r="D3521" s="226" t="s">
        <v>599</v>
      </c>
    </row>
    <row r="3522" spans="1:4">
      <c r="A3522" s="226" t="s">
        <v>5592</v>
      </c>
      <c r="B3522" s="226">
        <v>533470</v>
      </c>
      <c r="C3522" s="226" t="s">
        <v>5593</v>
      </c>
      <c r="D3522" s="226" t="s">
        <v>980</v>
      </c>
    </row>
    <row r="3523" spans="1:4">
      <c r="A3523" s="226" t="s">
        <v>5594</v>
      </c>
      <c r="B3523" s="226">
        <v>504335</v>
      </c>
      <c r="C3523" s="226" t="s">
        <v>486</v>
      </c>
      <c r="D3523" s="226" t="s">
        <v>508</v>
      </c>
    </row>
    <row r="3524" spans="1:4">
      <c r="A3524" s="226" t="s">
        <v>5595</v>
      </c>
      <c r="B3524" s="226">
        <v>517035</v>
      </c>
      <c r="C3524" s="226" t="s">
        <v>486</v>
      </c>
      <c r="D3524" s="226" t="s">
        <v>1027</v>
      </c>
    </row>
    <row r="3525" spans="1:4">
      <c r="A3525" s="226" t="s">
        <v>5596</v>
      </c>
      <c r="B3525" s="226">
        <v>542034</v>
      </c>
      <c r="C3525" s="226" t="s">
        <v>486</v>
      </c>
      <c r="D3525" s="226" t="s">
        <v>599</v>
      </c>
    </row>
    <row r="3526" spans="1:4">
      <c r="A3526" s="226" t="s">
        <v>5597</v>
      </c>
      <c r="B3526" s="226">
        <v>532604</v>
      </c>
      <c r="C3526" s="226" t="s">
        <v>5598</v>
      </c>
      <c r="D3526" s="226" t="s">
        <v>518</v>
      </c>
    </row>
    <row r="3527" spans="1:4">
      <c r="A3527" s="226" t="s">
        <v>5599</v>
      </c>
      <c r="B3527" s="226">
        <v>540497</v>
      </c>
      <c r="C3527" s="226" t="s">
        <v>5600</v>
      </c>
      <c r="D3527" s="226" t="s">
        <v>1009</v>
      </c>
    </row>
    <row r="3528" spans="1:4">
      <c r="A3528" s="226" t="s">
        <v>5601</v>
      </c>
      <c r="B3528" s="226">
        <v>534598</v>
      </c>
      <c r="C3528" s="226" t="s">
        <v>5602</v>
      </c>
      <c r="D3528" s="226" t="s">
        <v>624</v>
      </c>
    </row>
    <row r="3529" spans="1:4">
      <c r="A3529" s="226" t="s">
        <v>5603</v>
      </c>
      <c r="B3529" s="226">
        <v>539450</v>
      </c>
      <c r="C3529" s="226" t="s">
        <v>5604</v>
      </c>
      <c r="D3529" s="226" t="s">
        <v>667</v>
      </c>
    </row>
    <row r="3530" spans="1:4">
      <c r="A3530" s="226" t="s">
        <v>5605</v>
      </c>
      <c r="B3530" s="226">
        <v>532316</v>
      </c>
      <c r="C3530" s="226" t="s">
        <v>5606</v>
      </c>
      <c r="D3530" s="226" t="s">
        <v>5607</v>
      </c>
    </row>
    <row r="3531" spans="1:4">
      <c r="A3531" s="226" t="s">
        <v>5608</v>
      </c>
      <c r="B3531" s="226">
        <v>540048</v>
      </c>
      <c r="C3531" s="226" t="s">
        <v>5609</v>
      </c>
      <c r="D3531" s="226" t="s">
        <v>599</v>
      </c>
    </row>
    <row r="3532" spans="1:4">
      <c r="A3532" s="226" t="s">
        <v>5610</v>
      </c>
      <c r="B3532" s="226">
        <v>536710</v>
      </c>
      <c r="C3532" s="226" t="s">
        <v>486</v>
      </c>
      <c r="D3532" s="226" t="s">
        <v>503</v>
      </c>
    </row>
    <row r="3533" spans="1:4">
      <c r="A3533" s="226" t="s">
        <v>5611</v>
      </c>
      <c r="B3533" s="226">
        <v>513515</v>
      </c>
      <c r="C3533" s="226" t="s">
        <v>486</v>
      </c>
      <c r="D3533" s="226" t="s">
        <v>501</v>
      </c>
    </row>
    <row r="3534" spans="1:4">
      <c r="A3534" s="226" t="s">
        <v>5612</v>
      </c>
      <c r="B3534" s="226">
        <v>531307</v>
      </c>
      <c r="C3534" s="226" t="s">
        <v>486</v>
      </c>
      <c r="D3534" s="226" t="s">
        <v>501</v>
      </c>
    </row>
    <row r="3535" spans="1:4">
      <c r="A3535" s="226" t="s">
        <v>5613</v>
      </c>
      <c r="B3535" s="226" t="s">
        <v>486</v>
      </c>
      <c r="C3535" s="226" t="s">
        <v>5614</v>
      </c>
      <c r="D3535" s="226" t="s">
        <v>497</v>
      </c>
    </row>
    <row r="3536" spans="1:4">
      <c r="A3536" s="226" t="s">
        <v>5615</v>
      </c>
      <c r="B3536" s="226">
        <v>538876</v>
      </c>
      <c r="C3536" s="226" t="s">
        <v>486</v>
      </c>
      <c r="D3536" s="226" t="s">
        <v>503</v>
      </c>
    </row>
    <row r="3537" spans="1:4">
      <c r="A3537" s="226" t="s">
        <v>5616</v>
      </c>
      <c r="B3537" s="226">
        <v>535621</v>
      </c>
      <c r="C3537" s="226" t="s">
        <v>486</v>
      </c>
      <c r="D3537" s="226" t="s">
        <v>572</v>
      </c>
    </row>
    <row r="3538" spans="1:4">
      <c r="A3538" s="226" t="s">
        <v>5617</v>
      </c>
      <c r="B3538" s="226">
        <v>503622</v>
      </c>
      <c r="C3538" s="226" t="s">
        <v>486</v>
      </c>
      <c r="D3538" s="226" t="s">
        <v>470</v>
      </c>
    </row>
    <row r="3539" spans="1:4">
      <c r="A3539" s="226" t="s">
        <v>5618</v>
      </c>
      <c r="B3539" s="226">
        <v>514197</v>
      </c>
      <c r="C3539" s="226" t="s">
        <v>486</v>
      </c>
      <c r="D3539" s="226" t="s">
        <v>501</v>
      </c>
    </row>
    <row r="3540" spans="1:4">
      <c r="A3540" s="226" t="s">
        <v>5619</v>
      </c>
      <c r="B3540" s="226">
        <v>540081</v>
      </c>
      <c r="C3540" s="226" t="s">
        <v>5620</v>
      </c>
      <c r="D3540" s="226" t="s">
        <v>1009</v>
      </c>
    </row>
    <row r="3541" spans="1:4">
      <c r="A3541" s="226" t="s">
        <v>5621</v>
      </c>
      <c r="B3541" s="226">
        <v>539112</v>
      </c>
      <c r="C3541" s="226" t="s">
        <v>486</v>
      </c>
      <c r="D3541" s="226" t="s">
        <v>572</v>
      </c>
    </row>
    <row r="3542" spans="1:4">
      <c r="A3542" s="226" t="s">
        <v>5622</v>
      </c>
      <c r="B3542" s="226">
        <v>530267</v>
      </c>
      <c r="C3542" s="226" t="s">
        <v>486</v>
      </c>
      <c r="D3542" s="226" t="s">
        <v>494</v>
      </c>
    </row>
    <row r="3543" spans="1:4">
      <c r="A3543" s="226" t="s">
        <v>5623</v>
      </c>
      <c r="B3543" s="226">
        <v>530461</v>
      </c>
      <c r="C3543" s="226" t="s">
        <v>486</v>
      </c>
      <c r="D3543" s="226" t="s">
        <v>566</v>
      </c>
    </row>
    <row r="3544" spans="1:4">
      <c r="A3544" s="226" t="s">
        <v>5624</v>
      </c>
      <c r="B3544" s="226">
        <v>540132</v>
      </c>
      <c r="C3544" s="226" t="s">
        <v>486</v>
      </c>
      <c r="D3544" s="226" t="s">
        <v>508</v>
      </c>
    </row>
    <row r="3545" spans="1:4">
      <c r="A3545" s="226" t="s">
        <v>5625</v>
      </c>
      <c r="B3545" s="226">
        <v>540132</v>
      </c>
      <c r="C3545" s="226" t="s">
        <v>486</v>
      </c>
      <c r="D3545" s="226" t="s">
        <v>508</v>
      </c>
    </row>
    <row r="3546" spans="1:4">
      <c r="A3546" s="226" t="s">
        <v>5626</v>
      </c>
      <c r="B3546" s="226">
        <v>531869</v>
      </c>
      <c r="C3546" s="226" t="s">
        <v>486</v>
      </c>
      <c r="D3546" s="226" t="s">
        <v>790</v>
      </c>
    </row>
    <row r="3547" spans="1:4">
      <c r="A3547" s="226" t="s">
        <v>5627</v>
      </c>
      <c r="B3547" s="226">
        <v>532710</v>
      </c>
      <c r="C3547" s="226" t="s">
        <v>5628</v>
      </c>
      <c r="D3547" s="226" t="s">
        <v>883</v>
      </c>
    </row>
    <row r="3548" spans="1:4">
      <c r="A3548" s="226" t="s">
        <v>5629</v>
      </c>
      <c r="B3548" s="226">
        <v>539346</v>
      </c>
      <c r="C3548" s="226" t="s">
        <v>5630</v>
      </c>
      <c r="D3548" s="226" t="s">
        <v>1080</v>
      </c>
    </row>
    <row r="3549" spans="1:4">
      <c r="A3549" s="226" t="s">
        <v>5631</v>
      </c>
      <c r="B3549" s="226">
        <v>506642</v>
      </c>
      <c r="C3549" s="226" t="s">
        <v>486</v>
      </c>
      <c r="D3549" s="226" t="s">
        <v>534</v>
      </c>
    </row>
    <row r="3550" spans="1:4">
      <c r="A3550" s="226" t="s">
        <v>5632</v>
      </c>
      <c r="B3550" s="226">
        <v>540821</v>
      </c>
      <c r="C3550" s="226" t="s">
        <v>486</v>
      </c>
      <c r="D3550" s="226" t="s">
        <v>1222</v>
      </c>
    </row>
    <row r="3551" spans="1:4">
      <c r="A3551" s="226" t="s">
        <v>5633</v>
      </c>
      <c r="B3551" s="226">
        <v>532034</v>
      </c>
      <c r="C3551" s="226" t="s">
        <v>486</v>
      </c>
      <c r="D3551" s="226" t="s">
        <v>667</v>
      </c>
    </row>
    <row r="3552" spans="1:4">
      <c r="A3552" s="226" t="s">
        <v>5634</v>
      </c>
      <c r="B3552" s="226">
        <v>531448</v>
      </c>
      <c r="C3552" s="226" t="s">
        <v>486</v>
      </c>
      <c r="D3552" s="226" t="s">
        <v>906</v>
      </c>
    </row>
    <row r="3553" spans="1:4">
      <c r="A3553" s="226" t="s">
        <v>5635</v>
      </c>
      <c r="B3553" s="226">
        <v>523025</v>
      </c>
      <c r="C3553" s="226" t="s">
        <v>486</v>
      </c>
      <c r="D3553" s="226" t="s">
        <v>599</v>
      </c>
    </row>
    <row r="3554" spans="1:4">
      <c r="A3554" s="226" t="s">
        <v>5636</v>
      </c>
      <c r="B3554" s="226">
        <v>523025</v>
      </c>
      <c r="C3554" s="226" t="s">
        <v>486</v>
      </c>
      <c r="D3554" s="226" t="s">
        <v>599</v>
      </c>
    </row>
    <row r="3555" spans="1:4">
      <c r="A3555" s="226" t="s">
        <v>5637</v>
      </c>
      <c r="B3555" s="226">
        <v>502090</v>
      </c>
      <c r="C3555" s="226" t="s">
        <v>5638</v>
      </c>
      <c r="D3555" s="226" t="s">
        <v>499</v>
      </c>
    </row>
    <row r="3556" spans="1:4">
      <c r="A3556" s="226" t="s">
        <v>5639</v>
      </c>
      <c r="B3556" s="226">
        <v>540715</v>
      </c>
      <c r="C3556" s="226" t="s">
        <v>486</v>
      </c>
      <c r="D3556" s="226" t="s">
        <v>599</v>
      </c>
    </row>
    <row r="3557" spans="1:4">
      <c r="A3557" s="226" t="s">
        <v>5640</v>
      </c>
      <c r="B3557" s="226">
        <v>532092</v>
      </c>
      <c r="C3557" s="226" t="s">
        <v>486</v>
      </c>
      <c r="D3557" s="226" t="s">
        <v>503</v>
      </c>
    </row>
    <row r="3558" spans="1:4">
      <c r="A3558" s="226" t="s">
        <v>5641</v>
      </c>
      <c r="B3558" s="226">
        <v>507663</v>
      </c>
      <c r="C3558" s="226" t="s">
        <v>486</v>
      </c>
      <c r="D3558" s="226" t="s">
        <v>734</v>
      </c>
    </row>
    <row r="3559" spans="1:4">
      <c r="A3559" s="226" t="s">
        <v>5642</v>
      </c>
      <c r="B3559" s="226">
        <v>511254</v>
      </c>
      <c r="C3559" s="226" t="s">
        <v>486</v>
      </c>
      <c r="D3559" s="226" t="s">
        <v>503</v>
      </c>
    </row>
    <row r="3560" spans="1:4">
      <c r="A3560" s="226" t="s">
        <v>5643</v>
      </c>
      <c r="B3560" s="226">
        <v>526085</v>
      </c>
      <c r="C3560" s="226" t="s">
        <v>486</v>
      </c>
      <c r="D3560" s="226" t="s">
        <v>686</v>
      </c>
    </row>
    <row r="3561" spans="1:4">
      <c r="A3561" s="226" t="s">
        <v>5644</v>
      </c>
      <c r="B3561" s="226" t="s">
        <v>486</v>
      </c>
      <c r="C3561" s="226" t="s">
        <v>5645</v>
      </c>
      <c r="D3561" s="226" t="s">
        <v>497</v>
      </c>
    </row>
    <row r="3562" spans="1:4">
      <c r="A3562" s="226" t="s">
        <v>5646</v>
      </c>
      <c r="B3562" s="226">
        <v>540143</v>
      </c>
      <c r="C3562" s="226" t="s">
        <v>486</v>
      </c>
      <c r="D3562" s="226" t="s">
        <v>473</v>
      </c>
    </row>
    <row r="3563" spans="1:4">
      <c r="A3563" s="226" t="s">
        <v>5647</v>
      </c>
      <c r="B3563" s="226">
        <v>540143</v>
      </c>
      <c r="C3563" s="226" t="s">
        <v>486</v>
      </c>
      <c r="D3563" s="226" t="s">
        <v>473</v>
      </c>
    </row>
    <row r="3564" spans="1:4">
      <c r="A3564" s="226" t="s">
        <v>5648</v>
      </c>
      <c r="B3564" s="226">
        <v>511533</v>
      </c>
      <c r="C3564" s="226" t="s">
        <v>486</v>
      </c>
      <c r="D3564" s="226" t="s">
        <v>544</v>
      </c>
    </row>
    <row r="3565" spans="1:4">
      <c r="A3565" s="226" t="s">
        <v>5649</v>
      </c>
      <c r="B3565" s="226">
        <v>503691</v>
      </c>
      <c r="C3565" s="226" t="s">
        <v>486</v>
      </c>
      <c r="D3565" s="226" t="s">
        <v>1222</v>
      </c>
    </row>
    <row r="3566" spans="1:4">
      <c r="A3566" s="226" t="s">
        <v>5650</v>
      </c>
      <c r="B3566" s="226">
        <v>532841</v>
      </c>
      <c r="C3566" s="226" t="s">
        <v>486</v>
      </c>
      <c r="D3566" s="226" t="s">
        <v>499</v>
      </c>
    </row>
    <row r="3567" spans="1:4">
      <c r="A3567" s="226" t="s">
        <v>5651</v>
      </c>
      <c r="B3567" s="226">
        <v>539660</v>
      </c>
      <c r="C3567" s="226" t="s">
        <v>486</v>
      </c>
      <c r="D3567" s="226" t="s">
        <v>470</v>
      </c>
    </row>
    <row r="3568" spans="1:4">
      <c r="A3568" s="226" t="s">
        <v>5652</v>
      </c>
      <c r="B3568" s="226">
        <v>538557</v>
      </c>
      <c r="C3568" s="226" t="s">
        <v>486</v>
      </c>
      <c r="D3568" s="226" t="s">
        <v>508</v>
      </c>
    </row>
    <row r="3569" spans="1:4">
      <c r="A3569" s="226" t="s">
        <v>5653</v>
      </c>
      <c r="B3569" s="226">
        <v>531931</v>
      </c>
      <c r="C3569" s="226" t="s">
        <v>486</v>
      </c>
      <c r="D3569" s="226" t="s">
        <v>906</v>
      </c>
    </row>
    <row r="3570" spans="1:4">
      <c r="A3570" s="226" t="s">
        <v>5654</v>
      </c>
      <c r="B3570" s="226">
        <v>530905</v>
      </c>
      <c r="C3570" s="226" t="s">
        <v>486</v>
      </c>
      <c r="D3570" s="226" t="s">
        <v>503</v>
      </c>
    </row>
    <row r="3571" spans="1:4">
      <c r="A3571" s="226" t="s">
        <v>5655</v>
      </c>
      <c r="B3571" s="226">
        <v>540066</v>
      </c>
      <c r="C3571" s="226" t="s">
        <v>486</v>
      </c>
      <c r="D3571" s="226" t="s">
        <v>840</v>
      </c>
    </row>
    <row r="3572" spans="1:4">
      <c r="A3572" s="226" t="s">
        <v>5656</v>
      </c>
      <c r="B3572" s="226">
        <v>530265</v>
      </c>
      <c r="C3572" s="226" t="s">
        <v>486</v>
      </c>
      <c r="D3572" s="226" t="s">
        <v>499</v>
      </c>
    </row>
    <row r="3573" spans="1:4">
      <c r="A3573" s="226" t="s">
        <v>5657</v>
      </c>
      <c r="B3573" s="226">
        <v>515043</v>
      </c>
      <c r="C3573" s="226" t="s">
        <v>486</v>
      </c>
      <c r="D3573" s="226" t="s">
        <v>762</v>
      </c>
    </row>
    <row r="3574" spans="1:4">
      <c r="A3574" s="226" t="s">
        <v>5658</v>
      </c>
      <c r="B3574" s="226">
        <v>515043</v>
      </c>
      <c r="C3574" s="226" t="s">
        <v>486</v>
      </c>
      <c r="D3574" s="226" t="s">
        <v>762</v>
      </c>
    </row>
    <row r="3575" spans="1:4">
      <c r="A3575" s="226" t="s">
        <v>5659</v>
      </c>
      <c r="B3575" s="226" t="s">
        <v>486</v>
      </c>
      <c r="C3575" s="226" t="s">
        <v>5660</v>
      </c>
      <c r="D3575" s="226" t="s">
        <v>497</v>
      </c>
    </row>
    <row r="3576" spans="1:4">
      <c r="A3576" s="226" t="s">
        <v>5661</v>
      </c>
      <c r="B3576" s="226" t="s">
        <v>486</v>
      </c>
      <c r="C3576" s="226" t="s">
        <v>5662</v>
      </c>
      <c r="D3576" s="226" t="s">
        <v>497</v>
      </c>
    </row>
    <row r="3577" spans="1:4">
      <c r="A3577" s="226" t="s">
        <v>5663</v>
      </c>
      <c r="B3577" s="226">
        <v>590051</v>
      </c>
      <c r="C3577" s="226" t="s">
        <v>5664</v>
      </c>
      <c r="D3577" s="226" t="s">
        <v>579</v>
      </c>
    </row>
    <row r="3578" spans="1:4">
      <c r="A3578" s="226" t="s">
        <v>5665</v>
      </c>
      <c r="B3578" s="226">
        <v>511066</v>
      </c>
      <c r="C3578" s="226" t="s">
        <v>486</v>
      </c>
      <c r="D3578" s="226" t="s">
        <v>503</v>
      </c>
    </row>
    <row r="3579" spans="1:4">
      <c r="A3579" s="226" t="s">
        <v>5666</v>
      </c>
      <c r="B3579" s="226">
        <v>507315</v>
      </c>
      <c r="C3579" s="226" t="s">
        <v>5667</v>
      </c>
      <c r="D3579" s="226" t="s">
        <v>1184</v>
      </c>
    </row>
    <row r="3580" spans="1:4">
      <c r="A3580" s="226" t="s">
        <v>5668</v>
      </c>
      <c r="B3580" s="226">
        <v>532713</v>
      </c>
      <c r="C3580" s="226" t="s">
        <v>5669</v>
      </c>
      <c r="D3580" s="226" t="s">
        <v>508</v>
      </c>
    </row>
    <row r="3581" spans="1:4">
      <c r="A3581" s="226" t="s">
        <v>5670</v>
      </c>
      <c r="B3581" s="226">
        <v>540642</v>
      </c>
      <c r="C3581" s="226" t="s">
        <v>5671</v>
      </c>
      <c r="D3581" s="226" t="s">
        <v>883</v>
      </c>
    </row>
    <row r="3582" spans="1:4">
      <c r="A3582" s="226" t="s">
        <v>5672</v>
      </c>
      <c r="B3582" s="226">
        <v>540181</v>
      </c>
      <c r="C3582" s="226" t="s">
        <v>486</v>
      </c>
      <c r="D3582" s="226" t="s">
        <v>503</v>
      </c>
    </row>
    <row r="3583" spans="1:4">
      <c r="A3583" s="226" t="s">
        <v>5673</v>
      </c>
      <c r="B3583" s="226">
        <v>526554</v>
      </c>
      <c r="C3583" s="226" t="s">
        <v>486</v>
      </c>
      <c r="D3583" s="226" t="s">
        <v>680</v>
      </c>
    </row>
    <row r="3584" spans="1:4">
      <c r="A3584" s="226" t="s">
        <v>5674</v>
      </c>
      <c r="B3584" s="226">
        <v>590056</v>
      </c>
      <c r="C3584" s="226" t="s">
        <v>5675</v>
      </c>
      <c r="D3584" s="226" t="s">
        <v>501</v>
      </c>
    </row>
    <row r="3585" spans="1:4">
      <c r="A3585" s="226" t="s">
        <v>5676</v>
      </c>
      <c r="B3585" s="226">
        <v>500370</v>
      </c>
      <c r="C3585" s="226" t="s">
        <v>5677</v>
      </c>
      <c r="D3585" s="226" t="s">
        <v>508</v>
      </c>
    </row>
    <row r="3586" spans="1:4">
      <c r="A3586" s="226" t="s">
        <v>5678</v>
      </c>
      <c r="B3586" s="226">
        <v>517059</v>
      </c>
      <c r="C3586" s="226" t="s">
        <v>5679</v>
      </c>
      <c r="D3586" s="226" t="s">
        <v>783</v>
      </c>
    </row>
    <row r="3587" spans="1:4">
      <c r="A3587" s="226" t="s">
        <v>5680</v>
      </c>
      <c r="B3587" s="226">
        <v>532005</v>
      </c>
      <c r="C3587" s="226" t="s">
        <v>486</v>
      </c>
      <c r="D3587" s="226" t="s">
        <v>670</v>
      </c>
    </row>
    <row r="3588" spans="1:4">
      <c r="A3588" s="226" t="s">
        <v>5681</v>
      </c>
      <c r="B3588" s="226">
        <v>521240</v>
      </c>
      <c r="C3588" s="226" t="s">
        <v>486</v>
      </c>
      <c r="D3588" s="226" t="s">
        <v>501</v>
      </c>
    </row>
    <row r="3589" spans="1:4">
      <c r="A3589" s="226" t="s">
        <v>5682</v>
      </c>
      <c r="B3589" s="226">
        <v>511630</v>
      </c>
      <c r="C3589" s="226" t="s">
        <v>5683</v>
      </c>
      <c r="D3589" s="226" t="s">
        <v>1009</v>
      </c>
    </row>
    <row r="3590" spans="1:4">
      <c r="A3590" s="226" t="s">
        <v>5684</v>
      </c>
      <c r="B3590" s="226">
        <v>520075</v>
      </c>
      <c r="C3590" s="226" t="s">
        <v>486</v>
      </c>
      <c r="D3590" s="226" t="s">
        <v>840</v>
      </c>
    </row>
    <row r="3591" spans="1:4">
      <c r="A3591" s="226" t="s">
        <v>5685</v>
      </c>
      <c r="B3591" s="226">
        <v>530617</v>
      </c>
      <c r="C3591" s="226" t="s">
        <v>486</v>
      </c>
      <c r="D3591" s="226" t="s">
        <v>546</v>
      </c>
    </row>
    <row r="3592" spans="1:4">
      <c r="A3592" s="226" t="s">
        <v>5686</v>
      </c>
      <c r="B3592" s="226">
        <v>530125</v>
      </c>
      <c r="C3592" s="226" t="s">
        <v>486</v>
      </c>
      <c r="D3592" s="226" t="s">
        <v>524</v>
      </c>
    </row>
    <row r="3593" spans="1:4">
      <c r="A3593" s="226" t="s">
        <v>5687</v>
      </c>
      <c r="B3593" s="226">
        <v>500371</v>
      </c>
      <c r="C3593" s="226" t="s">
        <v>486</v>
      </c>
      <c r="D3593" s="226" t="s">
        <v>854</v>
      </c>
    </row>
    <row r="3594" spans="1:4">
      <c r="A3594" s="226" t="s">
        <v>5688</v>
      </c>
      <c r="B3594" s="226">
        <v>500371</v>
      </c>
      <c r="C3594" s="226" t="s">
        <v>486</v>
      </c>
      <c r="D3594" s="226" t="s">
        <v>854</v>
      </c>
    </row>
    <row r="3595" spans="1:4">
      <c r="A3595" s="226" t="s">
        <v>5689</v>
      </c>
      <c r="B3595" s="226">
        <v>521206</v>
      </c>
      <c r="C3595" s="226" t="s">
        <v>486</v>
      </c>
      <c r="D3595" s="226" t="s">
        <v>599</v>
      </c>
    </row>
    <row r="3596" spans="1:4">
      <c r="A3596" s="226" t="s">
        <v>5690</v>
      </c>
      <c r="B3596" s="226">
        <v>530025</v>
      </c>
      <c r="C3596" s="226" t="s">
        <v>486</v>
      </c>
      <c r="D3596" s="226" t="s">
        <v>906</v>
      </c>
    </row>
    <row r="3597" spans="1:4">
      <c r="A3597" s="226" t="s">
        <v>5691</v>
      </c>
      <c r="B3597" s="226">
        <v>780015</v>
      </c>
      <c r="C3597" s="226" t="s">
        <v>486</v>
      </c>
      <c r="D3597" s="226" t="s">
        <v>577</v>
      </c>
    </row>
    <row r="3598" spans="1:4">
      <c r="A3598" s="226" t="s">
        <v>5692</v>
      </c>
      <c r="B3598" s="226">
        <v>509423</v>
      </c>
      <c r="C3598" s="226" t="s">
        <v>486</v>
      </c>
      <c r="D3598" s="226" t="s">
        <v>534</v>
      </c>
    </row>
    <row r="3599" spans="1:4">
      <c r="A3599" s="226" t="s">
        <v>5693</v>
      </c>
      <c r="B3599" s="226">
        <v>521222</v>
      </c>
      <c r="C3599" s="226" t="s">
        <v>486</v>
      </c>
      <c r="D3599" s="226" t="s">
        <v>599</v>
      </c>
    </row>
    <row r="3600" spans="1:4">
      <c r="A3600" s="226" t="s">
        <v>5694</v>
      </c>
      <c r="B3600" s="226" t="s">
        <v>486</v>
      </c>
      <c r="C3600" s="226" t="s">
        <v>5695</v>
      </c>
      <c r="D3600" s="226" t="s">
        <v>577</v>
      </c>
    </row>
    <row r="3601" spans="1:4">
      <c r="A3601" s="226" t="s">
        <v>5696</v>
      </c>
      <c r="B3601" s="226">
        <v>523116</v>
      </c>
      <c r="C3601" s="226" t="s">
        <v>486</v>
      </c>
      <c r="D3601" s="226" t="s">
        <v>608</v>
      </c>
    </row>
    <row r="3602" spans="1:4">
      <c r="A3602" s="226" t="s">
        <v>5697</v>
      </c>
      <c r="B3602" s="226">
        <v>541163</v>
      </c>
      <c r="C3602" s="226" t="s">
        <v>5698</v>
      </c>
      <c r="D3602" s="226" t="s">
        <v>840</v>
      </c>
    </row>
    <row r="3603" spans="1:4">
      <c r="A3603" s="226" t="s">
        <v>5699</v>
      </c>
      <c r="B3603" s="226">
        <v>524703</v>
      </c>
      <c r="C3603" s="226" t="s">
        <v>486</v>
      </c>
      <c r="D3603" s="226" t="s">
        <v>524</v>
      </c>
    </row>
    <row r="3604" spans="1:4">
      <c r="A3604" s="226" t="s">
        <v>5700</v>
      </c>
      <c r="B3604" s="226">
        <v>504918</v>
      </c>
      <c r="C3604" s="226" t="s">
        <v>486</v>
      </c>
      <c r="D3604" s="226" t="s">
        <v>467</v>
      </c>
    </row>
    <row r="3605" spans="1:4">
      <c r="A3605" s="226" t="s">
        <v>5701</v>
      </c>
      <c r="B3605" s="226">
        <v>539392</v>
      </c>
      <c r="C3605" s="226" t="s">
        <v>486</v>
      </c>
      <c r="D3605" s="226" t="s">
        <v>508</v>
      </c>
    </row>
    <row r="3606" spans="1:4">
      <c r="A3606" s="226" t="s">
        <v>5702</v>
      </c>
      <c r="B3606" s="226">
        <v>539392</v>
      </c>
      <c r="C3606" s="226" t="s">
        <v>486</v>
      </c>
      <c r="D3606" s="226" t="s">
        <v>508</v>
      </c>
    </row>
    <row r="3607" spans="1:4">
      <c r="A3607" s="226" t="s">
        <v>5703</v>
      </c>
      <c r="B3607" s="226">
        <v>516096</v>
      </c>
      <c r="C3607" s="226" t="s">
        <v>486</v>
      </c>
      <c r="D3607" s="226" t="s">
        <v>480</v>
      </c>
    </row>
    <row r="3608" spans="1:4">
      <c r="A3608" s="226" t="s">
        <v>5704</v>
      </c>
      <c r="B3608" s="226">
        <v>514234</v>
      </c>
      <c r="C3608" s="226" t="s">
        <v>5705</v>
      </c>
      <c r="D3608" s="226" t="s">
        <v>501</v>
      </c>
    </row>
    <row r="3609" spans="1:4">
      <c r="A3609" s="226" t="s">
        <v>5706</v>
      </c>
      <c r="B3609" s="226">
        <v>514234</v>
      </c>
      <c r="C3609" s="226" t="s">
        <v>5705</v>
      </c>
      <c r="D3609" s="226" t="s">
        <v>501</v>
      </c>
    </row>
    <row r="3610" spans="1:4">
      <c r="A3610" s="226" t="s">
        <v>5707</v>
      </c>
      <c r="B3610" s="226">
        <v>534618</v>
      </c>
      <c r="C3610" s="226" t="s">
        <v>486</v>
      </c>
      <c r="D3610" s="226" t="s">
        <v>624</v>
      </c>
    </row>
    <row r="3611" spans="1:4">
      <c r="A3611" s="226" t="s">
        <v>5708</v>
      </c>
      <c r="B3611" s="226">
        <v>511640</v>
      </c>
      <c r="C3611" s="226" t="s">
        <v>486</v>
      </c>
      <c r="D3611" s="226" t="s">
        <v>503</v>
      </c>
    </row>
    <row r="3612" spans="1:4">
      <c r="A3612" s="226" t="s">
        <v>5709</v>
      </c>
      <c r="B3612" s="226">
        <v>526521</v>
      </c>
      <c r="C3612" s="226" t="s">
        <v>5710</v>
      </c>
      <c r="D3612" s="226" t="s">
        <v>499</v>
      </c>
    </row>
    <row r="3613" spans="1:4">
      <c r="A3613" s="226" t="s">
        <v>5711</v>
      </c>
      <c r="B3613" s="226">
        <v>540782</v>
      </c>
      <c r="C3613" s="226" t="s">
        <v>486</v>
      </c>
      <c r="D3613" s="226" t="s">
        <v>686</v>
      </c>
    </row>
    <row r="3614" spans="1:4">
      <c r="A3614" s="226" t="s">
        <v>5712</v>
      </c>
      <c r="B3614" s="226">
        <v>533411</v>
      </c>
      <c r="C3614" s="226" t="s">
        <v>5713</v>
      </c>
      <c r="D3614" s="226" t="s">
        <v>1403</v>
      </c>
    </row>
    <row r="3615" spans="1:4">
      <c r="A3615" s="226" t="s">
        <v>5714</v>
      </c>
      <c r="B3615" s="226">
        <v>530073</v>
      </c>
      <c r="C3615" s="226" t="s">
        <v>5715</v>
      </c>
      <c r="D3615" s="226" t="s">
        <v>608</v>
      </c>
    </row>
    <row r="3616" spans="1:4">
      <c r="A3616" s="226" t="s">
        <v>5716</v>
      </c>
      <c r="B3616" s="226" t="s">
        <v>486</v>
      </c>
      <c r="C3616" s="226" t="s">
        <v>5717</v>
      </c>
      <c r="D3616" s="226" t="s">
        <v>497</v>
      </c>
    </row>
    <row r="3617" spans="1:4">
      <c r="A3617" s="226" t="s">
        <v>5718</v>
      </c>
      <c r="B3617" s="226">
        <v>531898</v>
      </c>
      <c r="C3617" s="226" t="s">
        <v>486</v>
      </c>
      <c r="D3617" s="226" t="s">
        <v>489</v>
      </c>
    </row>
    <row r="3618" spans="1:4">
      <c r="A3618" s="226" t="s">
        <v>5719</v>
      </c>
      <c r="B3618" s="226">
        <v>531569</v>
      </c>
      <c r="C3618" s="226" t="s">
        <v>486</v>
      </c>
      <c r="D3618" s="226" t="s">
        <v>524</v>
      </c>
    </row>
    <row r="3619" spans="1:4">
      <c r="A3619" s="226" t="s">
        <v>5720</v>
      </c>
      <c r="B3619" s="226">
        <v>532972</v>
      </c>
      <c r="C3619" s="226" t="s">
        <v>486</v>
      </c>
      <c r="D3619" s="226" t="s">
        <v>579</v>
      </c>
    </row>
    <row r="3620" spans="1:4">
      <c r="A3620" s="226" t="s">
        <v>5721</v>
      </c>
      <c r="B3620" s="226">
        <v>532435</v>
      </c>
      <c r="C3620" s="226" t="s">
        <v>486</v>
      </c>
      <c r="D3620" s="226" t="s">
        <v>572</v>
      </c>
    </row>
    <row r="3621" spans="1:4">
      <c r="A3621" s="226" t="s">
        <v>5722</v>
      </c>
      <c r="B3621" s="226">
        <v>512062</v>
      </c>
      <c r="C3621" s="226" t="s">
        <v>486</v>
      </c>
      <c r="D3621" s="226" t="s">
        <v>906</v>
      </c>
    </row>
    <row r="3622" spans="1:4">
      <c r="A3622" s="226" t="s">
        <v>5723</v>
      </c>
      <c r="B3622" s="226">
        <v>500674</v>
      </c>
      <c r="C3622" s="226" t="s">
        <v>5724</v>
      </c>
      <c r="D3622" s="226" t="s">
        <v>524</v>
      </c>
    </row>
    <row r="3623" spans="1:4">
      <c r="A3623" s="226" t="s">
        <v>5725</v>
      </c>
      <c r="B3623" s="226">
        <v>500674</v>
      </c>
      <c r="C3623" s="226" t="s">
        <v>5724</v>
      </c>
      <c r="D3623" s="226" t="s">
        <v>524</v>
      </c>
    </row>
    <row r="3624" spans="1:4">
      <c r="A3624" s="226" t="s">
        <v>5726</v>
      </c>
      <c r="B3624" s="226">
        <v>514280</v>
      </c>
      <c r="C3624" s="226" t="s">
        <v>486</v>
      </c>
      <c r="D3624" s="226" t="s">
        <v>501</v>
      </c>
    </row>
    <row r="3625" spans="1:4">
      <c r="A3625" s="226" t="s">
        <v>5727</v>
      </c>
      <c r="B3625" s="226">
        <v>530035</v>
      </c>
      <c r="C3625" s="226" t="s">
        <v>486</v>
      </c>
      <c r="D3625" s="226" t="s">
        <v>501</v>
      </c>
    </row>
    <row r="3626" spans="1:4">
      <c r="A3626" s="226" t="s">
        <v>5728</v>
      </c>
      <c r="B3626" s="226">
        <v>540822</v>
      </c>
      <c r="C3626" s="226" t="s">
        <v>486</v>
      </c>
      <c r="D3626" s="226" t="s">
        <v>503</v>
      </c>
    </row>
    <row r="3627" spans="1:4">
      <c r="A3627" s="226" t="s">
        <v>5729</v>
      </c>
      <c r="B3627" s="226">
        <v>519260</v>
      </c>
      <c r="C3627" s="226" t="s">
        <v>5730</v>
      </c>
      <c r="D3627" s="226" t="s">
        <v>734</v>
      </c>
    </row>
    <row r="3628" spans="1:4">
      <c r="A3628" s="226" t="s">
        <v>5731</v>
      </c>
      <c r="B3628" s="226">
        <v>506906</v>
      </c>
      <c r="C3628" s="226" t="s">
        <v>486</v>
      </c>
      <c r="D3628" s="226" t="s">
        <v>508</v>
      </c>
    </row>
    <row r="3629" spans="1:4">
      <c r="A3629" s="226" t="s">
        <v>5732</v>
      </c>
      <c r="B3629" s="226">
        <v>519238</v>
      </c>
      <c r="C3629" s="226" t="s">
        <v>486</v>
      </c>
      <c r="D3629" s="226" t="s">
        <v>683</v>
      </c>
    </row>
    <row r="3630" spans="1:4">
      <c r="A3630" s="226" t="s">
        <v>5733</v>
      </c>
      <c r="B3630" s="226">
        <v>538992</v>
      </c>
      <c r="C3630" s="226" t="s">
        <v>486</v>
      </c>
      <c r="D3630" s="226" t="s">
        <v>840</v>
      </c>
    </row>
    <row r="3631" spans="1:4">
      <c r="A3631" s="226" t="s">
        <v>5734</v>
      </c>
      <c r="B3631" s="226">
        <v>512020</v>
      </c>
      <c r="C3631" s="226" t="s">
        <v>486</v>
      </c>
      <c r="D3631" s="226" t="s">
        <v>503</v>
      </c>
    </row>
    <row r="3632" spans="1:4">
      <c r="A3632" s="226" t="s">
        <v>5735</v>
      </c>
      <c r="B3632" s="226">
        <v>512020</v>
      </c>
      <c r="C3632" s="226" t="s">
        <v>486</v>
      </c>
      <c r="D3632" s="226" t="s">
        <v>503</v>
      </c>
    </row>
    <row r="3633" spans="1:4">
      <c r="A3633" s="226" t="s">
        <v>5736</v>
      </c>
      <c r="B3633" s="226">
        <v>504614</v>
      </c>
      <c r="C3633" s="226" t="s">
        <v>5737</v>
      </c>
      <c r="D3633" s="226" t="s">
        <v>518</v>
      </c>
    </row>
    <row r="3634" spans="1:4">
      <c r="A3634" s="226" t="s">
        <v>5738</v>
      </c>
      <c r="B3634" s="226">
        <v>516032</v>
      </c>
      <c r="C3634" s="226" t="s">
        <v>486</v>
      </c>
      <c r="D3634" s="226" t="s">
        <v>480</v>
      </c>
    </row>
    <row r="3635" spans="1:4">
      <c r="A3635" s="226" t="s">
        <v>5739</v>
      </c>
      <c r="B3635" s="226">
        <v>516003</v>
      </c>
      <c r="C3635" s="226" t="s">
        <v>486</v>
      </c>
      <c r="D3635" s="226" t="s">
        <v>980</v>
      </c>
    </row>
    <row r="3636" spans="1:4">
      <c r="A3636" s="226" t="s">
        <v>5740</v>
      </c>
      <c r="B3636" s="226">
        <v>519242</v>
      </c>
      <c r="C3636" s="226" t="s">
        <v>486</v>
      </c>
      <c r="D3636" s="226" t="s">
        <v>734</v>
      </c>
    </row>
    <row r="3637" spans="1:4">
      <c r="A3637" s="226" t="s">
        <v>5741</v>
      </c>
      <c r="B3637" s="226">
        <v>532163</v>
      </c>
      <c r="C3637" s="226" t="s">
        <v>5742</v>
      </c>
      <c r="D3637" s="226" t="s">
        <v>489</v>
      </c>
    </row>
    <row r="3638" spans="1:4">
      <c r="A3638" s="226" t="s">
        <v>5743</v>
      </c>
      <c r="B3638" s="226">
        <v>532163</v>
      </c>
      <c r="C3638" s="226" t="s">
        <v>5742</v>
      </c>
      <c r="D3638" s="226" t="s">
        <v>489</v>
      </c>
    </row>
    <row r="3639" spans="1:4">
      <c r="A3639" s="226" t="s">
        <v>5744</v>
      </c>
      <c r="B3639" s="226">
        <v>526885</v>
      </c>
      <c r="C3639" s="226" t="s">
        <v>5745</v>
      </c>
      <c r="D3639" s="226" t="s">
        <v>501</v>
      </c>
    </row>
    <row r="3640" spans="1:4">
      <c r="A3640" s="226" t="s">
        <v>5746</v>
      </c>
      <c r="B3640" s="226">
        <v>530993</v>
      </c>
      <c r="C3640" s="226" t="s">
        <v>486</v>
      </c>
      <c r="D3640" s="226" t="s">
        <v>508</v>
      </c>
    </row>
    <row r="3641" spans="1:4">
      <c r="A3641" s="226" t="s">
        <v>5747</v>
      </c>
      <c r="B3641" s="226">
        <v>531930</v>
      </c>
      <c r="C3641" s="226" t="s">
        <v>486</v>
      </c>
      <c r="D3641" s="226" t="s">
        <v>1403</v>
      </c>
    </row>
    <row r="3642" spans="1:4">
      <c r="A3642" s="226" t="s">
        <v>5748</v>
      </c>
      <c r="B3642" s="226">
        <v>540393</v>
      </c>
      <c r="C3642" s="226" t="s">
        <v>486</v>
      </c>
      <c r="D3642" s="226" t="s">
        <v>808</v>
      </c>
    </row>
    <row r="3643" spans="1:4">
      <c r="A3643" s="226" t="s">
        <v>5749</v>
      </c>
      <c r="B3643" s="226">
        <v>514412</v>
      </c>
      <c r="C3643" s="226" t="s">
        <v>486</v>
      </c>
      <c r="D3643" s="226" t="s">
        <v>599</v>
      </c>
    </row>
    <row r="3644" spans="1:4">
      <c r="A3644" s="226" t="s">
        <v>5750</v>
      </c>
      <c r="B3644" s="226">
        <v>506190</v>
      </c>
      <c r="C3644" s="226" t="s">
        <v>486</v>
      </c>
      <c r="D3644" s="226" t="s">
        <v>906</v>
      </c>
    </row>
    <row r="3645" spans="1:4">
      <c r="A3645" s="226" t="s">
        <v>5751</v>
      </c>
      <c r="B3645" s="226" t="s">
        <v>486</v>
      </c>
      <c r="C3645" s="226" t="s">
        <v>5752</v>
      </c>
      <c r="D3645" s="226" t="s">
        <v>497</v>
      </c>
    </row>
    <row r="3646" spans="1:4">
      <c r="A3646" s="226" t="s">
        <v>5753</v>
      </c>
      <c r="B3646" s="226">
        <v>539124</v>
      </c>
      <c r="C3646" s="226" t="s">
        <v>486</v>
      </c>
      <c r="D3646" s="226" t="s">
        <v>503</v>
      </c>
    </row>
    <row r="3647" spans="1:4">
      <c r="A3647" s="226" t="s">
        <v>5754</v>
      </c>
      <c r="B3647" s="226">
        <v>506313</v>
      </c>
      <c r="C3647" s="226" t="s">
        <v>486</v>
      </c>
      <c r="D3647" s="226" t="s">
        <v>1013</v>
      </c>
    </row>
    <row r="3648" spans="1:4">
      <c r="A3648" s="226" t="s">
        <v>5755</v>
      </c>
      <c r="B3648" s="226">
        <v>532663</v>
      </c>
      <c r="C3648" s="226" t="s">
        <v>5756</v>
      </c>
      <c r="D3648" s="226" t="s">
        <v>473</v>
      </c>
    </row>
    <row r="3649" spans="1:4">
      <c r="A3649" s="226" t="s">
        <v>5757</v>
      </c>
      <c r="B3649" s="226">
        <v>533259</v>
      </c>
      <c r="C3649" s="226" t="s">
        <v>5758</v>
      </c>
      <c r="D3649" s="226" t="s">
        <v>674</v>
      </c>
    </row>
    <row r="3650" spans="1:4">
      <c r="A3650" s="226" t="s">
        <v>5759</v>
      </c>
      <c r="B3650" s="226">
        <v>511076</v>
      </c>
      <c r="C3650" s="226" t="s">
        <v>486</v>
      </c>
      <c r="D3650" s="226" t="s">
        <v>508</v>
      </c>
    </row>
    <row r="3651" spans="1:4">
      <c r="A3651" s="226" t="s">
        <v>5760</v>
      </c>
      <c r="B3651" s="226">
        <v>526093</v>
      </c>
      <c r="C3651" s="226" t="s">
        <v>5761</v>
      </c>
      <c r="D3651" s="226" t="s">
        <v>518</v>
      </c>
    </row>
    <row r="3652" spans="1:4">
      <c r="A3652" s="226" t="s">
        <v>5762</v>
      </c>
      <c r="B3652" s="226">
        <v>539201</v>
      </c>
      <c r="C3652" s="226" t="s">
        <v>486</v>
      </c>
      <c r="D3652" s="226" t="s">
        <v>480</v>
      </c>
    </row>
    <row r="3653" spans="1:4">
      <c r="A3653" s="226" t="s">
        <v>5763</v>
      </c>
      <c r="B3653" s="226">
        <v>539404</v>
      </c>
      <c r="C3653" s="226" t="s">
        <v>5764</v>
      </c>
      <c r="D3653" s="226" t="s">
        <v>503</v>
      </c>
    </row>
    <row r="3654" spans="1:4">
      <c r="A3654" s="226" t="s">
        <v>5765</v>
      </c>
      <c r="B3654" s="226">
        <v>536592</v>
      </c>
      <c r="C3654" s="226" t="s">
        <v>486</v>
      </c>
      <c r="D3654" s="226" t="s">
        <v>503</v>
      </c>
    </row>
    <row r="3655" spans="1:4">
      <c r="A3655" s="226" t="s">
        <v>5766</v>
      </c>
      <c r="B3655" s="226">
        <v>508996</v>
      </c>
      <c r="C3655" s="226" t="s">
        <v>5767</v>
      </c>
      <c r="D3655" s="226" t="s">
        <v>572</v>
      </c>
    </row>
    <row r="3656" spans="1:4">
      <c r="A3656" s="226" t="s">
        <v>5768</v>
      </c>
      <c r="B3656" s="226">
        <v>503893</v>
      </c>
      <c r="C3656" s="226" t="s">
        <v>486</v>
      </c>
      <c r="D3656" s="226" t="s">
        <v>470</v>
      </c>
    </row>
    <row r="3657" spans="1:4">
      <c r="A3657" s="226" t="s">
        <v>5769</v>
      </c>
      <c r="B3657" s="226">
        <v>539218</v>
      </c>
      <c r="C3657" s="226" t="s">
        <v>486</v>
      </c>
      <c r="D3657" s="226" t="s">
        <v>503</v>
      </c>
    </row>
    <row r="3658" spans="1:4">
      <c r="A3658" s="226" t="s">
        <v>5770</v>
      </c>
      <c r="B3658" s="226">
        <v>502175</v>
      </c>
      <c r="C3658" s="226" t="s">
        <v>486</v>
      </c>
      <c r="D3658" s="226" t="s">
        <v>499</v>
      </c>
    </row>
    <row r="3659" spans="1:4">
      <c r="A3659" s="226" t="s">
        <v>5771</v>
      </c>
      <c r="B3659" s="226">
        <v>511577</v>
      </c>
      <c r="C3659" s="226" t="s">
        <v>486</v>
      </c>
      <c r="D3659" s="226" t="s">
        <v>503</v>
      </c>
    </row>
    <row r="3660" spans="1:4">
      <c r="A3660" s="226" t="s">
        <v>5772</v>
      </c>
      <c r="B3660" s="226">
        <v>517320</v>
      </c>
      <c r="C3660" s="226" t="s">
        <v>486</v>
      </c>
      <c r="D3660" s="226" t="s">
        <v>783</v>
      </c>
    </row>
    <row r="3661" spans="1:4">
      <c r="A3661" s="226" t="s">
        <v>5773</v>
      </c>
      <c r="B3661" s="226">
        <v>532404</v>
      </c>
      <c r="C3661" s="226" t="s">
        <v>486</v>
      </c>
      <c r="D3661" s="226" t="s">
        <v>579</v>
      </c>
    </row>
    <row r="3662" spans="1:4">
      <c r="A3662" s="226" t="s">
        <v>5774</v>
      </c>
      <c r="B3662" s="226">
        <v>512634</v>
      </c>
      <c r="C3662" s="226" t="s">
        <v>486</v>
      </c>
      <c r="D3662" s="226" t="s">
        <v>686</v>
      </c>
    </row>
    <row r="3663" spans="1:4">
      <c r="A3663" s="226" t="s">
        <v>5775</v>
      </c>
      <c r="B3663" s="226">
        <v>524667</v>
      </c>
      <c r="C3663" s="226" t="s">
        <v>5776</v>
      </c>
      <c r="D3663" s="226" t="s">
        <v>1412</v>
      </c>
    </row>
    <row r="3664" spans="1:4">
      <c r="A3664" s="226" t="s">
        <v>5777</v>
      </c>
      <c r="B3664" s="226">
        <v>531893</v>
      </c>
      <c r="C3664" s="226" t="s">
        <v>486</v>
      </c>
      <c r="D3664" s="226" t="s">
        <v>906</v>
      </c>
    </row>
    <row r="3665" spans="1:4">
      <c r="A3665" s="226" t="s">
        <v>5778</v>
      </c>
      <c r="B3665" s="226">
        <v>523710</v>
      </c>
      <c r="C3665" s="226" t="s">
        <v>486</v>
      </c>
      <c r="D3665" s="226" t="s">
        <v>686</v>
      </c>
    </row>
    <row r="3666" spans="1:4">
      <c r="A3666" s="226" t="s">
        <v>5779</v>
      </c>
      <c r="B3666" s="226">
        <v>540728</v>
      </c>
      <c r="C3666" s="226" t="s">
        <v>486</v>
      </c>
      <c r="D3666" s="226" t="s">
        <v>346</v>
      </c>
    </row>
    <row r="3667" spans="1:4">
      <c r="A3667" s="226" t="s">
        <v>5780</v>
      </c>
      <c r="B3667" s="226">
        <v>532102</v>
      </c>
      <c r="C3667" s="226" t="s">
        <v>486</v>
      </c>
      <c r="D3667" s="226" t="s">
        <v>1184</v>
      </c>
    </row>
    <row r="3668" spans="1:4">
      <c r="A3668" s="226" t="s">
        <v>5781</v>
      </c>
      <c r="B3668" s="226">
        <v>540719</v>
      </c>
      <c r="C3668" s="226" t="s">
        <v>5782</v>
      </c>
      <c r="D3668" s="226" t="s">
        <v>2895</v>
      </c>
    </row>
    <row r="3669" spans="1:4">
      <c r="A3669" s="226" t="s">
        <v>5783</v>
      </c>
      <c r="B3669" s="226">
        <v>590098</v>
      </c>
      <c r="C3669" s="226" t="s">
        <v>5784</v>
      </c>
      <c r="D3669" s="226" t="s">
        <v>470</v>
      </c>
    </row>
    <row r="3670" spans="1:4">
      <c r="A3670" s="226" t="s">
        <v>5785</v>
      </c>
      <c r="B3670" s="226">
        <v>526081</v>
      </c>
      <c r="C3670" s="226" t="s">
        <v>5786</v>
      </c>
      <c r="D3670" s="226" t="s">
        <v>546</v>
      </c>
    </row>
    <row r="3671" spans="1:4">
      <c r="A3671" s="226" t="s">
        <v>5787</v>
      </c>
      <c r="B3671" s="226">
        <v>531797</v>
      </c>
      <c r="C3671" s="226" t="s">
        <v>486</v>
      </c>
      <c r="D3671" s="226" t="s">
        <v>499</v>
      </c>
    </row>
    <row r="3672" spans="1:4">
      <c r="A3672" s="226" t="s">
        <v>5788</v>
      </c>
      <c r="B3672" s="226">
        <v>511672</v>
      </c>
      <c r="C3672" s="226" t="s">
        <v>486</v>
      </c>
      <c r="D3672" s="226" t="s">
        <v>518</v>
      </c>
    </row>
    <row r="3673" spans="1:4">
      <c r="A3673" s="226" t="s">
        <v>5789</v>
      </c>
      <c r="B3673" s="226">
        <v>516110</v>
      </c>
      <c r="C3673" s="226" t="s">
        <v>5790</v>
      </c>
      <c r="D3673" s="226" t="s">
        <v>674</v>
      </c>
    </row>
    <row r="3674" spans="1:4">
      <c r="A3674" s="226" t="s">
        <v>5791</v>
      </c>
      <c r="B3674" s="226">
        <v>526544</v>
      </c>
      <c r="C3674" s="226" t="s">
        <v>486</v>
      </c>
      <c r="D3674" s="226" t="s">
        <v>492</v>
      </c>
    </row>
    <row r="3675" spans="1:4">
      <c r="A3675" s="226" t="s">
        <v>5792</v>
      </c>
      <c r="B3675" s="226">
        <v>507894</v>
      </c>
      <c r="C3675" s="226" t="s">
        <v>486</v>
      </c>
      <c r="D3675" s="226" t="s">
        <v>762</v>
      </c>
    </row>
    <row r="3676" spans="1:4">
      <c r="A3676" s="226" t="s">
        <v>5793</v>
      </c>
      <c r="B3676" s="226">
        <v>507894</v>
      </c>
      <c r="C3676" s="226" t="s">
        <v>486</v>
      </c>
      <c r="D3676" s="226" t="s">
        <v>762</v>
      </c>
    </row>
    <row r="3677" spans="1:4">
      <c r="A3677" s="226" t="s">
        <v>5794</v>
      </c>
      <c r="B3677" s="226">
        <v>505790</v>
      </c>
      <c r="C3677" s="226" t="s">
        <v>5795</v>
      </c>
      <c r="D3677" s="226" t="s">
        <v>494</v>
      </c>
    </row>
    <row r="3678" spans="1:4">
      <c r="A3678" s="226" t="s">
        <v>5796</v>
      </c>
      <c r="B3678" s="226">
        <v>505790</v>
      </c>
      <c r="C3678" s="226" t="s">
        <v>5795</v>
      </c>
      <c r="D3678" s="226" t="s">
        <v>494</v>
      </c>
    </row>
    <row r="3679" spans="1:4">
      <c r="A3679" s="226" t="s">
        <v>5797</v>
      </c>
      <c r="B3679" s="226">
        <v>534139</v>
      </c>
      <c r="C3679" s="226" t="s">
        <v>5798</v>
      </c>
      <c r="D3679" s="226" t="s">
        <v>529</v>
      </c>
    </row>
    <row r="3680" spans="1:4">
      <c r="A3680" s="226" t="s">
        <v>5799</v>
      </c>
      <c r="B3680" s="226">
        <v>538857</v>
      </c>
      <c r="C3680" s="226" t="s">
        <v>486</v>
      </c>
      <c r="D3680" s="226" t="s">
        <v>503</v>
      </c>
    </row>
    <row r="3681" spans="1:4">
      <c r="A3681" s="226" t="s">
        <v>5800</v>
      </c>
      <c r="B3681" s="226">
        <v>505141</v>
      </c>
      <c r="C3681" s="226" t="s">
        <v>486</v>
      </c>
      <c r="D3681" s="226" t="s">
        <v>1143</v>
      </c>
    </row>
    <row r="3682" spans="1:4">
      <c r="A3682" s="226" t="s">
        <v>5801</v>
      </c>
      <c r="B3682" s="226">
        <v>505141</v>
      </c>
      <c r="C3682" s="226" t="s">
        <v>486</v>
      </c>
      <c r="D3682" s="226" t="s">
        <v>1143</v>
      </c>
    </row>
    <row r="3683" spans="1:4">
      <c r="A3683" s="226" t="s">
        <v>5802</v>
      </c>
      <c r="B3683" s="226">
        <v>530361</v>
      </c>
      <c r="C3683" s="226" t="s">
        <v>486</v>
      </c>
      <c r="D3683" s="226" t="s">
        <v>546</v>
      </c>
    </row>
    <row r="3684" spans="1:4">
      <c r="A3684" s="226" t="s">
        <v>5803</v>
      </c>
      <c r="B3684" s="226">
        <v>533268</v>
      </c>
      <c r="C3684" s="226" t="s">
        <v>486</v>
      </c>
      <c r="D3684" s="226" t="s">
        <v>1222</v>
      </c>
    </row>
    <row r="3685" spans="1:4">
      <c r="A3685" s="226" t="s">
        <v>5804</v>
      </c>
      <c r="B3685" s="226">
        <v>526807</v>
      </c>
      <c r="C3685" s="226" t="s">
        <v>5805</v>
      </c>
      <c r="D3685" s="226" t="s">
        <v>1731</v>
      </c>
    </row>
    <row r="3686" spans="1:4">
      <c r="A3686" s="226" t="s">
        <v>5806</v>
      </c>
      <c r="B3686" s="226">
        <v>521182</v>
      </c>
      <c r="C3686" s="226" t="s">
        <v>486</v>
      </c>
      <c r="D3686" s="226" t="s">
        <v>508</v>
      </c>
    </row>
    <row r="3687" spans="1:4">
      <c r="A3687" s="226" t="s">
        <v>5807</v>
      </c>
      <c r="B3687" s="226">
        <v>514264</v>
      </c>
      <c r="C3687" s="226" t="s">
        <v>486</v>
      </c>
      <c r="D3687" s="226" t="s">
        <v>501</v>
      </c>
    </row>
    <row r="3688" spans="1:4">
      <c r="A3688" s="226" t="s">
        <v>5808</v>
      </c>
      <c r="B3688" s="226" t="s">
        <v>486</v>
      </c>
      <c r="C3688" s="226" t="s">
        <v>5809</v>
      </c>
      <c r="D3688" s="226" t="s">
        <v>497</v>
      </c>
    </row>
    <row r="3689" spans="1:4">
      <c r="A3689" s="226" t="s">
        <v>5810</v>
      </c>
      <c r="B3689" s="226">
        <v>540673</v>
      </c>
      <c r="C3689" s="226" t="s">
        <v>5811</v>
      </c>
      <c r="D3689" s="226" t="s">
        <v>3263</v>
      </c>
    </row>
    <row r="3690" spans="1:4">
      <c r="A3690" s="226" t="s">
        <v>5812</v>
      </c>
      <c r="B3690" s="226">
        <v>540673</v>
      </c>
      <c r="C3690" s="226" t="s">
        <v>5811</v>
      </c>
      <c r="D3690" s="226" t="s">
        <v>3263</v>
      </c>
    </row>
    <row r="3691" spans="1:4">
      <c r="A3691" s="226" t="s">
        <v>5813</v>
      </c>
      <c r="B3691" s="226">
        <v>532886</v>
      </c>
      <c r="C3691" s="226" t="s">
        <v>5814</v>
      </c>
      <c r="D3691" s="226" t="s">
        <v>501</v>
      </c>
    </row>
    <row r="3692" spans="1:4">
      <c r="A3692" s="226" t="s">
        <v>5815</v>
      </c>
      <c r="B3692" s="226">
        <v>530075</v>
      </c>
      <c r="C3692" s="226" t="s">
        <v>5816</v>
      </c>
      <c r="D3692" s="226" t="s">
        <v>549</v>
      </c>
    </row>
    <row r="3693" spans="1:4">
      <c r="A3693" s="226" t="s">
        <v>5817</v>
      </c>
      <c r="B3693" s="226">
        <v>538875</v>
      </c>
      <c r="C3693" s="226" t="s">
        <v>486</v>
      </c>
      <c r="D3693" s="226" t="s">
        <v>906</v>
      </c>
    </row>
    <row r="3694" spans="1:4">
      <c r="A3694" s="226" t="s">
        <v>5818</v>
      </c>
      <c r="B3694" s="226">
        <v>532021</v>
      </c>
      <c r="C3694" s="226" t="s">
        <v>486</v>
      </c>
      <c r="D3694" s="226" t="s">
        <v>524</v>
      </c>
    </row>
    <row r="3695" spans="1:4">
      <c r="A3695" s="226" t="s">
        <v>5819</v>
      </c>
      <c r="B3695" s="226">
        <v>531980</v>
      </c>
      <c r="C3695" s="226" t="s">
        <v>486</v>
      </c>
      <c r="D3695" s="226" t="s">
        <v>473</v>
      </c>
    </row>
    <row r="3696" spans="1:4">
      <c r="A3696" s="226" t="s">
        <v>5820</v>
      </c>
      <c r="B3696" s="226">
        <v>512529</v>
      </c>
      <c r="C3696" s="226" t="s">
        <v>5821</v>
      </c>
      <c r="D3696" s="226" t="s">
        <v>524</v>
      </c>
    </row>
    <row r="3697" spans="1:4">
      <c r="A3697" s="226" t="s">
        <v>5822</v>
      </c>
      <c r="B3697" s="226" t="s">
        <v>486</v>
      </c>
      <c r="C3697" s="226" t="s">
        <v>5823</v>
      </c>
      <c r="D3697" s="226" t="s">
        <v>497</v>
      </c>
    </row>
    <row r="3698" spans="1:4">
      <c r="A3698" s="226" t="s">
        <v>5824</v>
      </c>
      <c r="B3698" s="226">
        <v>502450</v>
      </c>
      <c r="C3698" s="226" t="s">
        <v>5825</v>
      </c>
      <c r="D3698" s="226" t="s">
        <v>480</v>
      </c>
    </row>
    <row r="3699" spans="1:4">
      <c r="A3699" s="226" t="s">
        <v>5826</v>
      </c>
      <c r="B3699" s="226">
        <v>505075</v>
      </c>
      <c r="C3699" s="226" t="s">
        <v>5827</v>
      </c>
      <c r="D3699" s="226" t="s">
        <v>840</v>
      </c>
    </row>
    <row r="3700" spans="1:4">
      <c r="A3700" s="226" t="s">
        <v>5828</v>
      </c>
      <c r="B3700" s="226">
        <v>511760</v>
      </c>
      <c r="C3700" s="226" t="s">
        <v>486</v>
      </c>
      <c r="D3700" s="226" t="s">
        <v>503</v>
      </c>
    </row>
    <row r="3701" spans="1:4">
      <c r="A3701" s="226" t="s">
        <v>5829</v>
      </c>
      <c r="B3701" s="226">
        <v>524324</v>
      </c>
      <c r="C3701" s="226" t="s">
        <v>486</v>
      </c>
      <c r="D3701" s="226" t="s">
        <v>645</v>
      </c>
    </row>
    <row r="3702" spans="1:4">
      <c r="A3702" s="226" t="s">
        <v>5830</v>
      </c>
      <c r="B3702" s="226">
        <v>532993</v>
      </c>
      <c r="C3702" s="226" t="s">
        <v>5831</v>
      </c>
      <c r="D3702" s="226" t="s">
        <v>1013</v>
      </c>
    </row>
    <row r="3703" spans="1:4">
      <c r="A3703" s="226" t="s">
        <v>5832</v>
      </c>
      <c r="B3703" s="226">
        <v>530867</v>
      </c>
      <c r="C3703" s="226" t="s">
        <v>486</v>
      </c>
      <c r="D3703" s="226" t="s">
        <v>470</v>
      </c>
    </row>
    <row r="3704" spans="1:4">
      <c r="A3704" s="226" t="s">
        <v>5833</v>
      </c>
      <c r="B3704" s="226">
        <v>524546</v>
      </c>
      <c r="C3704" s="226" t="s">
        <v>486</v>
      </c>
      <c r="D3704" s="226" t="s">
        <v>524</v>
      </c>
    </row>
    <row r="3705" spans="1:4">
      <c r="A3705" s="226" t="s">
        <v>5834</v>
      </c>
      <c r="B3705" s="226">
        <v>513436</v>
      </c>
      <c r="C3705" s="226" t="s">
        <v>5835</v>
      </c>
      <c r="D3705" s="226" t="s">
        <v>518</v>
      </c>
    </row>
    <row r="3706" spans="1:4">
      <c r="A3706" s="226" t="s">
        <v>5836</v>
      </c>
      <c r="B3706" s="226">
        <v>509870</v>
      </c>
      <c r="C3706" s="226" t="s">
        <v>486</v>
      </c>
      <c r="D3706" s="226" t="s">
        <v>572</v>
      </c>
    </row>
    <row r="3707" spans="1:4">
      <c r="A3707" s="226" t="s">
        <v>5837</v>
      </c>
      <c r="B3707" s="226">
        <v>519031</v>
      </c>
      <c r="C3707" s="226" t="s">
        <v>486</v>
      </c>
      <c r="D3707" s="226" t="s">
        <v>546</v>
      </c>
    </row>
    <row r="3708" spans="1:4">
      <c r="A3708" s="226" t="s">
        <v>5838</v>
      </c>
      <c r="B3708" s="226">
        <v>526508</v>
      </c>
      <c r="C3708" s="226" t="s">
        <v>486</v>
      </c>
      <c r="D3708" s="226" t="s">
        <v>1731</v>
      </c>
    </row>
    <row r="3709" spans="1:4">
      <c r="A3709" s="226" t="s">
        <v>5839</v>
      </c>
      <c r="B3709" s="226">
        <v>539520</v>
      </c>
      <c r="C3709" s="226" t="s">
        <v>486</v>
      </c>
      <c r="D3709" s="226" t="s">
        <v>508</v>
      </c>
    </row>
    <row r="3710" spans="1:4">
      <c r="A3710" s="226" t="s">
        <v>5840</v>
      </c>
      <c r="B3710" s="226">
        <v>501423</v>
      </c>
      <c r="C3710" s="226" t="s">
        <v>486</v>
      </c>
      <c r="D3710" s="226" t="s">
        <v>605</v>
      </c>
    </row>
    <row r="3711" spans="1:4">
      <c r="A3711" s="226" t="s">
        <v>5841</v>
      </c>
      <c r="B3711" s="226" t="s">
        <v>486</v>
      </c>
      <c r="C3711" s="226" t="s">
        <v>5842</v>
      </c>
      <c r="D3711" s="226" t="s">
        <v>497</v>
      </c>
    </row>
    <row r="3712" spans="1:4">
      <c r="A3712" s="226" t="s">
        <v>5843</v>
      </c>
      <c r="B3712" s="226">
        <v>531431</v>
      </c>
      <c r="C3712" s="226" t="s">
        <v>5844</v>
      </c>
      <c r="D3712" s="226" t="s">
        <v>494</v>
      </c>
    </row>
    <row r="3713" spans="1:4">
      <c r="A3713" s="226" t="s">
        <v>5845</v>
      </c>
      <c r="B3713" s="226">
        <v>531431</v>
      </c>
      <c r="C3713" s="226" t="s">
        <v>5844</v>
      </c>
      <c r="D3713" s="226" t="s">
        <v>494</v>
      </c>
    </row>
    <row r="3714" spans="1:4">
      <c r="A3714" s="226" t="s">
        <v>5846</v>
      </c>
      <c r="B3714" s="226">
        <v>540797</v>
      </c>
      <c r="C3714" s="226" t="s">
        <v>5847</v>
      </c>
      <c r="D3714" s="226" t="s">
        <v>955</v>
      </c>
    </row>
    <row r="3715" spans="1:4">
      <c r="A3715" s="226" t="s">
        <v>5848</v>
      </c>
      <c r="B3715" s="226">
        <v>511754</v>
      </c>
      <c r="C3715" s="226" t="s">
        <v>486</v>
      </c>
      <c r="D3715" s="226" t="s">
        <v>503</v>
      </c>
    </row>
    <row r="3716" spans="1:4">
      <c r="A3716" s="226" t="s">
        <v>5849</v>
      </c>
      <c r="B3716" s="226">
        <v>539895</v>
      </c>
      <c r="C3716" s="226" t="s">
        <v>486</v>
      </c>
      <c r="D3716" s="226" t="s">
        <v>470</v>
      </c>
    </row>
    <row r="3717" spans="1:4">
      <c r="A3717" s="226" t="s">
        <v>5850</v>
      </c>
      <c r="B3717" s="226">
        <v>509874</v>
      </c>
      <c r="C3717" s="226" t="s">
        <v>5851</v>
      </c>
      <c r="D3717" s="226" t="s">
        <v>762</v>
      </c>
    </row>
    <row r="3718" spans="1:4">
      <c r="A3718" s="226" t="s">
        <v>5852</v>
      </c>
      <c r="B3718" s="226">
        <v>512499</v>
      </c>
      <c r="C3718" s="226" t="s">
        <v>486</v>
      </c>
      <c r="D3718" s="226" t="s">
        <v>470</v>
      </c>
    </row>
    <row r="3719" spans="1:4">
      <c r="A3719" s="226" t="s">
        <v>5853</v>
      </c>
      <c r="B3719" s="226">
        <v>532455</v>
      </c>
      <c r="C3719" s="226" t="s">
        <v>486</v>
      </c>
      <c r="D3719" s="226" t="s">
        <v>560</v>
      </c>
    </row>
    <row r="3720" spans="1:4">
      <c r="A3720" s="226" t="s">
        <v>5854</v>
      </c>
      <c r="B3720" s="226">
        <v>540259</v>
      </c>
      <c r="C3720" s="226" t="s">
        <v>486</v>
      </c>
      <c r="D3720" s="226" t="s">
        <v>3263</v>
      </c>
    </row>
    <row r="3721" spans="1:4">
      <c r="A3721" s="226" t="s">
        <v>5855</v>
      </c>
      <c r="B3721" s="226">
        <v>542232</v>
      </c>
      <c r="C3721" s="226" t="s">
        <v>5856</v>
      </c>
      <c r="D3721" s="226" t="s">
        <v>851</v>
      </c>
    </row>
    <row r="3722" spans="1:4">
      <c r="A3722" s="226" t="s">
        <v>5857</v>
      </c>
      <c r="B3722" s="226">
        <v>540425</v>
      </c>
      <c r="C3722" s="226" t="s">
        <v>5858</v>
      </c>
      <c r="D3722" s="226" t="s">
        <v>808</v>
      </c>
    </row>
    <row r="3723" spans="1:4">
      <c r="A3723" s="226" t="s">
        <v>5859</v>
      </c>
      <c r="B3723" s="226">
        <v>512297</v>
      </c>
      <c r="C3723" s="226" t="s">
        <v>486</v>
      </c>
      <c r="D3723" s="226" t="s">
        <v>494</v>
      </c>
    </row>
    <row r="3724" spans="1:4">
      <c r="A3724" s="226" t="s">
        <v>5860</v>
      </c>
      <c r="B3724" s="226">
        <v>531925</v>
      </c>
      <c r="C3724" s="226" t="s">
        <v>486</v>
      </c>
      <c r="D3724" s="226" t="s">
        <v>546</v>
      </c>
    </row>
    <row r="3725" spans="1:4">
      <c r="A3725" s="226" t="s">
        <v>5861</v>
      </c>
      <c r="B3725" s="226">
        <v>522034</v>
      </c>
      <c r="C3725" s="226" t="s">
        <v>5862</v>
      </c>
      <c r="D3725" s="226" t="s">
        <v>840</v>
      </c>
    </row>
    <row r="3726" spans="1:4">
      <c r="A3726" s="226" t="s">
        <v>5863</v>
      </c>
      <c r="B3726" s="226">
        <v>539921</v>
      </c>
      <c r="C3726" s="226" t="s">
        <v>486</v>
      </c>
      <c r="D3726" s="226" t="s">
        <v>349</v>
      </c>
    </row>
    <row r="3727" spans="1:4">
      <c r="A3727" s="226" t="s">
        <v>5864</v>
      </c>
      <c r="B3727" s="226" t="s">
        <v>486</v>
      </c>
      <c r="C3727" s="226" t="s">
        <v>5865</v>
      </c>
      <c r="D3727" s="226" t="s">
        <v>497</v>
      </c>
    </row>
    <row r="3728" spans="1:4">
      <c r="A3728" s="226" t="s">
        <v>5866</v>
      </c>
      <c r="B3728" s="226" t="s">
        <v>486</v>
      </c>
      <c r="C3728" s="226" t="s">
        <v>5865</v>
      </c>
      <c r="D3728" s="226" t="s">
        <v>497</v>
      </c>
    </row>
    <row r="3729" spans="1:4">
      <c r="A3729" s="226" t="s">
        <v>5867</v>
      </c>
      <c r="B3729" s="226">
        <v>514402</v>
      </c>
      <c r="C3729" s="226" t="s">
        <v>486</v>
      </c>
      <c r="D3729" s="226" t="s">
        <v>501</v>
      </c>
    </row>
    <row r="3730" spans="1:4">
      <c r="A3730" s="226" t="s">
        <v>5868</v>
      </c>
      <c r="B3730" s="226">
        <v>539584</v>
      </c>
      <c r="C3730" s="226" t="s">
        <v>486</v>
      </c>
      <c r="D3730" s="226" t="s">
        <v>508</v>
      </c>
    </row>
    <row r="3731" spans="1:4">
      <c r="A3731" s="226" t="s">
        <v>5869</v>
      </c>
      <c r="B3731" s="226">
        <v>538666</v>
      </c>
      <c r="C3731" s="226" t="s">
        <v>5870</v>
      </c>
      <c r="D3731" s="226" t="s">
        <v>629</v>
      </c>
    </row>
    <row r="3732" spans="1:4">
      <c r="A3732" s="226" t="s">
        <v>5871</v>
      </c>
      <c r="B3732" s="226">
        <v>513548</v>
      </c>
      <c r="C3732" s="226" t="s">
        <v>486</v>
      </c>
      <c r="D3732" s="226" t="s">
        <v>518</v>
      </c>
    </row>
    <row r="3733" spans="1:4">
      <c r="A3733" s="226" t="s">
        <v>5872</v>
      </c>
      <c r="B3733" s="226">
        <v>535602</v>
      </c>
      <c r="C3733" s="226" t="s">
        <v>5873</v>
      </c>
      <c r="D3733" s="226" t="s">
        <v>840</v>
      </c>
    </row>
    <row r="3734" spans="1:4">
      <c r="A3734" s="226" t="s">
        <v>5874</v>
      </c>
      <c r="B3734" s="226">
        <v>512393</v>
      </c>
      <c r="C3734" s="226" t="s">
        <v>486</v>
      </c>
      <c r="D3734" s="226" t="s">
        <v>470</v>
      </c>
    </row>
    <row r="3735" spans="1:4">
      <c r="A3735" s="226" t="s">
        <v>5875</v>
      </c>
      <c r="B3735" s="226">
        <v>540725</v>
      </c>
      <c r="C3735" s="226" t="s">
        <v>486</v>
      </c>
      <c r="D3735" s="226" t="s">
        <v>470</v>
      </c>
    </row>
    <row r="3736" spans="1:4">
      <c r="A3736" s="226" t="s">
        <v>5876</v>
      </c>
      <c r="B3736" s="226">
        <v>540786</v>
      </c>
      <c r="C3736" s="226" t="s">
        <v>486</v>
      </c>
      <c r="D3736" s="226" t="s">
        <v>783</v>
      </c>
    </row>
    <row r="3737" spans="1:4">
      <c r="A3737" s="226" t="s">
        <v>5877</v>
      </c>
      <c r="B3737" s="226">
        <v>532908</v>
      </c>
      <c r="C3737" s="226" t="s">
        <v>5878</v>
      </c>
      <c r="D3737" s="226" t="s">
        <v>524</v>
      </c>
    </row>
    <row r="3738" spans="1:4">
      <c r="A3738" s="226" t="s">
        <v>5879</v>
      </c>
      <c r="B3738" s="226">
        <v>523449</v>
      </c>
      <c r="C3738" s="226" t="s">
        <v>486</v>
      </c>
      <c r="D3738" s="226" t="s">
        <v>854</v>
      </c>
    </row>
    <row r="3739" spans="1:4">
      <c r="A3739" s="226" t="s">
        <v>5880</v>
      </c>
      <c r="B3739" s="226">
        <v>523449</v>
      </c>
      <c r="C3739" s="226" t="s">
        <v>486</v>
      </c>
      <c r="D3739" s="226" t="s">
        <v>854</v>
      </c>
    </row>
    <row r="3740" spans="1:4">
      <c r="A3740" s="226" t="s">
        <v>5881</v>
      </c>
      <c r="B3740" s="226">
        <v>538212</v>
      </c>
      <c r="C3740" s="226" t="s">
        <v>486</v>
      </c>
      <c r="D3740" s="226" t="s">
        <v>503</v>
      </c>
    </row>
    <row r="3741" spans="1:4">
      <c r="A3741" s="226" t="s">
        <v>5882</v>
      </c>
      <c r="B3741" s="226">
        <v>540221</v>
      </c>
      <c r="C3741" s="226" t="s">
        <v>486</v>
      </c>
      <c r="D3741" s="226" t="s">
        <v>508</v>
      </c>
    </row>
    <row r="3742" spans="1:4">
      <c r="A3742" s="226" t="s">
        <v>5883</v>
      </c>
      <c r="B3742" s="226">
        <v>540147</v>
      </c>
      <c r="C3742" s="226" t="s">
        <v>486</v>
      </c>
      <c r="D3742" s="226" t="s">
        <v>883</v>
      </c>
    </row>
    <row r="3743" spans="1:4">
      <c r="A3743" s="226" t="s">
        <v>5884</v>
      </c>
      <c r="B3743" s="226">
        <v>540203</v>
      </c>
      <c r="C3743" s="226" t="s">
        <v>5885</v>
      </c>
      <c r="D3743" s="226" t="s">
        <v>762</v>
      </c>
    </row>
    <row r="3744" spans="1:4">
      <c r="A3744" s="226" t="s">
        <v>5886</v>
      </c>
      <c r="B3744" s="226">
        <v>540757</v>
      </c>
      <c r="C3744" s="226" t="s">
        <v>486</v>
      </c>
      <c r="D3744" s="226" t="s">
        <v>546</v>
      </c>
    </row>
    <row r="3745" spans="1:4">
      <c r="A3745" s="226" t="s">
        <v>5887</v>
      </c>
      <c r="B3745" s="226">
        <v>530525</v>
      </c>
      <c r="C3745" s="226" t="s">
        <v>486</v>
      </c>
      <c r="D3745" s="226" t="s">
        <v>599</v>
      </c>
    </row>
    <row r="3746" spans="1:4">
      <c r="A3746" s="226" t="s">
        <v>5888</v>
      </c>
      <c r="B3746" s="226">
        <v>533301</v>
      </c>
      <c r="C3746" s="226" t="s">
        <v>5889</v>
      </c>
      <c r="D3746" s="226" t="s">
        <v>501</v>
      </c>
    </row>
    <row r="3747" spans="1:4">
      <c r="A3747" s="226" t="s">
        <v>5890</v>
      </c>
      <c r="B3747" s="226">
        <v>526839</v>
      </c>
      <c r="C3747" s="226" t="s">
        <v>486</v>
      </c>
      <c r="D3747" s="226" t="s">
        <v>883</v>
      </c>
    </row>
    <row r="3748" spans="1:4">
      <c r="A3748" s="226" t="s">
        <v>5891</v>
      </c>
      <c r="B3748" s="226">
        <v>538685</v>
      </c>
      <c r="C3748" s="226" t="s">
        <v>5892</v>
      </c>
      <c r="D3748" s="226" t="s">
        <v>489</v>
      </c>
    </row>
    <row r="3749" spans="1:4">
      <c r="A3749" s="226" t="s">
        <v>5893</v>
      </c>
      <c r="B3749" s="226">
        <v>512367</v>
      </c>
      <c r="C3749" s="226" t="s">
        <v>486</v>
      </c>
      <c r="D3749" s="226" t="s">
        <v>470</v>
      </c>
    </row>
    <row r="3750" spans="1:4">
      <c r="A3750" s="226" t="s">
        <v>5894</v>
      </c>
      <c r="B3750" s="226">
        <v>526117</v>
      </c>
      <c r="C3750" s="226" t="s">
        <v>486</v>
      </c>
      <c r="D3750" s="226" t="s">
        <v>1031</v>
      </c>
    </row>
    <row r="3751" spans="1:4">
      <c r="A3751" s="226" t="s">
        <v>5895</v>
      </c>
      <c r="B3751" s="226">
        <v>539111</v>
      </c>
      <c r="C3751" s="226" t="s">
        <v>486</v>
      </c>
      <c r="D3751" s="226" t="s">
        <v>501</v>
      </c>
    </row>
    <row r="3752" spans="1:4">
      <c r="A3752" s="226" t="s">
        <v>5896</v>
      </c>
      <c r="B3752" s="226">
        <v>526137</v>
      </c>
      <c r="C3752" s="226" t="s">
        <v>486</v>
      </c>
      <c r="D3752" s="226" t="s">
        <v>680</v>
      </c>
    </row>
    <row r="3753" spans="1:4">
      <c r="A3753" s="226" t="s">
        <v>5897</v>
      </c>
      <c r="B3753" s="226">
        <v>507952</v>
      </c>
      <c r="C3753" s="226" t="s">
        <v>486</v>
      </c>
      <c r="D3753" s="226" t="s">
        <v>503</v>
      </c>
    </row>
    <row r="3754" spans="1:4">
      <c r="A3754" s="226" t="s">
        <v>5898</v>
      </c>
      <c r="B3754" s="226">
        <v>531201</v>
      </c>
      <c r="C3754" s="226" t="s">
        <v>486</v>
      </c>
      <c r="D3754" s="226" t="s">
        <v>783</v>
      </c>
    </row>
    <row r="3755" spans="1:4">
      <c r="A3755" s="226" t="s">
        <v>5899</v>
      </c>
      <c r="B3755" s="226">
        <v>513709</v>
      </c>
      <c r="C3755" s="226" t="s">
        <v>486</v>
      </c>
      <c r="D3755" s="226" t="s">
        <v>494</v>
      </c>
    </row>
    <row r="3756" spans="1:4">
      <c r="A3756" s="226" t="s">
        <v>5900</v>
      </c>
      <c r="B3756" s="226">
        <v>530549</v>
      </c>
      <c r="C3756" s="226" t="s">
        <v>5901</v>
      </c>
      <c r="D3756" s="226" t="s">
        <v>524</v>
      </c>
    </row>
    <row r="3757" spans="1:4">
      <c r="A3757" s="226" t="s">
        <v>5902</v>
      </c>
      <c r="B3757" s="226">
        <v>533389</v>
      </c>
      <c r="C3757" s="226" t="s">
        <v>5903</v>
      </c>
      <c r="D3757" s="226" t="s">
        <v>783</v>
      </c>
    </row>
    <row r="3758" spans="1:4">
      <c r="A3758" s="226" t="s">
        <v>5904</v>
      </c>
      <c r="B3758" s="226">
        <v>523598</v>
      </c>
      <c r="C3758" s="226" t="s">
        <v>5905</v>
      </c>
      <c r="D3758" s="226" t="s">
        <v>1731</v>
      </c>
    </row>
    <row r="3759" spans="1:4">
      <c r="A3759" s="226" t="s">
        <v>5906</v>
      </c>
      <c r="B3759" s="226">
        <v>523598</v>
      </c>
      <c r="C3759" s="226" t="s">
        <v>5905</v>
      </c>
      <c r="D3759" s="226" t="s">
        <v>1731</v>
      </c>
    </row>
    <row r="3760" spans="1:4">
      <c r="A3760" s="226" t="s">
        <v>5907</v>
      </c>
      <c r="B3760" s="226">
        <v>512289</v>
      </c>
      <c r="C3760" s="226" t="s">
        <v>5908</v>
      </c>
      <c r="D3760" s="226" t="s">
        <v>2730</v>
      </c>
    </row>
    <row r="3761" spans="1:4">
      <c r="A3761" s="226" t="s">
        <v>5909</v>
      </c>
      <c r="B3761" s="226">
        <v>540693</v>
      </c>
      <c r="C3761" s="226" t="s">
        <v>486</v>
      </c>
      <c r="D3761" s="226" t="s">
        <v>605</v>
      </c>
    </row>
    <row r="3762" spans="1:4">
      <c r="A3762" s="226" t="s">
        <v>5910</v>
      </c>
      <c r="B3762" s="226">
        <v>532323</v>
      </c>
      <c r="C3762" s="226" t="s">
        <v>486</v>
      </c>
      <c r="D3762" s="226" t="s">
        <v>499</v>
      </c>
    </row>
    <row r="3763" spans="1:4">
      <c r="A3763" s="226" t="s">
        <v>5911</v>
      </c>
      <c r="B3763" s="226">
        <v>530433</v>
      </c>
      <c r="C3763" s="226" t="s">
        <v>486</v>
      </c>
      <c r="D3763" s="226" t="s">
        <v>993</v>
      </c>
    </row>
    <row r="3764" spans="1:4">
      <c r="A3764" s="226" t="s">
        <v>5912</v>
      </c>
      <c r="B3764" s="226">
        <v>540072</v>
      </c>
      <c r="C3764" s="226" t="s">
        <v>486</v>
      </c>
      <c r="D3764" s="226" t="s">
        <v>1013</v>
      </c>
    </row>
    <row r="3765" spans="1:4">
      <c r="A3765" s="226" t="s">
        <v>5913</v>
      </c>
      <c r="B3765" s="226">
        <v>524602</v>
      </c>
      <c r="C3765" s="226" t="s">
        <v>5914</v>
      </c>
      <c r="D3765" s="226" t="s">
        <v>674</v>
      </c>
    </row>
    <row r="3766" spans="1:4">
      <c r="A3766" s="226" t="s">
        <v>5915</v>
      </c>
      <c r="B3766" s="226">
        <v>540961</v>
      </c>
      <c r="C3766" s="226" t="s">
        <v>5916</v>
      </c>
      <c r="D3766" s="226" t="s">
        <v>501</v>
      </c>
    </row>
    <row r="3767" spans="1:4">
      <c r="A3767" s="226" t="s">
        <v>5917</v>
      </c>
      <c r="B3767" s="226">
        <v>521003</v>
      </c>
      <c r="C3767" s="226" t="s">
        <v>486</v>
      </c>
      <c r="D3767" s="226" t="s">
        <v>508</v>
      </c>
    </row>
    <row r="3768" spans="1:4">
      <c r="A3768" s="226" t="s">
        <v>5918</v>
      </c>
      <c r="B3768" s="226">
        <v>511108</v>
      </c>
      <c r="C3768" s="226" t="s">
        <v>5919</v>
      </c>
      <c r="D3768" s="226" t="s">
        <v>501</v>
      </c>
    </row>
    <row r="3769" spans="1:4">
      <c r="A3769" s="226" t="s">
        <v>5920</v>
      </c>
      <c r="B3769" s="226">
        <v>522237</v>
      </c>
      <c r="C3769" s="226" t="s">
        <v>486</v>
      </c>
      <c r="D3769" s="226" t="s">
        <v>494</v>
      </c>
    </row>
    <row r="3770" spans="1:4">
      <c r="A3770" s="226" t="s">
        <v>5921</v>
      </c>
      <c r="B3770" s="226">
        <v>513097</v>
      </c>
      <c r="C3770" s="226" t="s">
        <v>486</v>
      </c>
      <c r="D3770" s="226" t="s">
        <v>1027</v>
      </c>
    </row>
    <row r="3771" spans="1:4">
      <c r="A3771" s="226" t="s">
        <v>5922</v>
      </c>
      <c r="B3771" s="226">
        <v>539148</v>
      </c>
      <c r="C3771" s="226" t="s">
        <v>486</v>
      </c>
      <c r="D3771" s="226" t="s">
        <v>629</v>
      </c>
    </row>
    <row r="3772" spans="1:4">
      <c r="A3772" s="226" t="s">
        <v>5923</v>
      </c>
      <c r="B3772" s="226">
        <v>532776</v>
      </c>
      <c r="C3772" s="226" t="s">
        <v>5924</v>
      </c>
      <c r="D3772" s="226" t="s">
        <v>840</v>
      </c>
    </row>
    <row r="3773" spans="1:4">
      <c r="A3773" s="226" t="s">
        <v>5925</v>
      </c>
      <c r="B3773" s="226">
        <v>539593</v>
      </c>
      <c r="C3773" s="226" t="s">
        <v>486</v>
      </c>
      <c r="D3773" s="226" t="s">
        <v>470</v>
      </c>
    </row>
    <row r="3774" spans="1:4">
      <c r="A3774" s="226" t="s">
        <v>5926</v>
      </c>
      <c r="B3774" s="226">
        <v>539683</v>
      </c>
      <c r="C3774" s="226" t="s">
        <v>486</v>
      </c>
      <c r="D3774" s="226" t="s">
        <v>503</v>
      </c>
    </row>
    <row r="3775" spans="1:4">
      <c r="A3775" s="226" t="s">
        <v>5927</v>
      </c>
      <c r="B3775" s="226">
        <v>539833</v>
      </c>
      <c r="C3775" s="226" t="s">
        <v>486</v>
      </c>
      <c r="D3775" s="226" t="s">
        <v>503</v>
      </c>
    </row>
    <row r="3776" spans="1:4">
      <c r="A3776" s="226" t="s">
        <v>5928</v>
      </c>
      <c r="B3776" s="226">
        <v>532638</v>
      </c>
      <c r="C3776" s="226" t="s">
        <v>5929</v>
      </c>
      <c r="D3776" s="226" t="s">
        <v>654</v>
      </c>
    </row>
    <row r="3777" spans="1:4">
      <c r="A3777" s="226" t="s">
        <v>5930</v>
      </c>
      <c r="B3777" s="226" t="s">
        <v>486</v>
      </c>
      <c r="C3777" s="226" t="s">
        <v>5931</v>
      </c>
      <c r="D3777" s="226" t="s">
        <v>497</v>
      </c>
    </row>
    <row r="3778" spans="1:4">
      <c r="A3778" s="226" t="s">
        <v>5932</v>
      </c>
      <c r="B3778" s="226">
        <v>538795</v>
      </c>
      <c r="C3778" s="226" t="s">
        <v>486</v>
      </c>
      <c r="D3778" s="226" t="s">
        <v>480</v>
      </c>
    </row>
    <row r="3779" spans="1:4">
      <c r="A3779" s="226" t="s">
        <v>5933</v>
      </c>
      <c r="B3779" s="226">
        <v>521131</v>
      </c>
      <c r="C3779" s="226" t="s">
        <v>486</v>
      </c>
      <c r="D3779" s="226" t="s">
        <v>501</v>
      </c>
    </row>
    <row r="3780" spans="1:4">
      <c r="A3780" s="226" t="s">
        <v>5934</v>
      </c>
      <c r="B3780" s="226">
        <v>502563</v>
      </c>
      <c r="C3780" s="226" t="s">
        <v>486</v>
      </c>
      <c r="D3780" s="226" t="s">
        <v>480</v>
      </c>
    </row>
    <row r="3781" spans="1:4">
      <c r="A3781" s="226" t="s">
        <v>5935</v>
      </c>
      <c r="B3781" s="226">
        <v>500387</v>
      </c>
      <c r="C3781" s="226" t="s">
        <v>5936</v>
      </c>
      <c r="D3781" s="226" t="s">
        <v>499</v>
      </c>
    </row>
    <row r="3782" spans="1:4">
      <c r="A3782" s="226" t="s">
        <v>5937</v>
      </c>
      <c r="B3782" s="226">
        <v>502180</v>
      </c>
      <c r="C3782" s="226" t="s">
        <v>486</v>
      </c>
      <c r="D3782" s="226" t="s">
        <v>499</v>
      </c>
    </row>
    <row r="3783" spans="1:4">
      <c r="A3783" s="226" t="s">
        <v>5938</v>
      </c>
      <c r="B3783" s="226">
        <v>539470</v>
      </c>
      <c r="C3783" s="226" t="s">
        <v>486</v>
      </c>
      <c r="D3783" s="226" t="s">
        <v>823</v>
      </c>
    </row>
    <row r="3784" spans="1:4">
      <c r="A3784" s="226" t="s">
        <v>5939</v>
      </c>
      <c r="B3784" s="226">
        <v>539470</v>
      </c>
      <c r="C3784" s="226" t="s">
        <v>486</v>
      </c>
      <c r="D3784" s="226" t="s">
        <v>823</v>
      </c>
    </row>
    <row r="3785" spans="1:4">
      <c r="A3785" s="226" t="s">
        <v>5940</v>
      </c>
      <c r="B3785" s="226">
        <v>530797</v>
      </c>
      <c r="C3785" s="226" t="s">
        <v>486</v>
      </c>
      <c r="D3785" s="226" t="s">
        <v>508</v>
      </c>
    </row>
    <row r="3786" spans="1:4">
      <c r="A3786" s="226" t="s">
        <v>5941</v>
      </c>
      <c r="B3786" s="226">
        <v>532643</v>
      </c>
      <c r="C3786" s="226" t="s">
        <v>5942</v>
      </c>
      <c r="D3786" s="226" t="s">
        <v>1403</v>
      </c>
    </row>
    <row r="3787" spans="1:4">
      <c r="A3787" s="226" t="s">
        <v>5943</v>
      </c>
      <c r="B3787" s="226">
        <v>540737</v>
      </c>
      <c r="C3787" s="226" t="s">
        <v>486</v>
      </c>
      <c r="D3787" s="226" t="s">
        <v>524</v>
      </c>
    </row>
    <row r="3788" spans="1:4">
      <c r="A3788" s="226" t="s">
        <v>5944</v>
      </c>
      <c r="B3788" s="226">
        <v>512463</v>
      </c>
      <c r="C3788" s="226" t="s">
        <v>486</v>
      </c>
      <c r="D3788" s="226" t="s">
        <v>503</v>
      </c>
    </row>
    <row r="3789" spans="1:4">
      <c r="A3789" s="226" t="s">
        <v>5945</v>
      </c>
      <c r="B3789" s="226">
        <v>524336</v>
      </c>
      <c r="C3789" s="226" t="s">
        <v>486</v>
      </c>
      <c r="D3789" s="226" t="s">
        <v>534</v>
      </c>
    </row>
    <row r="3790" spans="1:4">
      <c r="A3790" s="226" t="s">
        <v>5946</v>
      </c>
      <c r="B3790" s="226">
        <v>516106</v>
      </c>
      <c r="C3790" s="226" t="s">
        <v>486</v>
      </c>
      <c r="D3790" s="226" t="s">
        <v>480</v>
      </c>
    </row>
    <row r="3791" spans="1:4">
      <c r="A3791" s="226" t="s">
        <v>5947</v>
      </c>
      <c r="B3791" s="226">
        <v>542146</v>
      </c>
      <c r="C3791" s="226" t="s">
        <v>486</v>
      </c>
      <c r="D3791" s="226" t="s">
        <v>572</v>
      </c>
    </row>
    <row r="3792" spans="1:4">
      <c r="A3792" s="226" t="s">
        <v>5948</v>
      </c>
      <c r="B3792" s="226">
        <v>500388</v>
      </c>
      <c r="C3792" s="226" t="s">
        <v>486</v>
      </c>
      <c r="D3792" s="226" t="s">
        <v>480</v>
      </c>
    </row>
    <row r="3793" spans="1:4">
      <c r="A3793" s="226" t="s">
        <v>5949</v>
      </c>
      <c r="B3793" s="226">
        <v>503863</v>
      </c>
      <c r="C3793" s="226" t="s">
        <v>486</v>
      </c>
      <c r="D3793" s="226" t="s">
        <v>501</v>
      </c>
    </row>
    <row r="3794" spans="1:4">
      <c r="A3794" s="226" t="s">
        <v>5950</v>
      </c>
      <c r="B3794" s="226">
        <v>531962</v>
      </c>
      <c r="C3794" s="226" t="s">
        <v>486</v>
      </c>
      <c r="D3794" s="226" t="s">
        <v>503</v>
      </c>
    </row>
    <row r="3795" spans="1:4">
      <c r="A3795" s="226" t="s">
        <v>5951</v>
      </c>
      <c r="B3795" s="226">
        <v>540253</v>
      </c>
      <c r="C3795" s="226" t="s">
        <v>486</v>
      </c>
      <c r="D3795" s="226" t="s">
        <v>470</v>
      </c>
    </row>
    <row r="3796" spans="1:4">
      <c r="A3796" s="226" t="s">
        <v>5952</v>
      </c>
      <c r="B3796" s="226">
        <v>506180</v>
      </c>
      <c r="C3796" s="226" t="s">
        <v>486</v>
      </c>
      <c r="D3796" s="226" t="s">
        <v>508</v>
      </c>
    </row>
    <row r="3797" spans="1:4">
      <c r="A3797" s="226" t="s">
        <v>5953</v>
      </c>
      <c r="B3797" s="226">
        <v>527005</v>
      </c>
      <c r="C3797" s="226" t="s">
        <v>486</v>
      </c>
      <c r="D3797" s="226" t="s">
        <v>1448</v>
      </c>
    </row>
    <row r="3798" spans="1:4">
      <c r="A3798" s="226" t="s">
        <v>5954</v>
      </c>
      <c r="B3798" s="226">
        <v>533110</v>
      </c>
      <c r="C3798" s="226" t="s">
        <v>486</v>
      </c>
      <c r="D3798" s="226" t="s">
        <v>808</v>
      </c>
    </row>
    <row r="3799" spans="1:4">
      <c r="A3799" s="226" t="s">
        <v>5955</v>
      </c>
      <c r="B3799" s="226">
        <v>539334</v>
      </c>
      <c r="C3799" s="226" t="s">
        <v>5956</v>
      </c>
      <c r="D3799" s="226" t="s">
        <v>645</v>
      </c>
    </row>
    <row r="3800" spans="1:4">
      <c r="A3800" s="226" t="s">
        <v>5957</v>
      </c>
      <c r="B3800" s="226">
        <v>503837</v>
      </c>
      <c r="C3800" s="226" t="s">
        <v>486</v>
      </c>
      <c r="D3800" s="226" t="s">
        <v>501</v>
      </c>
    </row>
    <row r="3801" spans="1:4">
      <c r="A3801" s="226" t="s">
        <v>5958</v>
      </c>
      <c r="B3801" s="226">
        <v>516086</v>
      </c>
      <c r="C3801" s="226" t="s">
        <v>486</v>
      </c>
      <c r="D3801" s="226" t="s">
        <v>480</v>
      </c>
    </row>
    <row r="3802" spans="1:4">
      <c r="A3802" s="226" t="s">
        <v>5959</v>
      </c>
      <c r="B3802" s="226" t="s">
        <v>486</v>
      </c>
      <c r="C3802" s="226" t="s">
        <v>5960</v>
      </c>
      <c r="D3802" s="226" t="s">
        <v>497</v>
      </c>
    </row>
    <row r="3803" spans="1:4">
      <c r="A3803" s="226" t="s">
        <v>5961</v>
      </c>
      <c r="B3803" s="226">
        <v>532310</v>
      </c>
      <c r="C3803" s="226" t="s">
        <v>5962</v>
      </c>
      <c r="D3803" s="226" t="s">
        <v>680</v>
      </c>
    </row>
    <row r="3804" spans="1:4">
      <c r="A3804" s="226" t="s">
        <v>5963</v>
      </c>
      <c r="B3804" s="226">
        <v>500356</v>
      </c>
      <c r="C3804" s="226" t="s">
        <v>5964</v>
      </c>
      <c r="D3804" s="226" t="s">
        <v>480</v>
      </c>
    </row>
    <row r="3805" spans="1:4">
      <c r="A3805" s="226" t="s">
        <v>5965</v>
      </c>
      <c r="B3805" s="226">
        <v>532670</v>
      </c>
      <c r="C3805" s="226" t="s">
        <v>5966</v>
      </c>
      <c r="D3805" s="226" t="s">
        <v>1184</v>
      </c>
    </row>
    <row r="3806" spans="1:4">
      <c r="A3806" s="226" t="s">
        <v>5967</v>
      </c>
      <c r="B3806" s="226">
        <v>503635</v>
      </c>
      <c r="C3806" s="226" t="s">
        <v>486</v>
      </c>
      <c r="D3806" s="226" t="s">
        <v>470</v>
      </c>
    </row>
    <row r="3807" spans="1:4">
      <c r="A3807" s="226" t="s">
        <v>5968</v>
      </c>
      <c r="B3807" s="226">
        <v>538975</v>
      </c>
      <c r="C3807" s="226" t="s">
        <v>486</v>
      </c>
      <c r="D3807" s="226" t="s">
        <v>503</v>
      </c>
    </row>
    <row r="3808" spans="1:4">
      <c r="A3808" s="226" t="s">
        <v>5969</v>
      </c>
      <c r="B3808" s="226">
        <v>513488</v>
      </c>
      <c r="C3808" s="226" t="s">
        <v>486</v>
      </c>
      <c r="D3808" s="226" t="s">
        <v>808</v>
      </c>
    </row>
    <row r="3809" spans="1:4">
      <c r="A3809" s="226" t="s">
        <v>5970</v>
      </c>
      <c r="B3809" s="226">
        <v>531667</v>
      </c>
      <c r="C3809" s="226" t="s">
        <v>486</v>
      </c>
      <c r="D3809" s="226" t="s">
        <v>508</v>
      </c>
    </row>
    <row r="3810" spans="1:4">
      <c r="A3810" s="226" t="s">
        <v>5971</v>
      </c>
      <c r="B3810" s="226" t="s">
        <v>486</v>
      </c>
      <c r="C3810" s="226" t="s">
        <v>5972</v>
      </c>
      <c r="D3810" s="226" t="s">
        <v>497</v>
      </c>
    </row>
    <row r="3811" spans="1:4">
      <c r="A3811" s="226" t="s">
        <v>5973</v>
      </c>
      <c r="B3811" s="226">
        <v>590128</v>
      </c>
      <c r="C3811" s="226" t="s">
        <v>486</v>
      </c>
      <c r="D3811" s="226" t="s">
        <v>473</v>
      </c>
    </row>
    <row r="3812" spans="1:4">
      <c r="A3812" s="226" t="s">
        <v>5974</v>
      </c>
      <c r="B3812" s="226" t="s">
        <v>486</v>
      </c>
      <c r="C3812" s="226" t="s">
        <v>5975</v>
      </c>
      <c r="D3812" s="226" t="s">
        <v>497</v>
      </c>
    </row>
    <row r="3813" spans="1:4">
      <c r="A3813" s="226" t="s">
        <v>5976</v>
      </c>
      <c r="B3813" s="226">
        <v>541358</v>
      </c>
      <c r="C3813" s="226" t="s">
        <v>486</v>
      </c>
      <c r="D3813" s="226" t="s">
        <v>503</v>
      </c>
    </row>
    <row r="3814" spans="1:4">
      <c r="A3814" s="226" t="s">
        <v>5977</v>
      </c>
      <c r="B3814" s="226">
        <v>540738</v>
      </c>
      <c r="C3814" s="226" t="s">
        <v>486</v>
      </c>
      <c r="D3814" s="226" t="s">
        <v>806</v>
      </c>
    </row>
    <row r="3815" spans="1:4">
      <c r="A3815" s="226" t="s">
        <v>5978</v>
      </c>
      <c r="B3815" s="226">
        <v>503696</v>
      </c>
      <c r="C3815" s="226" t="s">
        <v>486</v>
      </c>
      <c r="D3815" s="226" t="s">
        <v>906</v>
      </c>
    </row>
    <row r="3816" spans="1:4">
      <c r="A3816" s="226" t="s">
        <v>5979</v>
      </c>
      <c r="B3816" s="226" t="s">
        <v>486</v>
      </c>
      <c r="C3816" s="226" t="s">
        <v>5980</v>
      </c>
      <c r="D3816" s="226" t="s">
        <v>497</v>
      </c>
    </row>
    <row r="3817" spans="1:4">
      <c r="A3817" s="226" t="s">
        <v>5981</v>
      </c>
      <c r="B3817" s="226">
        <v>541112</v>
      </c>
      <c r="C3817" s="226" t="s">
        <v>486</v>
      </c>
      <c r="D3817" s="226" t="s">
        <v>883</v>
      </c>
    </row>
    <row r="3818" spans="1:4">
      <c r="A3818" s="226" t="s">
        <v>5982</v>
      </c>
      <c r="B3818" s="226">
        <v>532007</v>
      </c>
      <c r="C3818" s="226" t="s">
        <v>486</v>
      </c>
      <c r="D3818" s="226" t="s">
        <v>906</v>
      </c>
    </row>
    <row r="3819" spans="1:4">
      <c r="A3819" s="226" t="s">
        <v>5983</v>
      </c>
      <c r="B3819" s="226" t="s">
        <v>486</v>
      </c>
      <c r="C3819" s="226" t="s">
        <v>5984</v>
      </c>
      <c r="D3819" s="226" t="s">
        <v>497</v>
      </c>
    </row>
    <row r="3820" spans="1:4">
      <c r="A3820" s="226" t="s">
        <v>5985</v>
      </c>
      <c r="B3820" s="226">
        <v>516016</v>
      </c>
      <c r="C3820" s="226" t="s">
        <v>5986</v>
      </c>
      <c r="D3820" s="226" t="s">
        <v>480</v>
      </c>
    </row>
    <row r="3821" spans="1:4">
      <c r="A3821" s="226" t="s">
        <v>5987</v>
      </c>
      <c r="B3821" s="226">
        <v>526335</v>
      </c>
      <c r="C3821" s="226" t="s">
        <v>486</v>
      </c>
      <c r="D3821" s="226" t="s">
        <v>534</v>
      </c>
    </row>
    <row r="3822" spans="1:4">
      <c r="A3822" s="226" t="s">
        <v>5988</v>
      </c>
      <c r="B3822" s="226">
        <v>520151</v>
      </c>
      <c r="C3822" s="226" t="s">
        <v>5989</v>
      </c>
      <c r="D3822" s="226" t="s">
        <v>1731</v>
      </c>
    </row>
    <row r="3823" spans="1:4">
      <c r="A3823" s="226" t="s">
        <v>5990</v>
      </c>
      <c r="B3823" s="226">
        <v>526981</v>
      </c>
      <c r="C3823" s="226" t="s">
        <v>486</v>
      </c>
      <c r="D3823" s="226" t="s">
        <v>808</v>
      </c>
    </row>
    <row r="3824" spans="1:4">
      <c r="A3824" s="226" t="s">
        <v>5991</v>
      </c>
      <c r="B3824" s="226">
        <v>530841</v>
      </c>
      <c r="C3824" s="226" t="s">
        <v>486</v>
      </c>
      <c r="D3824" s="226" t="s">
        <v>762</v>
      </c>
    </row>
    <row r="3825" spans="1:4">
      <c r="A3825" s="226" t="s">
        <v>5992</v>
      </c>
      <c r="B3825" s="226">
        <v>503804</v>
      </c>
      <c r="C3825" s="226" t="s">
        <v>486</v>
      </c>
      <c r="D3825" s="226" t="s">
        <v>501</v>
      </c>
    </row>
    <row r="3826" spans="1:4">
      <c r="A3826" s="226" t="s">
        <v>5993</v>
      </c>
      <c r="B3826" s="226">
        <v>512453</v>
      </c>
      <c r="C3826" s="226" t="s">
        <v>486</v>
      </c>
      <c r="D3826" s="226" t="s">
        <v>680</v>
      </c>
    </row>
    <row r="3827" spans="1:4">
      <c r="A3827" s="226" t="s">
        <v>5994</v>
      </c>
      <c r="B3827" s="226">
        <v>532083</v>
      </c>
      <c r="C3827" s="226" t="s">
        <v>486</v>
      </c>
      <c r="D3827" s="226" t="s">
        <v>906</v>
      </c>
    </row>
    <row r="3828" spans="1:4">
      <c r="A3828" s="226" t="s">
        <v>5995</v>
      </c>
      <c r="B3828" s="226">
        <v>530977</v>
      </c>
      <c r="C3828" s="226" t="s">
        <v>486</v>
      </c>
      <c r="D3828" s="226" t="s">
        <v>499</v>
      </c>
    </row>
    <row r="3829" spans="1:4">
      <c r="A3829" s="226" t="s">
        <v>5996</v>
      </c>
      <c r="B3829" s="226">
        <v>531080</v>
      </c>
      <c r="C3829" s="226" t="s">
        <v>486</v>
      </c>
      <c r="D3829" s="226" t="s">
        <v>572</v>
      </c>
    </row>
    <row r="3830" spans="1:4">
      <c r="A3830" s="226" t="s">
        <v>5997</v>
      </c>
      <c r="B3830" s="226">
        <v>538897</v>
      </c>
      <c r="C3830" s="226" t="s">
        <v>486</v>
      </c>
      <c r="D3830" s="226" t="s">
        <v>503</v>
      </c>
    </row>
    <row r="3831" spans="1:4">
      <c r="A3831" s="226" t="s">
        <v>5998</v>
      </c>
      <c r="B3831" s="226" t="s">
        <v>486</v>
      </c>
      <c r="C3831" s="226" t="s">
        <v>5999</v>
      </c>
      <c r="D3831" s="226" t="s">
        <v>497</v>
      </c>
    </row>
    <row r="3832" spans="1:4">
      <c r="A3832" s="226" t="s">
        <v>6000</v>
      </c>
      <c r="B3832" s="226">
        <v>508961</v>
      </c>
      <c r="C3832" s="226" t="s">
        <v>486</v>
      </c>
      <c r="D3832" s="226" t="s">
        <v>503</v>
      </c>
    </row>
    <row r="3833" spans="1:4">
      <c r="A3833" s="226" t="s">
        <v>6001</v>
      </c>
      <c r="B3833" s="226">
        <v>531359</v>
      </c>
      <c r="C3833" s="226" t="s">
        <v>486</v>
      </c>
      <c r="D3833" s="226" t="s">
        <v>2888</v>
      </c>
    </row>
    <row r="3834" spans="1:4">
      <c r="A3834" s="226" t="s">
        <v>6002</v>
      </c>
      <c r="B3834" s="226">
        <v>532498</v>
      </c>
      <c r="C3834" s="226" t="s">
        <v>6003</v>
      </c>
      <c r="D3834" s="226" t="s">
        <v>503</v>
      </c>
    </row>
    <row r="3835" spans="1:4">
      <c r="A3835" s="226" t="s">
        <v>6004</v>
      </c>
      <c r="B3835" s="226">
        <v>532945</v>
      </c>
      <c r="C3835" s="226" t="s">
        <v>6005</v>
      </c>
      <c r="D3835" s="226" t="s">
        <v>883</v>
      </c>
    </row>
    <row r="3836" spans="1:4">
      <c r="A3836" s="226" t="s">
        <v>6006</v>
      </c>
      <c r="B3836" s="226" t="s">
        <v>486</v>
      </c>
      <c r="C3836" s="226" t="s">
        <v>6007</v>
      </c>
      <c r="D3836" s="226" t="s">
        <v>577</v>
      </c>
    </row>
    <row r="3837" spans="1:4">
      <c r="A3837" s="226" t="s">
        <v>6008</v>
      </c>
      <c r="B3837" s="226">
        <v>511218</v>
      </c>
      <c r="C3837" s="226" t="s">
        <v>6009</v>
      </c>
      <c r="D3837" s="226" t="s">
        <v>503</v>
      </c>
    </row>
    <row r="3838" spans="1:4">
      <c r="A3838" s="226" t="s">
        <v>6010</v>
      </c>
      <c r="B3838" s="226">
        <v>511411</v>
      </c>
      <c r="C3838" s="226" t="s">
        <v>486</v>
      </c>
      <c r="D3838" s="226" t="s">
        <v>883</v>
      </c>
    </row>
    <row r="3839" spans="1:4">
      <c r="A3839" s="226" t="s">
        <v>6011</v>
      </c>
      <c r="B3839" s="226">
        <v>542019</v>
      </c>
      <c r="C3839" s="226" t="s">
        <v>486</v>
      </c>
      <c r="D3839" s="226" t="s">
        <v>501</v>
      </c>
    </row>
    <row r="3840" spans="1:4">
      <c r="A3840" s="226" t="s">
        <v>6012</v>
      </c>
      <c r="B3840" s="226" t="s">
        <v>486</v>
      </c>
      <c r="C3840" s="226" t="s">
        <v>6013</v>
      </c>
      <c r="D3840" s="226" t="s">
        <v>497</v>
      </c>
    </row>
    <row r="3841" spans="1:4">
      <c r="A3841" s="226" t="s">
        <v>6014</v>
      </c>
      <c r="B3841" s="226">
        <v>531506</v>
      </c>
      <c r="C3841" s="226" t="s">
        <v>6015</v>
      </c>
      <c r="D3841" s="226" t="s">
        <v>906</v>
      </c>
    </row>
    <row r="3842" spans="1:4">
      <c r="A3842" s="226" t="s">
        <v>6016</v>
      </c>
      <c r="B3842" s="226">
        <v>523790</v>
      </c>
      <c r="C3842" s="226" t="s">
        <v>486</v>
      </c>
      <c r="D3842" s="226" t="s">
        <v>599</v>
      </c>
    </row>
    <row r="3843" spans="1:4">
      <c r="A3843" s="226" t="s">
        <v>6017</v>
      </c>
      <c r="B3843" s="226">
        <v>524632</v>
      </c>
      <c r="C3843" s="226" t="s">
        <v>486</v>
      </c>
      <c r="D3843" s="226" t="s">
        <v>524</v>
      </c>
    </row>
    <row r="3844" spans="1:4">
      <c r="A3844" s="226" t="s">
        <v>6018</v>
      </c>
      <c r="B3844" s="226">
        <v>539252</v>
      </c>
      <c r="C3844" s="226" t="s">
        <v>6019</v>
      </c>
      <c r="D3844" s="226" t="s">
        <v>518</v>
      </c>
    </row>
    <row r="3845" spans="1:4">
      <c r="A3845" s="226" t="s">
        <v>6020</v>
      </c>
      <c r="B3845" s="226">
        <v>517411</v>
      </c>
      <c r="C3845" s="226" t="s">
        <v>6021</v>
      </c>
      <c r="D3845" s="226" t="s">
        <v>631</v>
      </c>
    </row>
    <row r="3846" spans="1:4">
      <c r="A3846" s="226" t="s">
        <v>6022</v>
      </c>
      <c r="B3846" s="226">
        <v>531219</v>
      </c>
      <c r="C3846" s="226" t="s">
        <v>486</v>
      </c>
      <c r="D3846" s="226" t="s">
        <v>524</v>
      </c>
    </row>
    <row r="3847" spans="1:4">
      <c r="A3847" s="226" t="s">
        <v>6023</v>
      </c>
      <c r="B3847" s="226">
        <v>505515</v>
      </c>
      <c r="C3847" s="226" t="s">
        <v>486</v>
      </c>
      <c r="D3847" s="226" t="s">
        <v>470</v>
      </c>
    </row>
    <row r="3848" spans="1:4">
      <c r="A3848" s="226" t="s">
        <v>6024</v>
      </c>
      <c r="B3848" s="226">
        <v>530907</v>
      </c>
      <c r="C3848" s="226" t="s">
        <v>486</v>
      </c>
      <c r="D3848" s="226" t="s">
        <v>906</v>
      </c>
    </row>
    <row r="3849" spans="1:4">
      <c r="A3849" s="226" t="s">
        <v>6025</v>
      </c>
      <c r="B3849" s="226">
        <v>520141</v>
      </c>
      <c r="C3849" s="226" t="s">
        <v>486</v>
      </c>
      <c r="D3849" s="226" t="s">
        <v>840</v>
      </c>
    </row>
    <row r="3850" spans="1:4">
      <c r="A3850" s="226" t="s">
        <v>6026</v>
      </c>
      <c r="B3850" s="226">
        <v>533014</v>
      </c>
      <c r="C3850" s="226" t="s">
        <v>6027</v>
      </c>
      <c r="D3850" s="226" t="s">
        <v>508</v>
      </c>
    </row>
    <row r="3851" spans="1:4">
      <c r="A3851" s="226" t="s">
        <v>6028</v>
      </c>
      <c r="B3851" s="226">
        <v>533014</v>
      </c>
      <c r="C3851" s="226" t="s">
        <v>6027</v>
      </c>
      <c r="D3851" s="226" t="s">
        <v>508</v>
      </c>
    </row>
    <row r="3852" spans="1:4">
      <c r="A3852" s="226" t="s">
        <v>6029</v>
      </c>
      <c r="B3852" s="226">
        <v>520086</v>
      </c>
      <c r="C3852" s="226" t="s">
        <v>6030</v>
      </c>
      <c r="D3852" s="226" t="s">
        <v>806</v>
      </c>
    </row>
    <row r="3853" spans="1:4">
      <c r="A3853" s="226" t="s">
        <v>6031</v>
      </c>
      <c r="B3853" s="226">
        <v>540736</v>
      </c>
      <c r="C3853" s="226" t="s">
        <v>486</v>
      </c>
      <c r="D3853" s="226" t="s">
        <v>349</v>
      </c>
    </row>
    <row r="3854" spans="1:4">
      <c r="A3854" s="226" t="s">
        <v>6032</v>
      </c>
      <c r="B3854" s="226">
        <v>539983</v>
      </c>
      <c r="C3854" s="226" t="s">
        <v>486</v>
      </c>
      <c r="D3854" s="226" t="s">
        <v>470</v>
      </c>
    </row>
    <row r="3855" spans="1:4">
      <c r="A3855" s="226" t="s">
        <v>6033</v>
      </c>
      <c r="B3855" s="226">
        <v>532217</v>
      </c>
      <c r="C3855" s="226" t="s">
        <v>486</v>
      </c>
      <c r="D3855" s="226" t="s">
        <v>470</v>
      </c>
    </row>
    <row r="3856" spans="1:4">
      <c r="A3856" s="226" t="s">
        <v>6034</v>
      </c>
      <c r="B3856" s="226">
        <v>500550</v>
      </c>
      <c r="C3856" s="226" t="s">
        <v>6035</v>
      </c>
      <c r="D3856" s="226" t="s">
        <v>529</v>
      </c>
    </row>
    <row r="3857" spans="1:4">
      <c r="A3857" s="226" t="s">
        <v>6036</v>
      </c>
      <c r="B3857" s="226">
        <v>512131</v>
      </c>
      <c r="C3857" s="226" t="s">
        <v>6037</v>
      </c>
      <c r="D3857" s="226" t="s">
        <v>605</v>
      </c>
    </row>
    <row r="3858" spans="1:4">
      <c r="A3858" s="226" t="s">
        <v>6038</v>
      </c>
      <c r="B3858" s="226">
        <v>523606</v>
      </c>
      <c r="C3858" s="226" t="s">
        <v>486</v>
      </c>
      <c r="D3858" s="226" t="s">
        <v>958</v>
      </c>
    </row>
    <row r="3859" spans="1:4">
      <c r="A3859" s="226" t="s">
        <v>6039</v>
      </c>
      <c r="B3859" s="226" t="s">
        <v>486</v>
      </c>
      <c r="C3859" s="226" t="s">
        <v>6040</v>
      </c>
      <c r="D3859" s="226" t="s">
        <v>497</v>
      </c>
    </row>
    <row r="3860" spans="1:4">
      <c r="A3860" s="226" t="s">
        <v>6041</v>
      </c>
      <c r="B3860" s="226">
        <v>524642</v>
      </c>
      <c r="C3860" s="226" t="s">
        <v>486</v>
      </c>
      <c r="D3860" s="226" t="s">
        <v>572</v>
      </c>
    </row>
    <row r="3861" spans="1:4">
      <c r="A3861" s="226" t="s">
        <v>6042</v>
      </c>
      <c r="B3861" s="226">
        <v>521194</v>
      </c>
      <c r="C3861" s="226" t="s">
        <v>6043</v>
      </c>
      <c r="D3861" s="226" t="s">
        <v>470</v>
      </c>
    </row>
    <row r="3862" spans="1:4">
      <c r="A3862" s="226" t="s">
        <v>6044</v>
      </c>
      <c r="B3862" s="226" t="s">
        <v>486</v>
      </c>
      <c r="C3862" s="226" t="s">
        <v>6045</v>
      </c>
      <c r="D3862" s="226" t="s">
        <v>497</v>
      </c>
    </row>
    <row r="3863" spans="1:4">
      <c r="A3863" s="226" t="s">
        <v>6046</v>
      </c>
      <c r="B3863" s="226" t="s">
        <v>486</v>
      </c>
      <c r="C3863" s="226" t="s">
        <v>6047</v>
      </c>
      <c r="D3863" s="226" t="s">
        <v>497</v>
      </c>
    </row>
    <row r="3864" spans="1:4">
      <c r="A3864" s="226" t="s">
        <v>6048</v>
      </c>
      <c r="B3864" s="226">
        <v>531635</v>
      </c>
      <c r="C3864" s="226" t="s">
        <v>486</v>
      </c>
      <c r="D3864" s="226" t="s">
        <v>1117</v>
      </c>
    </row>
    <row r="3865" spans="1:4">
      <c r="A3865" s="226" t="s">
        <v>6049</v>
      </c>
      <c r="B3865" s="226">
        <v>512197</v>
      </c>
      <c r="C3865" s="226" t="s">
        <v>486</v>
      </c>
      <c r="D3865" s="226" t="s">
        <v>503</v>
      </c>
    </row>
    <row r="3866" spans="1:4">
      <c r="A3866" s="226" t="s">
        <v>6050</v>
      </c>
      <c r="B3866" s="226">
        <v>531635</v>
      </c>
      <c r="C3866" s="226" t="s">
        <v>486</v>
      </c>
      <c r="D3866" s="226" t="s">
        <v>1117</v>
      </c>
    </row>
    <row r="3867" spans="1:4">
      <c r="A3867" s="226" t="s">
        <v>6051</v>
      </c>
      <c r="B3867" s="226" t="s">
        <v>486</v>
      </c>
      <c r="C3867" s="226" t="s">
        <v>6052</v>
      </c>
      <c r="D3867" s="226" t="s">
        <v>497</v>
      </c>
    </row>
    <row r="3868" spans="1:4">
      <c r="A3868" s="226" t="s">
        <v>6053</v>
      </c>
      <c r="B3868" s="226">
        <v>536073</v>
      </c>
      <c r="C3868" s="226" t="s">
        <v>486</v>
      </c>
      <c r="D3868" s="226" t="s">
        <v>883</v>
      </c>
    </row>
    <row r="3869" spans="1:4">
      <c r="A3869" s="226" t="s">
        <v>6054</v>
      </c>
      <c r="B3869" s="226">
        <v>539742</v>
      </c>
      <c r="C3869" s="226" t="s">
        <v>6055</v>
      </c>
      <c r="D3869" s="226" t="s">
        <v>1184</v>
      </c>
    </row>
    <row r="3870" spans="1:4">
      <c r="A3870" s="226" t="s">
        <v>6056</v>
      </c>
      <c r="B3870" s="226">
        <v>507998</v>
      </c>
      <c r="C3870" s="226" t="s">
        <v>486</v>
      </c>
      <c r="D3870" s="226" t="s">
        <v>840</v>
      </c>
    </row>
    <row r="3871" spans="1:4">
      <c r="A3871" s="226" t="s">
        <v>6057</v>
      </c>
      <c r="B3871" s="226">
        <v>513472</v>
      </c>
      <c r="C3871" s="226" t="s">
        <v>486</v>
      </c>
      <c r="D3871" s="226" t="s">
        <v>1403</v>
      </c>
    </row>
    <row r="3872" spans="1:4">
      <c r="A3872" s="226" t="s">
        <v>6058</v>
      </c>
      <c r="B3872" s="226">
        <v>523838</v>
      </c>
      <c r="C3872" s="226" t="s">
        <v>6059</v>
      </c>
      <c r="D3872" s="226" t="s">
        <v>883</v>
      </c>
    </row>
    <row r="3873" spans="1:4">
      <c r="A3873" s="226" t="s">
        <v>6060</v>
      </c>
      <c r="B3873" s="226">
        <v>533018</v>
      </c>
      <c r="C3873" s="226" t="s">
        <v>486</v>
      </c>
      <c r="D3873" s="226" t="s">
        <v>501</v>
      </c>
    </row>
    <row r="3874" spans="1:4">
      <c r="A3874" s="226" t="s">
        <v>6061</v>
      </c>
      <c r="B3874" s="226">
        <v>533019</v>
      </c>
      <c r="C3874" s="226" t="s">
        <v>486</v>
      </c>
      <c r="D3874" s="226" t="s">
        <v>480</v>
      </c>
    </row>
    <row r="3875" spans="1:4">
      <c r="A3875" s="226" t="s">
        <v>6062</v>
      </c>
      <c r="B3875" s="226">
        <v>503229</v>
      </c>
      <c r="C3875" s="226" t="s">
        <v>486</v>
      </c>
      <c r="D3875" s="226" t="s">
        <v>572</v>
      </c>
    </row>
    <row r="3876" spans="1:4">
      <c r="A3876" s="226" t="s">
        <v>6063</v>
      </c>
      <c r="B3876" s="226">
        <v>519566</v>
      </c>
      <c r="C3876" s="226" t="s">
        <v>486</v>
      </c>
      <c r="D3876" s="226" t="s">
        <v>546</v>
      </c>
    </row>
    <row r="3877" spans="1:4">
      <c r="A3877" s="226" t="s">
        <v>6064</v>
      </c>
      <c r="B3877" s="226">
        <v>523023</v>
      </c>
      <c r="C3877" s="226" t="s">
        <v>486</v>
      </c>
      <c r="D3877" s="226" t="s">
        <v>686</v>
      </c>
    </row>
    <row r="3878" spans="1:4">
      <c r="A3878" s="226" t="s">
        <v>6065</v>
      </c>
      <c r="B3878" s="226">
        <v>532029</v>
      </c>
      <c r="C3878" s="226" t="s">
        <v>486</v>
      </c>
      <c r="D3878" s="226" t="s">
        <v>906</v>
      </c>
    </row>
    <row r="3879" spans="1:4">
      <c r="A3879" s="226" t="s">
        <v>6066</v>
      </c>
      <c r="B3879" s="226">
        <v>505504</v>
      </c>
      <c r="C3879" s="226" t="s">
        <v>486</v>
      </c>
      <c r="D3879" s="226" t="s">
        <v>473</v>
      </c>
    </row>
    <row r="3880" spans="1:4">
      <c r="A3880" s="226" t="s">
        <v>6067</v>
      </c>
      <c r="B3880" s="226">
        <v>505729</v>
      </c>
      <c r="C3880" s="226" t="s">
        <v>486</v>
      </c>
      <c r="D3880" s="226" t="s">
        <v>494</v>
      </c>
    </row>
    <row r="3881" spans="1:4">
      <c r="A3881" s="226" t="s">
        <v>6068</v>
      </c>
      <c r="B3881" s="226">
        <v>505729</v>
      </c>
      <c r="C3881" s="226" t="s">
        <v>486</v>
      </c>
      <c r="D3881" s="226" t="s">
        <v>494</v>
      </c>
    </row>
    <row r="3882" spans="1:4">
      <c r="A3882" s="226" t="s">
        <v>6069</v>
      </c>
      <c r="B3882" s="226">
        <v>509887</v>
      </c>
      <c r="C3882" s="226" t="s">
        <v>486</v>
      </c>
      <c r="D3882" s="226" t="s">
        <v>2653</v>
      </c>
    </row>
    <row r="3883" spans="1:4">
      <c r="A3883" s="226" t="s">
        <v>6070</v>
      </c>
      <c r="B3883" s="226">
        <v>539410</v>
      </c>
      <c r="C3883" s="226" t="s">
        <v>486</v>
      </c>
      <c r="D3883" s="226" t="s">
        <v>508</v>
      </c>
    </row>
    <row r="3884" spans="1:4">
      <c r="A3884" s="226" t="s">
        <v>6071</v>
      </c>
      <c r="B3884" s="226">
        <v>539410</v>
      </c>
      <c r="C3884" s="226" t="s">
        <v>486</v>
      </c>
      <c r="D3884" s="226" t="s">
        <v>508</v>
      </c>
    </row>
    <row r="3885" spans="1:4">
      <c r="A3885" s="226" t="s">
        <v>6072</v>
      </c>
      <c r="B3885" s="226" t="s">
        <v>486</v>
      </c>
      <c r="C3885" s="226" t="s">
        <v>6073</v>
      </c>
      <c r="D3885" s="226" t="s">
        <v>497</v>
      </c>
    </row>
    <row r="3886" spans="1:4">
      <c r="A3886" s="226" t="s">
        <v>6074</v>
      </c>
      <c r="B3886" s="226" t="s">
        <v>486</v>
      </c>
      <c r="C3886" s="226" t="s">
        <v>6073</v>
      </c>
      <c r="D3886" s="226" t="s">
        <v>497</v>
      </c>
    </row>
    <row r="3887" spans="1:4">
      <c r="A3887" s="226" t="s">
        <v>6075</v>
      </c>
      <c r="B3887" s="226">
        <v>502742</v>
      </c>
      <c r="C3887" s="226" t="s">
        <v>6076</v>
      </c>
      <c r="D3887" s="226" t="s">
        <v>501</v>
      </c>
    </row>
    <row r="3888" spans="1:4">
      <c r="A3888" s="226" t="s">
        <v>6077</v>
      </c>
      <c r="B3888" s="226">
        <v>540653</v>
      </c>
      <c r="C3888" s="226" t="s">
        <v>6078</v>
      </c>
      <c r="D3888" s="226" t="s">
        <v>605</v>
      </c>
    </row>
    <row r="3889" spans="1:4">
      <c r="A3889" s="226" t="s">
        <v>6079</v>
      </c>
      <c r="B3889" s="226">
        <v>523164</v>
      </c>
      <c r="C3889" s="226" t="s">
        <v>486</v>
      </c>
      <c r="D3889" s="226" t="s">
        <v>683</v>
      </c>
    </row>
    <row r="3890" spans="1:4">
      <c r="A3890" s="226" t="s">
        <v>6080</v>
      </c>
      <c r="B3890" s="226">
        <v>532879</v>
      </c>
      <c r="C3890" s="226" t="s">
        <v>486</v>
      </c>
      <c r="D3890" s="226" t="s">
        <v>1184</v>
      </c>
    </row>
    <row r="3891" spans="1:4">
      <c r="A3891" s="226" t="s">
        <v>6081</v>
      </c>
      <c r="B3891" s="226" t="s">
        <v>486</v>
      </c>
      <c r="C3891" s="226" t="s">
        <v>6082</v>
      </c>
      <c r="D3891" s="226" t="s">
        <v>497</v>
      </c>
    </row>
    <row r="3892" spans="1:4">
      <c r="A3892" s="226" t="s">
        <v>6083</v>
      </c>
      <c r="B3892" s="226" t="s">
        <v>486</v>
      </c>
      <c r="C3892" s="226" t="s">
        <v>6082</v>
      </c>
      <c r="D3892" s="226" t="s">
        <v>497</v>
      </c>
    </row>
    <row r="3893" spans="1:4">
      <c r="A3893" s="226" t="s">
        <v>6084</v>
      </c>
      <c r="B3893" s="226">
        <v>538667</v>
      </c>
      <c r="C3893" s="226" t="s">
        <v>486</v>
      </c>
      <c r="D3893" s="226" t="s">
        <v>508</v>
      </c>
    </row>
    <row r="3894" spans="1:4">
      <c r="A3894" s="226" t="s">
        <v>6085</v>
      </c>
      <c r="B3894" s="226">
        <v>512589</v>
      </c>
      <c r="C3894" s="226" t="s">
        <v>486</v>
      </c>
      <c r="D3894" s="226" t="s">
        <v>508</v>
      </c>
    </row>
    <row r="3895" spans="1:4">
      <c r="A3895" s="226" t="s">
        <v>6086</v>
      </c>
      <c r="B3895" s="226">
        <v>532961</v>
      </c>
      <c r="C3895" s="226" t="s">
        <v>6087</v>
      </c>
      <c r="D3895" s="226" t="s">
        <v>566</v>
      </c>
    </row>
    <row r="3896" spans="1:4">
      <c r="A3896" s="226" t="s">
        <v>6088</v>
      </c>
      <c r="B3896" s="226">
        <v>532795</v>
      </c>
      <c r="C3896" s="226" t="s">
        <v>6089</v>
      </c>
      <c r="D3896" s="226" t="s">
        <v>1222</v>
      </c>
    </row>
    <row r="3897" spans="1:4">
      <c r="A3897" s="226" t="s">
        <v>6090</v>
      </c>
      <c r="B3897" s="226">
        <v>503811</v>
      </c>
      <c r="C3897" s="226" t="s">
        <v>6091</v>
      </c>
      <c r="D3897" s="226" t="s">
        <v>501</v>
      </c>
    </row>
    <row r="3898" spans="1:4">
      <c r="A3898" s="226" t="s">
        <v>6092</v>
      </c>
      <c r="B3898" s="226">
        <v>504398</v>
      </c>
      <c r="C3898" s="226" t="s">
        <v>486</v>
      </c>
      <c r="D3898" s="226" t="s">
        <v>599</v>
      </c>
    </row>
    <row r="3899" spans="1:4">
      <c r="A3899" s="226" t="s">
        <v>6093</v>
      </c>
      <c r="B3899" s="226">
        <v>533206</v>
      </c>
      <c r="C3899" s="226" t="s">
        <v>6094</v>
      </c>
      <c r="D3899" s="226" t="s">
        <v>624</v>
      </c>
    </row>
    <row r="3900" spans="1:4">
      <c r="A3900" s="226" t="s">
        <v>6095</v>
      </c>
      <c r="B3900" s="226">
        <v>500472</v>
      </c>
      <c r="C3900" s="226" t="s">
        <v>6096</v>
      </c>
      <c r="D3900" s="226" t="s">
        <v>670</v>
      </c>
    </row>
    <row r="3901" spans="1:4">
      <c r="A3901" s="226" t="s">
        <v>6097</v>
      </c>
      <c r="B3901" s="226">
        <v>500472</v>
      </c>
      <c r="C3901" s="226" t="s">
        <v>6098</v>
      </c>
      <c r="D3901" s="226" t="s">
        <v>670</v>
      </c>
    </row>
    <row r="3902" spans="1:4">
      <c r="A3902" s="226" t="s">
        <v>6099</v>
      </c>
      <c r="B3902" s="226">
        <v>539861</v>
      </c>
      <c r="C3902" s="226" t="s">
        <v>6100</v>
      </c>
      <c r="D3902" s="226" t="s">
        <v>883</v>
      </c>
    </row>
    <row r="3903" spans="1:4">
      <c r="A3903" s="226" t="s">
        <v>6101</v>
      </c>
      <c r="B3903" s="226">
        <v>538562</v>
      </c>
      <c r="C3903" s="226" t="s">
        <v>6102</v>
      </c>
      <c r="D3903" s="226" t="s">
        <v>883</v>
      </c>
    </row>
    <row r="3904" spans="1:4">
      <c r="A3904" s="226" t="s">
        <v>6103</v>
      </c>
      <c r="B3904" s="226">
        <v>532143</v>
      </c>
      <c r="C3904" s="226" t="s">
        <v>6104</v>
      </c>
      <c r="D3904" s="226" t="s">
        <v>566</v>
      </c>
    </row>
    <row r="3905" spans="1:4">
      <c r="A3905" s="226" t="s">
        <v>6105</v>
      </c>
      <c r="B3905" s="226">
        <v>532143</v>
      </c>
      <c r="C3905" s="226" t="s">
        <v>6104</v>
      </c>
      <c r="D3905" s="226" t="s">
        <v>566</v>
      </c>
    </row>
    <row r="3906" spans="1:4">
      <c r="A3906" s="226" t="s">
        <v>6106</v>
      </c>
      <c r="B3906" s="226">
        <v>531169</v>
      </c>
      <c r="C3906" s="226" t="s">
        <v>486</v>
      </c>
      <c r="D3906" s="226" t="s">
        <v>503</v>
      </c>
    </row>
    <row r="3907" spans="1:4">
      <c r="A3907" s="226" t="s">
        <v>6107</v>
      </c>
      <c r="B3907" s="226" t="s">
        <v>486</v>
      </c>
      <c r="C3907" s="226" t="s">
        <v>6108</v>
      </c>
      <c r="D3907" s="226" t="s">
        <v>497</v>
      </c>
    </row>
    <row r="3908" spans="1:4">
      <c r="A3908" s="226" t="s">
        <v>6109</v>
      </c>
      <c r="B3908" s="226">
        <v>541967</v>
      </c>
      <c r="C3908" s="226" t="s">
        <v>486</v>
      </c>
      <c r="D3908" s="226" t="s">
        <v>599</v>
      </c>
    </row>
    <row r="3909" spans="1:4">
      <c r="A3909" s="226" t="s">
        <v>6110</v>
      </c>
      <c r="B3909" s="226">
        <v>526479</v>
      </c>
      <c r="C3909" s="226" t="s">
        <v>486</v>
      </c>
      <c r="D3909" s="226" t="s">
        <v>501</v>
      </c>
    </row>
    <row r="3910" spans="1:4">
      <c r="A3910" s="226" t="s">
        <v>6111</v>
      </c>
      <c r="B3910" s="226">
        <v>505650</v>
      </c>
      <c r="C3910" s="226" t="s">
        <v>486</v>
      </c>
      <c r="D3910" s="226" t="s">
        <v>564</v>
      </c>
    </row>
    <row r="3911" spans="1:4">
      <c r="A3911" s="226" t="s">
        <v>6112</v>
      </c>
      <c r="B3911" s="226">
        <v>538919</v>
      </c>
      <c r="C3911" s="226" t="s">
        <v>486</v>
      </c>
      <c r="D3911" s="226" t="s">
        <v>572</v>
      </c>
    </row>
    <row r="3912" spans="1:4">
      <c r="A3912" s="226" t="s">
        <v>6113</v>
      </c>
      <c r="B3912" s="226">
        <v>538919</v>
      </c>
      <c r="C3912" s="226" t="s">
        <v>486</v>
      </c>
      <c r="D3912" s="226" t="s">
        <v>572</v>
      </c>
    </row>
    <row r="3913" spans="1:4">
      <c r="A3913" s="226" t="s">
        <v>6114</v>
      </c>
      <c r="B3913" s="226">
        <v>539494</v>
      </c>
      <c r="C3913" s="226" t="s">
        <v>486</v>
      </c>
      <c r="D3913" s="226" t="s">
        <v>503</v>
      </c>
    </row>
    <row r="3914" spans="1:4">
      <c r="A3914" s="226" t="s">
        <v>6115</v>
      </c>
      <c r="B3914" s="226">
        <v>532419</v>
      </c>
      <c r="C3914" s="226" t="s">
        <v>6116</v>
      </c>
      <c r="D3914" s="226" t="s">
        <v>2110</v>
      </c>
    </row>
    <row r="3915" spans="1:4">
      <c r="A3915" s="226" t="s">
        <v>6117</v>
      </c>
      <c r="B3915" s="226">
        <v>508905</v>
      </c>
      <c r="C3915" s="226" t="s">
        <v>486</v>
      </c>
      <c r="D3915" s="226" t="s">
        <v>470</v>
      </c>
    </row>
    <row r="3916" spans="1:4">
      <c r="A3916" s="226" t="s">
        <v>6118</v>
      </c>
      <c r="B3916" s="226">
        <v>505192</v>
      </c>
      <c r="C3916" s="226" t="s">
        <v>6119</v>
      </c>
      <c r="D3916" s="226" t="s">
        <v>564</v>
      </c>
    </row>
    <row r="3917" spans="1:4">
      <c r="A3917" s="226" t="s">
        <v>6120</v>
      </c>
      <c r="B3917" s="226">
        <v>540686</v>
      </c>
      <c r="C3917" s="226" t="s">
        <v>486</v>
      </c>
      <c r="D3917" s="226" t="s">
        <v>524</v>
      </c>
    </row>
    <row r="3918" spans="1:4">
      <c r="A3918" s="226" t="s">
        <v>6121</v>
      </c>
      <c r="B3918" s="226">
        <v>540679</v>
      </c>
      <c r="C3918" s="226" t="s">
        <v>6122</v>
      </c>
      <c r="D3918" s="226" t="s">
        <v>524</v>
      </c>
    </row>
    <row r="3919" spans="1:4">
      <c r="A3919" s="226" t="s">
        <v>6123</v>
      </c>
      <c r="B3919" s="226">
        <v>540679</v>
      </c>
      <c r="C3919" s="226" t="s">
        <v>6122</v>
      </c>
      <c r="D3919" s="226" t="s">
        <v>524</v>
      </c>
    </row>
    <row r="3920" spans="1:4">
      <c r="A3920" s="226" t="s">
        <v>6124</v>
      </c>
      <c r="B3920" s="226">
        <v>532815</v>
      </c>
      <c r="C3920" s="226" t="s">
        <v>6125</v>
      </c>
      <c r="D3920" s="226" t="s">
        <v>524</v>
      </c>
    </row>
    <row r="3921" spans="1:4">
      <c r="A3921" s="226" t="s">
        <v>6126</v>
      </c>
      <c r="B3921" s="226" t="s">
        <v>486</v>
      </c>
      <c r="C3921" s="226" t="s">
        <v>6127</v>
      </c>
      <c r="D3921" s="226" t="s">
        <v>497</v>
      </c>
    </row>
    <row r="3922" spans="1:4">
      <c r="A3922" s="226" t="s">
        <v>6128</v>
      </c>
      <c r="B3922" s="226">
        <v>505827</v>
      </c>
      <c r="C3922" s="226" t="s">
        <v>486</v>
      </c>
      <c r="D3922" s="226" t="s">
        <v>670</v>
      </c>
    </row>
    <row r="3923" spans="1:4">
      <c r="A3923" s="226" t="s">
        <v>6129</v>
      </c>
      <c r="B3923" s="226">
        <v>538635</v>
      </c>
      <c r="C3923" s="226" t="s">
        <v>6130</v>
      </c>
      <c r="D3923" s="226" t="s">
        <v>806</v>
      </c>
    </row>
    <row r="3924" spans="1:4">
      <c r="A3924" s="226" t="s">
        <v>6131</v>
      </c>
      <c r="B3924" s="226">
        <v>532784</v>
      </c>
      <c r="C3924" s="226" t="s">
        <v>6132</v>
      </c>
      <c r="D3924" s="226" t="s">
        <v>572</v>
      </c>
    </row>
    <row r="3925" spans="1:4">
      <c r="A3925" s="226" t="s">
        <v>6133</v>
      </c>
      <c r="B3925" s="226">
        <v>512014</v>
      </c>
      <c r="C3925" s="226" t="s">
        <v>486</v>
      </c>
      <c r="D3925" s="226" t="s">
        <v>906</v>
      </c>
    </row>
    <row r="3926" spans="1:4">
      <c r="A3926" s="226" t="s">
        <v>6134</v>
      </c>
      <c r="B3926" s="226">
        <v>538923</v>
      </c>
      <c r="C3926" s="226" t="s">
        <v>486</v>
      </c>
      <c r="D3926" s="226" t="s">
        <v>473</v>
      </c>
    </row>
    <row r="3927" spans="1:4">
      <c r="A3927" s="226" t="s">
        <v>6135</v>
      </c>
      <c r="B3927" s="226">
        <v>504375</v>
      </c>
      <c r="C3927" s="226" t="s">
        <v>486</v>
      </c>
      <c r="D3927" s="226" t="s">
        <v>473</v>
      </c>
    </row>
    <row r="3928" spans="1:4">
      <c r="A3928" s="226" t="s">
        <v>6136</v>
      </c>
      <c r="B3928" s="226">
        <v>532344</v>
      </c>
      <c r="C3928" s="226" t="s">
        <v>486</v>
      </c>
      <c r="D3928" s="226" t="s">
        <v>579</v>
      </c>
    </row>
    <row r="3929" spans="1:4">
      <c r="A3929" s="226" t="s">
        <v>6137</v>
      </c>
      <c r="B3929" s="226">
        <v>532344</v>
      </c>
      <c r="C3929" s="226" t="s">
        <v>486</v>
      </c>
      <c r="D3929" s="226" t="s">
        <v>579</v>
      </c>
    </row>
    <row r="3930" spans="1:4">
      <c r="A3930" s="226" t="s">
        <v>6138</v>
      </c>
      <c r="B3930" s="226" t="s">
        <v>486</v>
      </c>
      <c r="C3930" s="226" t="s">
        <v>6139</v>
      </c>
      <c r="D3930" s="226" t="s">
        <v>497</v>
      </c>
    </row>
    <row r="3931" spans="1:4">
      <c r="A3931" s="226" t="s">
        <v>6140</v>
      </c>
      <c r="B3931" s="226">
        <v>532725</v>
      </c>
      <c r="C3931" s="226" t="s">
        <v>6141</v>
      </c>
      <c r="D3931" s="226" t="s">
        <v>645</v>
      </c>
    </row>
    <row r="3932" spans="1:4">
      <c r="A3932" s="226" t="s">
        <v>6142</v>
      </c>
      <c r="B3932" s="226">
        <v>532725</v>
      </c>
      <c r="C3932" s="226" t="s">
        <v>6141</v>
      </c>
      <c r="D3932" s="226" t="s">
        <v>645</v>
      </c>
    </row>
    <row r="3933" spans="1:4">
      <c r="A3933" s="226" t="s">
        <v>6143</v>
      </c>
      <c r="B3933" s="226">
        <v>541540</v>
      </c>
      <c r="C3933" s="226" t="s">
        <v>6144</v>
      </c>
      <c r="D3933" s="226" t="s">
        <v>524</v>
      </c>
    </row>
    <row r="3934" spans="1:4">
      <c r="A3934" s="226" t="s">
        <v>6145</v>
      </c>
      <c r="B3934" s="226" t="s">
        <v>486</v>
      </c>
      <c r="C3934" s="226" t="s">
        <v>6146</v>
      </c>
      <c r="D3934" s="226" t="s">
        <v>497</v>
      </c>
    </row>
    <row r="3935" spans="1:4">
      <c r="A3935" s="226" t="s">
        <v>6147</v>
      </c>
      <c r="B3935" s="226">
        <v>500394</v>
      </c>
      <c r="C3935" s="226" t="s">
        <v>486</v>
      </c>
      <c r="D3935" s="226" t="s">
        <v>670</v>
      </c>
    </row>
    <row r="3936" spans="1:4">
      <c r="A3936" s="226" t="s">
        <v>6148</v>
      </c>
      <c r="B3936" s="226">
        <v>502460</v>
      </c>
      <c r="C3936" s="226" t="s">
        <v>486</v>
      </c>
      <c r="D3936" s="226" t="s">
        <v>480</v>
      </c>
    </row>
    <row r="3937" spans="1:4">
      <c r="A3937" s="226" t="s">
        <v>6149</v>
      </c>
      <c r="B3937" s="226">
        <v>513699</v>
      </c>
      <c r="C3937" s="226" t="s">
        <v>486</v>
      </c>
      <c r="D3937" s="226" t="s">
        <v>1013</v>
      </c>
    </row>
    <row r="3938" spans="1:4">
      <c r="A3938" s="226" t="s">
        <v>6150</v>
      </c>
      <c r="B3938" s="226">
        <v>538575</v>
      </c>
      <c r="C3938" s="226" t="s">
        <v>486</v>
      </c>
      <c r="D3938" s="226" t="s">
        <v>508</v>
      </c>
    </row>
    <row r="3939" spans="1:4">
      <c r="A3939" s="226" t="s">
        <v>6151</v>
      </c>
      <c r="B3939" s="226">
        <v>522152</v>
      </c>
      <c r="C3939" s="226" t="s">
        <v>486</v>
      </c>
      <c r="D3939" s="226" t="s">
        <v>494</v>
      </c>
    </row>
    <row r="3940" spans="1:4">
      <c r="A3940" s="226" t="s">
        <v>6152</v>
      </c>
      <c r="B3940" s="226">
        <v>511571</v>
      </c>
      <c r="C3940" s="226" t="s">
        <v>486</v>
      </c>
      <c r="D3940" s="226" t="s">
        <v>503</v>
      </c>
    </row>
    <row r="3941" spans="1:4">
      <c r="A3941" s="226" t="s">
        <v>6153</v>
      </c>
      <c r="B3941" s="226">
        <v>507514</v>
      </c>
      <c r="C3941" s="226" t="s">
        <v>6154</v>
      </c>
      <c r="D3941" s="226" t="s">
        <v>1117</v>
      </c>
    </row>
    <row r="3942" spans="1:4">
      <c r="A3942" s="226" t="s">
        <v>6155</v>
      </c>
      <c r="B3942" s="226">
        <v>521034</v>
      </c>
      <c r="C3942" s="226" t="s">
        <v>6156</v>
      </c>
      <c r="D3942" s="226" t="s">
        <v>501</v>
      </c>
    </row>
    <row r="3943" spans="1:4">
      <c r="A3943" s="226" t="s">
        <v>6157</v>
      </c>
      <c r="B3943" s="226">
        <v>531548</v>
      </c>
      <c r="C3943" s="226" t="s">
        <v>6158</v>
      </c>
      <c r="D3943" s="226" t="s">
        <v>762</v>
      </c>
    </row>
    <row r="3944" spans="1:4">
      <c r="A3944" s="226" t="s">
        <v>6159</v>
      </c>
      <c r="B3944" s="226">
        <v>533001</v>
      </c>
      <c r="C3944" s="226" t="s">
        <v>6160</v>
      </c>
      <c r="D3944" s="226" t="s">
        <v>494</v>
      </c>
    </row>
    <row r="3945" spans="1:4">
      <c r="A3945" s="226" t="s">
        <v>6161</v>
      </c>
      <c r="B3945" s="226">
        <v>526901</v>
      </c>
      <c r="C3945" s="226" t="s">
        <v>486</v>
      </c>
      <c r="D3945" s="226" t="s">
        <v>534</v>
      </c>
    </row>
    <row r="3946" spans="1:4">
      <c r="A3946" s="226" t="s">
        <v>6162</v>
      </c>
      <c r="B3946" s="226">
        <v>538943</v>
      </c>
      <c r="C3946" s="226" t="s">
        <v>486</v>
      </c>
      <c r="D3946" s="226" t="s">
        <v>503</v>
      </c>
    </row>
    <row r="3947" spans="1:4">
      <c r="A3947" s="226" t="s">
        <v>6163</v>
      </c>
      <c r="B3947" s="226" t="s">
        <v>486</v>
      </c>
      <c r="C3947" s="226" t="s">
        <v>6164</v>
      </c>
      <c r="D3947" s="226" t="s">
        <v>497</v>
      </c>
    </row>
    <row r="3948" spans="1:4">
      <c r="A3948" s="226" t="s">
        <v>6165</v>
      </c>
      <c r="B3948" s="226">
        <v>532221</v>
      </c>
      <c r="C3948" s="226" t="s">
        <v>6166</v>
      </c>
      <c r="D3948" s="226" t="s">
        <v>473</v>
      </c>
    </row>
    <row r="3949" spans="1:4">
      <c r="A3949" s="226" t="s">
        <v>6167</v>
      </c>
      <c r="B3949" s="226">
        <v>539378</v>
      </c>
      <c r="C3949" s="226" t="s">
        <v>486</v>
      </c>
      <c r="D3949" s="226" t="s">
        <v>955</v>
      </c>
    </row>
    <row r="3950" spans="1:4">
      <c r="A3950" s="226" t="s">
        <v>6168</v>
      </c>
      <c r="B3950" s="226" t="s">
        <v>486</v>
      </c>
      <c r="C3950" s="226" t="s">
        <v>6169</v>
      </c>
      <c r="D3950" s="226" t="s">
        <v>497</v>
      </c>
    </row>
    <row r="3951" spans="1:4">
      <c r="A3951" s="226" t="s">
        <v>6170</v>
      </c>
      <c r="B3951" s="226">
        <v>541633</v>
      </c>
      <c r="C3951" s="226" t="s">
        <v>486</v>
      </c>
      <c r="D3951" s="226" t="s">
        <v>480</v>
      </c>
    </row>
    <row r="3952" spans="1:4">
      <c r="A3952" s="226" t="s">
        <v>6171</v>
      </c>
      <c r="B3952" s="226">
        <v>532679</v>
      </c>
      <c r="C3952" s="226" t="s">
        <v>6172</v>
      </c>
      <c r="D3952" s="226" t="s">
        <v>346</v>
      </c>
    </row>
    <row r="3953" spans="1:4">
      <c r="A3953" s="226" t="s">
        <v>6173</v>
      </c>
      <c r="B3953" s="226">
        <v>521036</v>
      </c>
      <c r="C3953" s="226" t="s">
        <v>486</v>
      </c>
      <c r="D3953" s="226" t="s">
        <v>501</v>
      </c>
    </row>
    <row r="3954" spans="1:4">
      <c r="A3954" s="226" t="s">
        <v>6174</v>
      </c>
      <c r="B3954" s="226">
        <v>521036</v>
      </c>
      <c r="C3954" s="226" t="s">
        <v>486</v>
      </c>
      <c r="D3954" s="226" t="s">
        <v>501</v>
      </c>
    </row>
    <row r="3955" spans="1:4">
      <c r="A3955" s="226" t="s">
        <v>6175</v>
      </c>
      <c r="B3955" s="226">
        <v>531398</v>
      </c>
      <c r="C3955" s="226" t="s">
        <v>486</v>
      </c>
      <c r="D3955" s="226" t="s">
        <v>524</v>
      </c>
    </row>
    <row r="3956" spans="1:4">
      <c r="A3956" s="226" t="s">
        <v>6176</v>
      </c>
      <c r="B3956" s="226">
        <v>526477</v>
      </c>
      <c r="C3956" s="226" t="s">
        <v>486</v>
      </c>
      <c r="D3956" s="226" t="s">
        <v>663</v>
      </c>
    </row>
    <row r="3957" spans="1:4">
      <c r="A3957" s="226" t="s">
        <v>6177</v>
      </c>
      <c r="B3957" s="226">
        <v>516108</v>
      </c>
      <c r="C3957" s="226" t="s">
        <v>486</v>
      </c>
      <c r="D3957" s="226" t="s">
        <v>480</v>
      </c>
    </row>
    <row r="3958" spans="1:4">
      <c r="A3958" s="226" t="s">
        <v>6178</v>
      </c>
      <c r="B3958" s="226">
        <v>538891</v>
      </c>
      <c r="C3958" s="226" t="s">
        <v>486</v>
      </c>
      <c r="D3958" s="226" t="s">
        <v>503</v>
      </c>
    </row>
    <row r="3959" spans="1:4">
      <c r="A3959" s="226" t="s">
        <v>6179</v>
      </c>
      <c r="B3959" s="226" t="s">
        <v>486</v>
      </c>
      <c r="C3959" s="226" t="s">
        <v>6180</v>
      </c>
      <c r="D3959" s="226" t="s">
        <v>497</v>
      </c>
    </row>
    <row r="3960" spans="1:4">
      <c r="A3960" s="226" t="s">
        <v>6181</v>
      </c>
      <c r="B3960" s="226">
        <v>509910</v>
      </c>
      <c r="C3960" s="226" t="s">
        <v>486</v>
      </c>
      <c r="D3960" s="226" t="s">
        <v>534</v>
      </c>
    </row>
    <row r="3961" spans="1:4">
      <c r="A3961" s="226" t="s">
        <v>6182</v>
      </c>
      <c r="B3961" s="226">
        <v>540174</v>
      </c>
      <c r="C3961" s="226" t="s">
        <v>486</v>
      </c>
      <c r="D3961" s="226" t="s">
        <v>473</v>
      </c>
    </row>
    <row r="3962" spans="1:4">
      <c r="A3962" s="226" t="s">
        <v>6183</v>
      </c>
      <c r="B3962" s="226">
        <v>514454</v>
      </c>
      <c r="C3962" s="226" t="s">
        <v>486</v>
      </c>
      <c r="D3962" s="226" t="s">
        <v>501</v>
      </c>
    </row>
    <row r="3963" spans="1:4">
      <c r="A3963" s="226" t="s">
        <v>6184</v>
      </c>
      <c r="B3963" s="226">
        <v>513498</v>
      </c>
      <c r="C3963" s="226" t="s">
        <v>486</v>
      </c>
      <c r="D3963" s="226" t="s">
        <v>467</v>
      </c>
    </row>
    <row r="3964" spans="1:4">
      <c r="A3964" s="226" t="s">
        <v>6185</v>
      </c>
      <c r="B3964" s="226">
        <v>532669</v>
      </c>
      <c r="C3964" s="226" t="s">
        <v>486</v>
      </c>
      <c r="D3964" s="226" t="s">
        <v>534</v>
      </c>
    </row>
    <row r="3965" spans="1:4">
      <c r="A3965" s="226" t="s">
        <v>6186</v>
      </c>
      <c r="B3965" s="226">
        <v>590030</v>
      </c>
      <c r="C3965" s="226" t="s">
        <v>6187</v>
      </c>
      <c r="D3965" s="226" t="s">
        <v>993</v>
      </c>
    </row>
    <row r="3966" spans="1:4">
      <c r="A3966" s="226" t="s">
        <v>6188</v>
      </c>
      <c r="B3966" s="226">
        <v>523826</v>
      </c>
      <c r="C3966" s="226" t="s">
        <v>486</v>
      </c>
      <c r="D3966" s="226" t="s">
        <v>599</v>
      </c>
    </row>
    <row r="3967" spans="1:4">
      <c r="A3967" s="226" t="s">
        <v>6189</v>
      </c>
      <c r="B3967" s="226">
        <v>532025</v>
      </c>
      <c r="C3967" s="226" t="s">
        <v>486</v>
      </c>
      <c r="D3967" s="226" t="s">
        <v>489</v>
      </c>
    </row>
    <row r="3968" spans="1:4">
      <c r="A3968" s="226" t="s">
        <v>6190</v>
      </c>
      <c r="B3968" s="226">
        <v>530289</v>
      </c>
      <c r="C3968" s="226" t="s">
        <v>486</v>
      </c>
      <c r="D3968" s="226" t="s">
        <v>906</v>
      </c>
    </row>
    <row r="3969" spans="1:4">
      <c r="A3969" s="226" t="s">
        <v>6191</v>
      </c>
      <c r="B3969" s="226">
        <v>542376</v>
      </c>
      <c r="C3969" s="226" t="s">
        <v>6192</v>
      </c>
      <c r="D3969" s="226" t="s">
        <v>470</v>
      </c>
    </row>
    <row r="3970" spans="1:4">
      <c r="A3970" s="226" t="s">
        <v>6193</v>
      </c>
      <c r="B3970" s="226">
        <v>541890</v>
      </c>
      <c r="C3970" s="226" t="s">
        <v>486</v>
      </c>
      <c r="D3970" s="226" t="s">
        <v>473</v>
      </c>
    </row>
    <row r="3971" spans="1:4">
      <c r="A3971" s="226" t="s">
        <v>6194</v>
      </c>
      <c r="B3971" s="226">
        <v>538920</v>
      </c>
      <c r="C3971" s="226" t="s">
        <v>486</v>
      </c>
      <c r="D3971" s="226" t="s">
        <v>508</v>
      </c>
    </row>
    <row r="3972" spans="1:4">
      <c r="A3972" s="226" t="s">
        <v>6195</v>
      </c>
      <c r="B3972" s="226" t="s">
        <v>486</v>
      </c>
      <c r="C3972" s="226" t="s">
        <v>6196</v>
      </c>
      <c r="D3972" s="226" t="s">
        <v>577</v>
      </c>
    </row>
    <row r="3973" spans="1:4">
      <c r="A3973" s="226" t="s">
        <v>6197</v>
      </c>
      <c r="B3973" s="226" t="s">
        <v>486</v>
      </c>
      <c r="C3973" s="226" t="s">
        <v>6196</v>
      </c>
      <c r="D3973" s="226" t="s">
        <v>577</v>
      </c>
    </row>
    <row r="3974" spans="1:4">
      <c r="A3974" s="226" t="s">
        <v>6198</v>
      </c>
      <c r="B3974" s="226">
        <v>524727</v>
      </c>
      <c r="C3974" s="226" t="s">
        <v>486</v>
      </c>
      <c r="D3974" s="226" t="s">
        <v>524</v>
      </c>
    </row>
    <row r="3975" spans="1:4">
      <c r="A3975" s="226" t="s">
        <v>6199</v>
      </c>
      <c r="B3975" s="226">
        <v>531370</v>
      </c>
      <c r="C3975" s="226" t="s">
        <v>486</v>
      </c>
      <c r="D3975" s="226" t="s">
        <v>473</v>
      </c>
    </row>
    <row r="3976" spans="1:4">
      <c r="A3976" s="226" t="s">
        <v>6200</v>
      </c>
      <c r="B3976" s="226">
        <v>540211</v>
      </c>
      <c r="C3976" s="226" t="s">
        <v>486</v>
      </c>
      <c r="D3976" s="226" t="s">
        <v>503</v>
      </c>
    </row>
    <row r="3977" spans="1:4">
      <c r="A3977" s="226" t="s">
        <v>6201</v>
      </c>
      <c r="B3977" s="226">
        <v>534425</v>
      </c>
      <c r="C3977" s="226" t="s">
        <v>6202</v>
      </c>
      <c r="D3977" s="226" t="s">
        <v>974</v>
      </c>
    </row>
    <row r="3978" spans="1:4">
      <c r="A3978" s="226" t="s">
        <v>6203</v>
      </c>
      <c r="B3978" s="226">
        <v>513687</v>
      </c>
      <c r="C3978" s="226" t="s">
        <v>486</v>
      </c>
      <c r="D3978" s="226" t="s">
        <v>840</v>
      </c>
    </row>
    <row r="3979" spans="1:4">
      <c r="A3979" s="226" t="s">
        <v>6204</v>
      </c>
      <c r="B3979" s="226" t="s">
        <v>486</v>
      </c>
      <c r="C3979" s="226" t="s">
        <v>6205</v>
      </c>
      <c r="D3979" s="226" t="s">
        <v>497</v>
      </c>
    </row>
    <row r="3980" spans="1:4">
      <c r="A3980" s="226" t="s">
        <v>6206</v>
      </c>
      <c r="B3980" s="226">
        <v>531982</v>
      </c>
      <c r="C3980" s="226" t="s">
        <v>486</v>
      </c>
      <c r="D3980" s="226" t="s">
        <v>566</v>
      </c>
    </row>
    <row r="3981" spans="1:4">
      <c r="A3981" s="226" t="s">
        <v>6207</v>
      </c>
      <c r="B3981" s="226">
        <v>512153</v>
      </c>
      <c r="C3981" s="226" t="s">
        <v>486</v>
      </c>
      <c r="D3981" s="226" t="s">
        <v>906</v>
      </c>
    </row>
    <row r="3982" spans="1:4">
      <c r="A3982" s="226" t="s">
        <v>6208</v>
      </c>
      <c r="B3982" s="226">
        <v>512291</v>
      </c>
      <c r="C3982" s="226" t="s">
        <v>486</v>
      </c>
      <c r="D3982" s="226" t="s">
        <v>470</v>
      </c>
    </row>
    <row r="3983" spans="1:4">
      <c r="A3983" s="226" t="s">
        <v>6209</v>
      </c>
      <c r="B3983" s="226">
        <v>517166</v>
      </c>
      <c r="C3983" s="226" t="s">
        <v>486</v>
      </c>
      <c r="D3983" s="226" t="s">
        <v>1027</v>
      </c>
    </row>
    <row r="3984" spans="1:4">
      <c r="A3984" s="226" t="s">
        <v>6210</v>
      </c>
      <c r="B3984" s="226">
        <v>542337</v>
      </c>
      <c r="C3984" s="226" t="s">
        <v>6211</v>
      </c>
      <c r="D3984" s="226" t="s">
        <v>654</v>
      </c>
    </row>
    <row r="3985" spans="1:4">
      <c r="A3985" s="226" t="s">
        <v>6212</v>
      </c>
      <c r="B3985" s="226" t="s">
        <v>486</v>
      </c>
      <c r="C3985" s="226" t="s">
        <v>6213</v>
      </c>
      <c r="D3985" s="226" t="s">
        <v>654</v>
      </c>
    </row>
    <row r="3986" spans="1:4">
      <c r="A3986" s="226" t="s">
        <v>6214</v>
      </c>
      <c r="B3986" s="226">
        <v>526161</v>
      </c>
      <c r="C3986" s="226" t="s">
        <v>486</v>
      </c>
      <c r="D3986" s="226" t="s">
        <v>599</v>
      </c>
    </row>
    <row r="3987" spans="1:4">
      <c r="A3987" s="226" t="s">
        <v>6215</v>
      </c>
      <c r="B3987" s="226">
        <v>521082</v>
      </c>
      <c r="C3987" s="226" t="s">
        <v>6216</v>
      </c>
      <c r="D3987" s="226" t="s">
        <v>501</v>
      </c>
    </row>
    <row r="3988" spans="1:4">
      <c r="A3988" s="226" t="s">
        <v>6217</v>
      </c>
      <c r="B3988" s="226">
        <v>526827</v>
      </c>
      <c r="C3988" s="226" t="s">
        <v>486</v>
      </c>
      <c r="D3988" s="226" t="s">
        <v>599</v>
      </c>
    </row>
    <row r="3989" spans="1:4">
      <c r="A3989" s="226" t="s">
        <v>6218</v>
      </c>
      <c r="B3989" s="226">
        <v>517214</v>
      </c>
      <c r="C3989" s="226" t="s">
        <v>6219</v>
      </c>
      <c r="D3989" s="226" t="s">
        <v>631</v>
      </c>
    </row>
    <row r="3990" spans="1:4">
      <c r="A3990" s="226" t="s">
        <v>6220</v>
      </c>
      <c r="B3990" s="226">
        <v>500285</v>
      </c>
      <c r="C3990" s="226" t="s">
        <v>486</v>
      </c>
      <c r="D3990" s="226" t="s">
        <v>2620</v>
      </c>
    </row>
    <row r="3991" spans="1:4">
      <c r="A3991" s="226" t="s">
        <v>6221</v>
      </c>
      <c r="B3991" s="226">
        <v>540084</v>
      </c>
      <c r="C3991" s="226" t="s">
        <v>486</v>
      </c>
      <c r="D3991" s="226" t="s">
        <v>489</v>
      </c>
    </row>
    <row r="3992" spans="1:4">
      <c r="A3992" s="226" t="s">
        <v>6222</v>
      </c>
      <c r="B3992" s="226">
        <v>532651</v>
      </c>
      <c r="C3992" s="226" t="s">
        <v>6223</v>
      </c>
      <c r="D3992" s="226" t="s">
        <v>599</v>
      </c>
    </row>
    <row r="3993" spans="1:4">
      <c r="A3993" s="226" t="s">
        <v>6224</v>
      </c>
      <c r="B3993" s="226">
        <v>513414</v>
      </c>
      <c r="C3993" s="226" t="s">
        <v>6225</v>
      </c>
      <c r="D3993" s="226" t="s">
        <v>518</v>
      </c>
    </row>
    <row r="3994" spans="1:4">
      <c r="A3994" s="226" t="s">
        <v>6226</v>
      </c>
      <c r="B3994" s="226">
        <v>500402</v>
      </c>
      <c r="C3994" s="226" t="s">
        <v>6227</v>
      </c>
      <c r="D3994" s="226" t="s">
        <v>883</v>
      </c>
    </row>
    <row r="3995" spans="1:4">
      <c r="A3995" s="226" t="s">
        <v>6228</v>
      </c>
      <c r="B3995" s="226">
        <v>539221</v>
      </c>
      <c r="C3995" s="226" t="s">
        <v>486</v>
      </c>
      <c r="D3995" s="226" t="s">
        <v>501</v>
      </c>
    </row>
    <row r="3996" spans="1:4">
      <c r="A3996" s="226" t="s">
        <v>6229</v>
      </c>
      <c r="B3996" s="226">
        <v>539221</v>
      </c>
      <c r="C3996" s="226" t="s">
        <v>486</v>
      </c>
      <c r="D3996" s="226" t="s">
        <v>501</v>
      </c>
    </row>
    <row r="3997" spans="1:4">
      <c r="A3997" s="226" t="s">
        <v>6230</v>
      </c>
      <c r="B3997" s="226">
        <v>540079</v>
      </c>
      <c r="C3997" s="226" t="s">
        <v>486</v>
      </c>
      <c r="D3997" s="226" t="s">
        <v>1403</v>
      </c>
    </row>
    <row r="3998" spans="1:4">
      <c r="A3998" s="226" t="s">
        <v>6231</v>
      </c>
      <c r="B3998" s="226">
        <v>540570</v>
      </c>
      <c r="C3998" s="226" t="s">
        <v>6232</v>
      </c>
      <c r="D3998" s="226" t="s">
        <v>5301</v>
      </c>
    </row>
    <row r="3999" spans="1:4">
      <c r="A3999" s="226" t="s">
        <v>6233</v>
      </c>
      <c r="B3999" s="226">
        <v>538402</v>
      </c>
      <c r="C3999" s="226" t="s">
        <v>486</v>
      </c>
      <c r="D3999" s="226" t="s">
        <v>503</v>
      </c>
    </row>
    <row r="4000" spans="1:4">
      <c r="A4000" s="226" t="s">
        <v>6234</v>
      </c>
      <c r="B4000" s="226">
        <v>530177</v>
      </c>
      <c r="C4000" s="226" t="s">
        <v>486</v>
      </c>
      <c r="D4000" s="226" t="s">
        <v>508</v>
      </c>
    </row>
    <row r="4001" spans="1:4">
      <c r="A4001" s="226" t="s">
        <v>6235</v>
      </c>
      <c r="B4001" s="226">
        <v>533121</v>
      </c>
      <c r="C4001" s="226" t="s">
        <v>6236</v>
      </c>
      <c r="D4001" s="226" t="s">
        <v>473</v>
      </c>
    </row>
    <row r="4002" spans="1:4">
      <c r="A4002" s="226" t="s">
        <v>6237</v>
      </c>
      <c r="B4002" s="226">
        <v>526532</v>
      </c>
      <c r="C4002" s="226" t="s">
        <v>486</v>
      </c>
      <c r="D4002" s="226" t="s">
        <v>534</v>
      </c>
    </row>
    <row r="4003" spans="1:4">
      <c r="A4003" s="226" t="s">
        <v>6238</v>
      </c>
      <c r="B4003" s="226">
        <v>526532</v>
      </c>
      <c r="C4003" s="226" t="s">
        <v>486</v>
      </c>
      <c r="D4003" s="226" t="s">
        <v>534</v>
      </c>
    </row>
    <row r="4004" spans="1:4">
      <c r="A4004" s="226" t="s">
        <v>6239</v>
      </c>
      <c r="B4004" s="226">
        <v>530037</v>
      </c>
      <c r="C4004" s="226" t="s">
        <v>486</v>
      </c>
      <c r="D4004" s="226" t="s">
        <v>501</v>
      </c>
    </row>
    <row r="4005" spans="1:4">
      <c r="A4005" s="226" t="s">
        <v>6240</v>
      </c>
      <c r="B4005" s="226">
        <v>532842</v>
      </c>
      <c r="C4005" s="226" t="s">
        <v>6241</v>
      </c>
      <c r="D4005" s="226" t="s">
        <v>534</v>
      </c>
    </row>
    <row r="4006" spans="1:4">
      <c r="A4006" s="226" t="s">
        <v>6242</v>
      </c>
      <c r="B4006" s="226">
        <v>514248</v>
      </c>
      <c r="C4006" s="226" t="s">
        <v>486</v>
      </c>
      <c r="D4006" s="226" t="s">
        <v>534</v>
      </c>
    </row>
    <row r="4007" spans="1:4">
      <c r="A4007" s="226" t="s">
        <v>6243</v>
      </c>
      <c r="B4007" s="226">
        <v>535601</v>
      </c>
      <c r="C4007" s="226" t="s">
        <v>6244</v>
      </c>
      <c r="D4007" s="226" t="s">
        <v>911</v>
      </c>
    </row>
    <row r="4008" spans="1:4">
      <c r="A4008" s="226" t="s">
        <v>6245</v>
      </c>
      <c r="B4008" s="226">
        <v>523756</v>
      </c>
      <c r="C4008" s="226" t="s">
        <v>6246</v>
      </c>
      <c r="D4008" s="226" t="s">
        <v>503</v>
      </c>
    </row>
    <row r="4009" spans="1:4">
      <c r="A4009" s="226" t="s">
        <v>6247</v>
      </c>
      <c r="B4009" s="226">
        <v>539217</v>
      </c>
      <c r="C4009" s="226" t="s">
        <v>486</v>
      </c>
      <c r="D4009" s="226" t="s">
        <v>506</v>
      </c>
    </row>
    <row r="4010" spans="1:4">
      <c r="A4010" s="226" t="s">
        <v>6248</v>
      </c>
      <c r="B4010" s="226">
        <v>503806</v>
      </c>
      <c r="C4010" s="226" t="s">
        <v>6249</v>
      </c>
      <c r="D4010" s="226" t="s">
        <v>501</v>
      </c>
    </row>
    <row r="4011" spans="1:4">
      <c r="A4011" s="226" t="s">
        <v>6250</v>
      </c>
      <c r="B4011" s="226">
        <v>534680</v>
      </c>
      <c r="C4011" s="226" t="s">
        <v>486</v>
      </c>
      <c r="D4011" s="226" t="s">
        <v>544</v>
      </c>
    </row>
    <row r="4012" spans="1:4">
      <c r="A4012" s="226" t="s">
        <v>6251</v>
      </c>
      <c r="B4012" s="226">
        <v>530943</v>
      </c>
      <c r="C4012" s="226" t="s">
        <v>6252</v>
      </c>
      <c r="D4012" s="226" t="s">
        <v>489</v>
      </c>
    </row>
    <row r="4013" spans="1:4">
      <c r="A4013" s="226" t="s">
        <v>6253</v>
      </c>
      <c r="B4013" s="226">
        <v>538863</v>
      </c>
      <c r="C4013" s="226" t="s">
        <v>486</v>
      </c>
      <c r="D4013" s="226" t="s">
        <v>503</v>
      </c>
    </row>
    <row r="4014" spans="1:4">
      <c r="A4014" s="226" t="s">
        <v>6254</v>
      </c>
      <c r="B4014" s="226">
        <v>531322</v>
      </c>
      <c r="C4014" s="226" t="s">
        <v>6255</v>
      </c>
      <c r="D4014" s="226" t="s">
        <v>695</v>
      </c>
    </row>
    <row r="4015" spans="1:4">
      <c r="A4015" s="226" t="s">
        <v>6256</v>
      </c>
      <c r="B4015" s="226">
        <v>514442</v>
      </c>
      <c r="C4015" s="226" t="s">
        <v>486</v>
      </c>
      <c r="D4015" s="226" t="s">
        <v>605</v>
      </c>
    </row>
    <row r="4016" spans="1:4">
      <c r="A4016" s="226" t="s">
        <v>6257</v>
      </c>
      <c r="B4016" s="226">
        <v>539363</v>
      </c>
      <c r="C4016" s="226" t="s">
        <v>486</v>
      </c>
      <c r="D4016" s="226" t="s">
        <v>572</v>
      </c>
    </row>
    <row r="4017" spans="1:4">
      <c r="A4017" s="226" t="s">
        <v>6258</v>
      </c>
      <c r="B4017" s="226">
        <v>539363</v>
      </c>
      <c r="C4017" s="226" t="s">
        <v>486</v>
      </c>
      <c r="D4017" s="226" t="s">
        <v>572</v>
      </c>
    </row>
    <row r="4018" spans="1:4">
      <c r="A4018" s="226" t="s">
        <v>6259</v>
      </c>
      <c r="B4018" s="226" t="s">
        <v>486</v>
      </c>
      <c r="C4018" s="226" t="s">
        <v>6260</v>
      </c>
      <c r="D4018" s="226" t="s">
        <v>497</v>
      </c>
    </row>
    <row r="4019" spans="1:4">
      <c r="A4019" s="226" t="s">
        <v>6261</v>
      </c>
      <c r="B4019" s="226">
        <v>521161</v>
      </c>
      <c r="C4019" s="226" t="s">
        <v>486</v>
      </c>
      <c r="D4019" s="226" t="s">
        <v>501</v>
      </c>
    </row>
    <row r="4020" spans="1:4">
      <c r="A4020" s="226" t="s">
        <v>6262</v>
      </c>
      <c r="B4020" s="226">
        <v>521234</v>
      </c>
      <c r="C4020" s="226" t="s">
        <v>486</v>
      </c>
      <c r="D4020" s="226" t="s">
        <v>501</v>
      </c>
    </row>
    <row r="4021" spans="1:4">
      <c r="A4021" s="226" t="s">
        <v>6263</v>
      </c>
      <c r="B4021" s="226">
        <v>521178</v>
      </c>
      <c r="C4021" s="226" t="s">
        <v>486</v>
      </c>
      <c r="D4021" s="226" t="s">
        <v>501</v>
      </c>
    </row>
    <row r="4022" spans="1:4">
      <c r="A4022" s="226" t="s">
        <v>6264</v>
      </c>
      <c r="B4022" s="226">
        <v>515081</v>
      </c>
      <c r="C4022" s="226" t="s">
        <v>486</v>
      </c>
      <c r="D4022" s="226" t="s">
        <v>1013</v>
      </c>
    </row>
    <row r="4023" spans="1:4">
      <c r="A4023" s="226" t="s">
        <v>6265</v>
      </c>
      <c r="B4023" s="226">
        <v>513605</v>
      </c>
      <c r="C4023" s="226" t="s">
        <v>6266</v>
      </c>
      <c r="D4023" s="226" t="s">
        <v>808</v>
      </c>
    </row>
    <row r="4024" spans="1:4">
      <c r="A4024" s="226" t="s">
        <v>6267</v>
      </c>
      <c r="B4024" s="226">
        <v>523222</v>
      </c>
      <c r="C4024" s="226" t="s">
        <v>486</v>
      </c>
      <c r="D4024" s="226" t="s">
        <v>624</v>
      </c>
    </row>
    <row r="4025" spans="1:4">
      <c r="A4025" s="226" t="s">
        <v>6268</v>
      </c>
      <c r="B4025" s="226">
        <v>536799</v>
      </c>
      <c r="C4025" s="226" t="s">
        <v>486</v>
      </c>
      <c r="D4025" s="226" t="s">
        <v>503</v>
      </c>
    </row>
    <row r="4026" spans="1:4">
      <c r="A4026" s="226" t="s">
        <v>6269</v>
      </c>
      <c r="B4026" s="226">
        <v>533569</v>
      </c>
      <c r="C4026" s="226" t="s">
        <v>6270</v>
      </c>
      <c r="D4026" s="226" t="s">
        <v>599</v>
      </c>
    </row>
    <row r="4027" spans="1:4">
      <c r="A4027" s="226" t="s">
        <v>6271</v>
      </c>
      <c r="B4027" s="226">
        <v>540914</v>
      </c>
      <c r="C4027" s="226" t="s">
        <v>486</v>
      </c>
      <c r="D4027" s="226" t="s">
        <v>508</v>
      </c>
    </row>
    <row r="4028" spans="1:4">
      <c r="A4028" s="226" t="s">
        <v>6272</v>
      </c>
      <c r="B4028" s="226">
        <v>524636</v>
      </c>
      <c r="C4028" s="226" t="s">
        <v>486</v>
      </c>
      <c r="D4028" s="226" t="s">
        <v>524</v>
      </c>
    </row>
    <row r="4029" spans="1:4">
      <c r="A4029" s="226" t="s">
        <v>6273</v>
      </c>
      <c r="B4029" s="226">
        <v>530821</v>
      </c>
      <c r="C4029" s="226" t="s">
        <v>486</v>
      </c>
      <c r="D4029" s="226" t="s">
        <v>572</v>
      </c>
    </row>
    <row r="4030" spans="1:4">
      <c r="A4030" s="226" t="s">
        <v>6274</v>
      </c>
      <c r="B4030" s="226">
        <v>539026</v>
      </c>
      <c r="C4030" s="226" t="s">
        <v>486</v>
      </c>
      <c r="D4030" s="226" t="s">
        <v>470</v>
      </c>
    </row>
    <row r="4031" spans="1:4">
      <c r="A4031" s="226" t="s">
        <v>6275</v>
      </c>
      <c r="B4031" s="226">
        <v>531723</v>
      </c>
      <c r="C4031" s="226" t="s">
        <v>6276</v>
      </c>
      <c r="D4031" s="226" t="s">
        <v>470</v>
      </c>
    </row>
    <row r="4032" spans="1:4">
      <c r="A4032" s="226" t="s">
        <v>6275</v>
      </c>
      <c r="B4032" s="226">
        <v>570005</v>
      </c>
      <c r="C4032" s="226" t="s">
        <v>6277</v>
      </c>
      <c r="D4032" s="226" t="s">
        <v>470</v>
      </c>
    </row>
    <row r="4033" spans="1:4">
      <c r="A4033" s="226" t="s">
        <v>6278</v>
      </c>
      <c r="B4033" s="226">
        <v>504180</v>
      </c>
      <c r="C4033" s="226" t="s">
        <v>486</v>
      </c>
      <c r="D4033" s="226" t="s">
        <v>503</v>
      </c>
    </row>
    <row r="4034" spans="1:4">
      <c r="A4034" s="226" t="s">
        <v>6279</v>
      </c>
      <c r="B4034" s="226">
        <v>511700</v>
      </c>
      <c r="C4034" s="226" t="s">
        <v>486</v>
      </c>
      <c r="D4034" s="226" t="s">
        <v>503</v>
      </c>
    </row>
    <row r="4035" spans="1:4">
      <c r="A4035" s="226" t="s">
        <v>6280</v>
      </c>
      <c r="B4035" s="226">
        <v>580001</v>
      </c>
      <c r="C4035" s="226" t="s">
        <v>486</v>
      </c>
      <c r="D4035" s="226" t="s">
        <v>803</v>
      </c>
    </row>
    <row r="4036" spans="1:4">
      <c r="A4036" s="226" t="s">
        <v>6281</v>
      </c>
      <c r="B4036" s="226">
        <v>530017</v>
      </c>
      <c r="C4036" s="226" t="s">
        <v>6282</v>
      </c>
      <c r="D4036" s="226" t="s">
        <v>534</v>
      </c>
    </row>
    <row r="4037" spans="1:4">
      <c r="A4037" s="226" t="s">
        <v>6283</v>
      </c>
      <c r="B4037" s="226">
        <v>523351</v>
      </c>
      <c r="C4037" s="226" t="s">
        <v>486</v>
      </c>
      <c r="D4037" s="226" t="s">
        <v>645</v>
      </c>
    </row>
    <row r="4038" spans="1:4">
      <c r="A4038" s="226" t="s">
        <v>6284</v>
      </c>
      <c r="B4038" s="226">
        <v>523351</v>
      </c>
      <c r="C4038" s="226" t="s">
        <v>486</v>
      </c>
      <c r="D4038" s="226" t="s">
        <v>645</v>
      </c>
    </row>
    <row r="4039" spans="1:4">
      <c r="A4039" s="226" t="s">
        <v>6285</v>
      </c>
      <c r="B4039" s="226">
        <v>526231</v>
      </c>
      <c r="C4039" s="226" t="s">
        <v>486</v>
      </c>
      <c r="D4039" s="226" t="s">
        <v>534</v>
      </c>
    </row>
    <row r="4040" spans="1:4">
      <c r="A4040" s="226" t="s">
        <v>6286</v>
      </c>
      <c r="B4040" s="226">
        <v>530931</v>
      </c>
      <c r="C4040" s="226" t="s">
        <v>486</v>
      </c>
      <c r="D4040" s="226" t="s">
        <v>680</v>
      </c>
    </row>
    <row r="4041" spans="1:4">
      <c r="A4041" s="226" t="s">
        <v>6287</v>
      </c>
      <c r="B4041" s="226">
        <v>530931</v>
      </c>
      <c r="C4041" s="226" t="s">
        <v>486</v>
      </c>
      <c r="D4041" s="226" t="s">
        <v>680</v>
      </c>
    </row>
    <row r="4042" spans="1:4">
      <c r="A4042" s="226" t="s">
        <v>6288</v>
      </c>
      <c r="B4042" s="226">
        <v>506105</v>
      </c>
      <c r="C4042" s="226" t="s">
        <v>486</v>
      </c>
      <c r="D4042" s="226" t="s">
        <v>506</v>
      </c>
    </row>
    <row r="4043" spans="1:4">
      <c r="A4043" s="226" t="s">
        <v>6289</v>
      </c>
      <c r="B4043" s="226">
        <v>540575</v>
      </c>
      <c r="C4043" s="226" t="s">
        <v>6290</v>
      </c>
      <c r="D4043" s="226" t="s">
        <v>499</v>
      </c>
    </row>
    <row r="4044" spans="1:4">
      <c r="A4044" s="226" t="s">
        <v>6291</v>
      </c>
      <c r="B4044" s="226">
        <v>539255</v>
      </c>
      <c r="C4044" s="226" t="s">
        <v>486</v>
      </c>
      <c r="D4044" s="226" t="s">
        <v>529</v>
      </c>
    </row>
    <row r="4045" spans="1:4">
      <c r="A4045" s="226" t="s">
        <v>6292</v>
      </c>
      <c r="B4045" s="226">
        <v>516022</v>
      </c>
      <c r="C4045" s="226" t="s">
        <v>6293</v>
      </c>
      <c r="D4045" s="226" t="s">
        <v>480</v>
      </c>
    </row>
    <row r="4046" spans="1:4">
      <c r="A4046" s="226" t="s">
        <v>6294</v>
      </c>
      <c r="B4046" s="226">
        <v>531616</v>
      </c>
      <c r="C4046" s="226" t="s">
        <v>486</v>
      </c>
      <c r="D4046" s="226" t="s">
        <v>473</v>
      </c>
    </row>
    <row r="4047" spans="1:4">
      <c r="A4047" s="226" t="s">
        <v>6295</v>
      </c>
      <c r="B4047" s="226">
        <v>538733</v>
      </c>
      <c r="C4047" s="226" t="s">
        <v>486</v>
      </c>
      <c r="D4047" s="226" t="s">
        <v>2730</v>
      </c>
    </row>
    <row r="4048" spans="1:4">
      <c r="A4048" s="226" t="s">
        <v>6296</v>
      </c>
      <c r="B4048" s="226">
        <v>517548</v>
      </c>
      <c r="C4048" s="226" t="s">
        <v>486</v>
      </c>
      <c r="D4048" s="226" t="s">
        <v>508</v>
      </c>
    </row>
    <row r="4049" spans="1:4">
      <c r="A4049" s="226" t="s">
        <v>6297</v>
      </c>
      <c r="B4049" s="226">
        <v>520155</v>
      </c>
      <c r="C4049" s="226" t="s">
        <v>486</v>
      </c>
      <c r="D4049" s="226" t="s">
        <v>621</v>
      </c>
    </row>
    <row r="4050" spans="1:4">
      <c r="A4050" s="226" t="s">
        <v>6298</v>
      </c>
      <c r="B4050" s="226">
        <v>500112</v>
      </c>
      <c r="C4050" s="226" t="s">
        <v>6299</v>
      </c>
      <c r="D4050" s="226" t="s">
        <v>803</v>
      </c>
    </row>
    <row r="4051" spans="1:4">
      <c r="A4051" s="226" t="s">
        <v>6300</v>
      </c>
      <c r="B4051" s="226">
        <v>500113</v>
      </c>
      <c r="C4051" s="226" t="s">
        <v>6301</v>
      </c>
      <c r="D4051" s="226" t="s">
        <v>518</v>
      </c>
    </row>
    <row r="4052" spans="1:4">
      <c r="A4052" s="226" t="s">
        <v>6302</v>
      </c>
      <c r="B4052" s="226">
        <v>500113</v>
      </c>
      <c r="C4052" s="226" t="s">
        <v>6301</v>
      </c>
      <c r="D4052" s="226" t="s">
        <v>518</v>
      </c>
    </row>
    <row r="4053" spans="1:4">
      <c r="A4053" s="226" t="s">
        <v>6303</v>
      </c>
      <c r="B4053" s="226" t="s">
        <v>486</v>
      </c>
      <c r="C4053" s="226" t="s">
        <v>6304</v>
      </c>
      <c r="D4053" s="226" t="s">
        <v>497</v>
      </c>
    </row>
    <row r="4054" spans="1:4">
      <c r="A4054" s="226" t="s">
        <v>6305</v>
      </c>
      <c r="B4054" s="226">
        <v>534748</v>
      </c>
      <c r="C4054" s="226" t="s">
        <v>6306</v>
      </c>
      <c r="D4054" s="226" t="s">
        <v>518</v>
      </c>
    </row>
    <row r="4055" spans="1:4">
      <c r="A4055" s="226" t="s">
        <v>6307</v>
      </c>
      <c r="B4055" s="226">
        <v>534748</v>
      </c>
      <c r="C4055" s="226" t="s">
        <v>6306</v>
      </c>
      <c r="D4055" s="226" t="s">
        <v>518</v>
      </c>
    </row>
    <row r="4056" spans="1:4">
      <c r="A4056" s="226" t="s">
        <v>6308</v>
      </c>
      <c r="B4056" s="226">
        <v>513173</v>
      </c>
      <c r="C4056" s="226" t="s">
        <v>486</v>
      </c>
      <c r="D4056" s="226" t="s">
        <v>572</v>
      </c>
    </row>
    <row r="4057" spans="1:4">
      <c r="A4057" s="226" t="s">
        <v>6309</v>
      </c>
      <c r="B4057" s="226">
        <v>504717</v>
      </c>
      <c r="C4057" s="226" t="s">
        <v>6310</v>
      </c>
      <c r="D4057" s="226" t="s">
        <v>4357</v>
      </c>
    </row>
    <row r="4058" spans="1:4">
      <c r="A4058" s="226" t="s">
        <v>6311</v>
      </c>
      <c r="B4058" s="226">
        <v>513262</v>
      </c>
      <c r="C4058" s="226" t="s">
        <v>6312</v>
      </c>
      <c r="D4058" s="226" t="s">
        <v>840</v>
      </c>
    </row>
    <row r="4059" spans="1:4">
      <c r="A4059" s="226" t="s">
        <v>6313</v>
      </c>
      <c r="B4059" s="226">
        <v>513517</v>
      </c>
      <c r="C4059" s="226" t="s">
        <v>486</v>
      </c>
      <c r="D4059" s="226" t="s">
        <v>1403</v>
      </c>
    </row>
    <row r="4060" spans="1:4">
      <c r="A4060" s="226" t="s">
        <v>6314</v>
      </c>
      <c r="B4060" s="226">
        <v>500399</v>
      </c>
      <c r="C4060" s="226" t="s">
        <v>486</v>
      </c>
      <c r="D4060" s="226" t="s">
        <v>518</v>
      </c>
    </row>
    <row r="4061" spans="1:4">
      <c r="A4061" s="226" t="s">
        <v>6315</v>
      </c>
      <c r="B4061" s="226">
        <v>533316</v>
      </c>
      <c r="C4061" s="226" t="s">
        <v>6316</v>
      </c>
      <c r="D4061" s="226" t="s">
        <v>651</v>
      </c>
    </row>
    <row r="4062" spans="1:4">
      <c r="A4062" s="226" t="s">
        <v>6317</v>
      </c>
      <c r="B4062" s="226">
        <v>526071</v>
      </c>
      <c r="C4062" s="226" t="s">
        <v>486</v>
      </c>
      <c r="D4062" s="226" t="s">
        <v>470</v>
      </c>
    </row>
    <row r="4063" spans="1:4">
      <c r="A4063" s="226" t="s">
        <v>6318</v>
      </c>
      <c r="B4063" s="226">
        <v>526071</v>
      </c>
      <c r="C4063" s="226" t="s">
        <v>486</v>
      </c>
      <c r="D4063" s="226" t="s">
        <v>470</v>
      </c>
    </row>
    <row r="4064" spans="1:4">
      <c r="A4064" s="226" t="s">
        <v>6319</v>
      </c>
      <c r="B4064" s="226">
        <v>536738</v>
      </c>
      <c r="C4064" s="226" t="s">
        <v>486</v>
      </c>
      <c r="D4064" s="226" t="s">
        <v>470</v>
      </c>
    </row>
    <row r="4065" spans="1:4">
      <c r="A4065" s="226" t="s">
        <v>6320</v>
      </c>
      <c r="B4065" s="226">
        <v>531509</v>
      </c>
      <c r="C4065" s="226" t="s">
        <v>486</v>
      </c>
      <c r="D4065" s="226" t="s">
        <v>470</v>
      </c>
    </row>
    <row r="4066" spans="1:4">
      <c r="A4066" s="226" t="s">
        <v>6321</v>
      </c>
      <c r="B4066" s="226">
        <v>526500</v>
      </c>
      <c r="C4066" s="226" t="s">
        <v>486</v>
      </c>
      <c r="D4066" s="226" t="s">
        <v>686</v>
      </c>
    </row>
    <row r="4067" spans="1:4">
      <c r="A4067" s="226" t="s">
        <v>6322</v>
      </c>
      <c r="B4067" s="226">
        <v>508963</v>
      </c>
      <c r="C4067" s="226" t="s">
        <v>6323</v>
      </c>
      <c r="D4067" s="226" t="s">
        <v>503</v>
      </c>
    </row>
    <row r="4068" spans="1:4">
      <c r="A4068" s="226" t="s">
        <v>6324</v>
      </c>
      <c r="B4068" s="226">
        <v>531628</v>
      </c>
      <c r="C4068" s="226" t="s">
        <v>486</v>
      </c>
      <c r="D4068" s="226" t="s">
        <v>501</v>
      </c>
    </row>
    <row r="4069" spans="1:4">
      <c r="A4069" s="226" t="s">
        <v>6325</v>
      </c>
      <c r="B4069" s="226">
        <v>530759</v>
      </c>
      <c r="C4069" s="226" t="s">
        <v>6326</v>
      </c>
      <c r="D4069" s="226" t="s">
        <v>840</v>
      </c>
    </row>
    <row r="4070" spans="1:4">
      <c r="A4070" s="226" t="s">
        <v>6327</v>
      </c>
      <c r="B4070" s="226">
        <v>532374</v>
      </c>
      <c r="C4070" s="226" t="s">
        <v>6328</v>
      </c>
      <c r="D4070" s="226" t="s">
        <v>1430</v>
      </c>
    </row>
    <row r="4071" spans="1:4">
      <c r="A4071" s="226" t="s">
        <v>6329</v>
      </c>
      <c r="B4071" s="226">
        <v>513151</v>
      </c>
      <c r="C4071" s="226" t="s">
        <v>6330</v>
      </c>
      <c r="D4071" s="226" t="s">
        <v>501</v>
      </c>
    </row>
    <row r="4072" spans="1:4">
      <c r="A4072" s="226" t="s">
        <v>6331</v>
      </c>
      <c r="B4072" s="226">
        <v>513151</v>
      </c>
      <c r="C4072" s="226" t="s">
        <v>6332</v>
      </c>
      <c r="D4072" s="226" t="s">
        <v>501</v>
      </c>
    </row>
    <row r="4073" spans="1:4">
      <c r="A4073" s="226" t="s">
        <v>6333</v>
      </c>
      <c r="B4073" s="226">
        <v>532730</v>
      </c>
      <c r="C4073" s="226" t="s">
        <v>6334</v>
      </c>
      <c r="D4073" s="226" t="s">
        <v>501</v>
      </c>
    </row>
    <row r="4074" spans="1:4">
      <c r="A4074" s="226" t="s">
        <v>6335</v>
      </c>
      <c r="B4074" s="226">
        <v>504959</v>
      </c>
      <c r="C4074" s="226" t="s">
        <v>486</v>
      </c>
      <c r="D4074" s="226" t="s">
        <v>494</v>
      </c>
    </row>
    <row r="4075" spans="1:4">
      <c r="A4075" s="226" t="s">
        <v>6336</v>
      </c>
      <c r="B4075" s="226">
        <v>530495</v>
      </c>
      <c r="C4075" s="226" t="s">
        <v>486</v>
      </c>
      <c r="D4075" s="226" t="s">
        <v>508</v>
      </c>
    </row>
    <row r="4076" spans="1:4">
      <c r="A4076" s="226" t="s">
        <v>6337</v>
      </c>
      <c r="B4076" s="226">
        <v>532531</v>
      </c>
      <c r="C4076" s="226" t="s">
        <v>6338</v>
      </c>
      <c r="D4076" s="226" t="s">
        <v>524</v>
      </c>
    </row>
    <row r="4077" spans="1:4">
      <c r="A4077" s="226" t="s">
        <v>6339</v>
      </c>
      <c r="B4077" s="226">
        <v>530611</v>
      </c>
      <c r="C4077" s="226" t="s">
        <v>486</v>
      </c>
      <c r="D4077" s="226" t="s">
        <v>605</v>
      </c>
    </row>
    <row r="4078" spans="1:4">
      <c r="A4078" s="226" t="s">
        <v>6340</v>
      </c>
      <c r="B4078" s="226">
        <v>526951</v>
      </c>
      <c r="C4078" s="226" t="s">
        <v>486</v>
      </c>
      <c r="D4078" s="226" t="s">
        <v>980</v>
      </c>
    </row>
    <row r="4079" spans="1:4">
      <c r="A4079" s="226" t="s">
        <v>6341</v>
      </c>
      <c r="B4079" s="226" t="s">
        <v>486</v>
      </c>
      <c r="C4079" s="226" t="s">
        <v>6342</v>
      </c>
      <c r="D4079" s="226" t="s">
        <v>980</v>
      </c>
    </row>
    <row r="4080" spans="1:4">
      <c r="A4080" s="226" t="s">
        <v>6343</v>
      </c>
      <c r="B4080" s="226">
        <v>532348</v>
      </c>
      <c r="C4080" s="226" t="s">
        <v>486</v>
      </c>
      <c r="D4080" s="226" t="s">
        <v>579</v>
      </c>
    </row>
    <row r="4081" spans="1:4">
      <c r="A4081" s="226" t="s">
        <v>6344</v>
      </c>
      <c r="B4081" s="226">
        <v>530231</v>
      </c>
      <c r="C4081" s="226" t="s">
        <v>486</v>
      </c>
      <c r="D4081" s="226" t="s">
        <v>501</v>
      </c>
    </row>
    <row r="4082" spans="1:4">
      <c r="A4082" s="226" t="s">
        <v>6345</v>
      </c>
      <c r="B4082" s="226">
        <v>517168</v>
      </c>
      <c r="C4082" s="226" t="s">
        <v>6346</v>
      </c>
      <c r="D4082" s="226" t="s">
        <v>840</v>
      </c>
    </row>
    <row r="4083" spans="1:4">
      <c r="A4083" s="226" t="s">
        <v>6347</v>
      </c>
      <c r="B4083" s="226">
        <v>511024</v>
      </c>
      <c r="C4083" s="226" t="s">
        <v>486</v>
      </c>
      <c r="D4083" s="226" t="s">
        <v>906</v>
      </c>
    </row>
    <row r="4084" spans="1:4">
      <c r="A4084" s="226" t="s">
        <v>6348</v>
      </c>
      <c r="B4084" s="226">
        <v>538714</v>
      </c>
      <c r="C4084" s="226" t="s">
        <v>486</v>
      </c>
      <c r="D4084" s="226" t="s">
        <v>503</v>
      </c>
    </row>
    <row r="4085" spans="1:4">
      <c r="A4085" s="226" t="s">
        <v>6349</v>
      </c>
      <c r="B4085" s="226">
        <v>506003</v>
      </c>
      <c r="C4085" s="226" t="s">
        <v>486</v>
      </c>
      <c r="D4085" s="226" t="s">
        <v>790</v>
      </c>
    </row>
    <row r="4086" spans="1:4">
      <c r="A4086" s="226" t="s">
        <v>6350</v>
      </c>
      <c r="B4086" s="226">
        <v>506655</v>
      </c>
      <c r="C4086" s="226" t="s">
        <v>6351</v>
      </c>
      <c r="D4086" s="226" t="s">
        <v>645</v>
      </c>
    </row>
    <row r="4087" spans="1:4">
      <c r="A4087" s="226" t="s">
        <v>6352</v>
      </c>
      <c r="B4087" s="226">
        <v>521113</v>
      </c>
      <c r="C4087" s="226" t="s">
        <v>486</v>
      </c>
      <c r="D4087" s="226" t="s">
        <v>501</v>
      </c>
    </row>
    <row r="4088" spans="1:4">
      <c r="A4088" s="226" t="s">
        <v>6353</v>
      </c>
      <c r="B4088" s="226">
        <v>540318</v>
      </c>
      <c r="C4088" s="226" t="s">
        <v>486</v>
      </c>
      <c r="D4088" s="226" t="s">
        <v>501</v>
      </c>
    </row>
    <row r="4089" spans="1:4">
      <c r="A4089" s="226" t="s">
        <v>6354</v>
      </c>
      <c r="B4089" s="226">
        <v>511654</v>
      </c>
      <c r="C4089" s="226" t="s">
        <v>486</v>
      </c>
      <c r="D4089" s="226" t="s">
        <v>503</v>
      </c>
    </row>
    <row r="4090" spans="1:4">
      <c r="A4090" s="226" t="s">
        <v>6355</v>
      </c>
      <c r="B4090" s="226">
        <v>542683</v>
      </c>
      <c r="C4090" s="226" t="s">
        <v>6356</v>
      </c>
      <c r="D4090" s="226" t="s">
        <v>631</v>
      </c>
    </row>
    <row r="4091" spans="1:4">
      <c r="A4091" s="226" t="s">
        <v>6357</v>
      </c>
      <c r="B4091" s="226">
        <v>539117</v>
      </c>
      <c r="C4091" s="226" t="s">
        <v>486</v>
      </c>
      <c r="D4091" s="226" t="s">
        <v>503</v>
      </c>
    </row>
    <row r="4092" spans="1:4">
      <c r="A4092" s="226" t="s">
        <v>6358</v>
      </c>
      <c r="B4092" s="226">
        <v>517224</v>
      </c>
      <c r="C4092" s="226" t="s">
        <v>6359</v>
      </c>
      <c r="D4092" s="226" t="s">
        <v>1403</v>
      </c>
    </row>
    <row r="4093" spans="1:4">
      <c r="A4093" s="226" t="s">
        <v>6360</v>
      </c>
      <c r="B4093" s="226">
        <v>524542</v>
      </c>
      <c r="C4093" s="226" t="s">
        <v>486</v>
      </c>
      <c r="D4093" s="226" t="s">
        <v>683</v>
      </c>
    </row>
    <row r="4094" spans="1:4">
      <c r="A4094" s="226" t="s">
        <v>6361</v>
      </c>
      <c r="B4094" s="226">
        <v>508969</v>
      </c>
      <c r="C4094" s="226" t="s">
        <v>486</v>
      </c>
      <c r="D4094" s="226" t="s">
        <v>503</v>
      </c>
    </row>
    <row r="4095" spans="1:4">
      <c r="A4095" s="226" t="s">
        <v>6362</v>
      </c>
      <c r="B4095" s="226">
        <v>530419</v>
      </c>
      <c r="C4095" s="226" t="s">
        <v>486</v>
      </c>
      <c r="D4095" s="226" t="s">
        <v>470</v>
      </c>
    </row>
    <row r="4096" spans="1:4">
      <c r="A4096" s="226" t="s">
        <v>6363</v>
      </c>
      <c r="B4096" s="226">
        <v>514211</v>
      </c>
      <c r="C4096" s="226" t="s">
        <v>6364</v>
      </c>
      <c r="D4096" s="226" t="s">
        <v>501</v>
      </c>
    </row>
    <row r="4097" spans="1:4">
      <c r="A4097" s="226" t="s">
        <v>6365</v>
      </c>
      <c r="B4097" s="226">
        <v>530445</v>
      </c>
      <c r="C4097" s="226" t="s">
        <v>486</v>
      </c>
      <c r="D4097" s="226" t="s">
        <v>508</v>
      </c>
    </row>
    <row r="4098" spans="1:4">
      <c r="A4098" s="226" t="s">
        <v>6366</v>
      </c>
      <c r="B4098" s="226" t="s">
        <v>486</v>
      </c>
      <c r="C4098" s="226" t="s">
        <v>6367</v>
      </c>
      <c r="D4098" s="226" t="s">
        <v>497</v>
      </c>
    </row>
    <row r="4099" spans="1:4">
      <c r="A4099" s="226" t="s">
        <v>6368</v>
      </c>
      <c r="B4099" s="226">
        <v>533306</v>
      </c>
      <c r="C4099" s="226" t="s">
        <v>6369</v>
      </c>
      <c r="D4099" s="226" t="s">
        <v>506</v>
      </c>
    </row>
    <row r="4100" spans="1:4">
      <c r="A4100" s="226" t="s">
        <v>6370</v>
      </c>
      <c r="B4100" s="226">
        <v>532154</v>
      </c>
      <c r="C4100" s="226" t="s">
        <v>486</v>
      </c>
      <c r="D4100" s="226" t="s">
        <v>906</v>
      </c>
    </row>
    <row r="4101" spans="1:4">
      <c r="A4101" s="226" t="s">
        <v>6371</v>
      </c>
      <c r="B4101" s="226">
        <v>532872</v>
      </c>
      <c r="C4101" s="226" t="s">
        <v>6372</v>
      </c>
      <c r="D4101" s="226" t="s">
        <v>524</v>
      </c>
    </row>
    <row r="4102" spans="1:4">
      <c r="A4102" s="226" t="s">
        <v>6373</v>
      </c>
      <c r="B4102" s="226">
        <v>524715</v>
      </c>
      <c r="C4102" s="226" t="s">
        <v>6374</v>
      </c>
      <c r="D4102" s="226" t="s">
        <v>524</v>
      </c>
    </row>
    <row r="4103" spans="1:4">
      <c r="A4103" s="226" t="s">
        <v>6375</v>
      </c>
      <c r="B4103" s="226">
        <v>542025</v>
      </c>
      <c r="C4103" s="226" t="s">
        <v>486</v>
      </c>
      <c r="D4103" s="226" t="s">
        <v>508</v>
      </c>
    </row>
    <row r="4104" spans="1:4">
      <c r="A4104" s="226" t="s">
        <v>6376</v>
      </c>
      <c r="B4104" s="226">
        <v>517403</v>
      </c>
      <c r="C4104" s="226" t="s">
        <v>486</v>
      </c>
      <c r="D4104" s="226" t="s">
        <v>624</v>
      </c>
    </row>
    <row r="4105" spans="1:4">
      <c r="A4105" s="226" t="s">
        <v>6377</v>
      </c>
      <c r="B4105" s="226">
        <v>517403</v>
      </c>
      <c r="C4105" s="226" t="s">
        <v>486</v>
      </c>
      <c r="D4105" s="226" t="s">
        <v>624</v>
      </c>
    </row>
    <row r="4106" spans="1:4">
      <c r="A4106" s="226" t="s">
        <v>6378</v>
      </c>
      <c r="B4106" s="226">
        <v>531752</v>
      </c>
      <c r="C4106" s="226" t="s">
        <v>486</v>
      </c>
      <c r="D4106" s="226" t="s">
        <v>508</v>
      </c>
    </row>
    <row r="4107" spans="1:4">
      <c r="A4107" s="226" t="s">
        <v>6379</v>
      </c>
      <c r="B4107" s="226">
        <v>532733</v>
      </c>
      <c r="C4107" s="226" t="s">
        <v>6380</v>
      </c>
      <c r="D4107" s="226" t="s">
        <v>1222</v>
      </c>
    </row>
    <row r="4108" spans="1:4">
      <c r="A4108" s="226" t="s">
        <v>6381</v>
      </c>
      <c r="B4108" s="226">
        <v>539526</v>
      </c>
      <c r="C4108" s="226" t="s">
        <v>486</v>
      </c>
      <c r="D4108" s="226" t="s">
        <v>520</v>
      </c>
    </row>
    <row r="4109" spans="1:4">
      <c r="A4109" s="226" t="s">
        <v>6382</v>
      </c>
      <c r="B4109" s="226">
        <v>530795</v>
      </c>
      <c r="C4109" s="226" t="s">
        <v>486</v>
      </c>
      <c r="D4109" s="226" t="s">
        <v>501</v>
      </c>
    </row>
    <row r="4110" spans="1:4">
      <c r="A4110" s="226" t="s">
        <v>6383</v>
      </c>
      <c r="B4110" s="226">
        <v>590072</v>
      </c>
      <c r="C4110" s="226" t="s">
        <v>6384</v>
      </c>
      <c r="D4110" s="226" t="s">
        <v>840</v>
      </c>
    </row>
    <row r="4111" spans="1:4">
      <c r="A4111" s="226" t="s">
        <v>6385</v>
      </c>
      <c r="B4111" s="226">
        <v>520056</v>
      </c>
      <c r="C4111" s="226" t="s">
        <v>6386</v>
      </c>
      <c r="D4111" s="226" t="s">
        <v>840</v>
      </c>
    </row>
    <row r="4112" spans="1:4">
      <c r="A4112" s="226" t="s">
        <v>6387</v>
      </c>
      <c r="B4112" s="226" t="s">
        <v>486</v>
      </c>
      <c r="C4112" s="226" t="s">
        <v>6388</v>
      </c>
      <c r="D4112" s="226" t="s">
        <v>577</v>
      </c>
    </row>
    <row r="4113" spans="1:4">
      <c r="A4113" s="226" t="s">
        <v>6389</v>
      </c>
      <c r="B4113" s="226">
        <v>590071</v>
      </c>
      <c r="C4113" s="226" t="s">
        <v>6390</v>
      </c>
      <c r="D4113" s="226" t="s">
        <v>503</v>
      </c>
    </row>
    <row r="4114" spans="1:4">
      <c r="A4114" s="226" t="s">
        <v>6391</v>
      </c>
      <c r="B4114" s="226">
        <v>533166</v>
      </c>
      <c r="C4114" s="226" t="s">
        <v>6392</v>
      </c>
      <c r="D4114" s="226" t="s">
        <v>2475</v>
      </c>
    </row>
    <row r="4115" spans="1:4">
      <c r="A4115" s="226" t="s">
        <v>6393</v>
      </c>
      <c r="B4115" s="226">
        <v>500403</v>
      </c>
      <c r="C4115" s="226" t="s">
        <v>6394</v>
      </c>
      <c r="D4115" s="226" t="s">
        <v>840</v>
      </c>
    </row>
    <row r="4116" spans="1:4">
      <c r="A4116" s="226" t="s">
        <v>6395</v>
      </c>
      <c r="B4116" s="226">
        <v>500404</v>
      </c>
      <c r="C4116" s="226" t="s">
        <v>6396</v>
      </c>
      <c r="D4116" s="226" t="s">
        <v>518</v>
      </c>
    </row>
    <row r="4117" spans="1:4">
      <c r="A4117" s="226" t="s">
        <v>6397</v>
      </c>
      <c r="B4117" s="226">
        <v>531433</v>
      </c>
      <c r="C4117" s="226" t="s">
        <v>486</v>
      </c>
      <c r="D4117" s="226" t="s">
        <v>503</v>
      </c>
    </row>
    <row r="4118" spans="1:4">
      <c r="A4118" s="226" t="s">
        <v>6398</v>
      </c>
      <c r="B4118" s="226">
        <v>541799</v>
      </c>
      <c r="C4118" s="226" t="s">
        <v>486</v>
      </c>
      <c r="D4118" s="226" t="s">
        <v>2086</v>
      </c>
    </row>
    <row r="4119" spans="1:4">
      <c r="A4119" s="226" t="s">
        <v>6399</v>
      </c>
      <c r="B4119" s="226">
        <v>530953</v>
      </c>
      <c r="C4119" s="226" t="s">
        <v>486</v>
      </c>
      <c r="D4119" s="226" t="s">
        <v>546</v>
      </c>
    </row>
    <row r="4120" spans="1:4">
      <c r="A4120" s="226" t="s">
        <v>6400</v>
      </c>
      <c r="B4120" s="226">
        <v>537253</v>
      </c>
      <c r="C4120" s="226" t="s">
        <v>486</v>
      </c>
      <c r="D4120" s="226" t="s">
        <v>524</v>
      </c>
    </row>
    <row r="4121" spans="1:4">
      <c r="A4121" s="226" t="s">
        <v>6401</v>
      </c>
      <c r="B4121" s="226">
        <v>532711</v>
      </c>
      <c r="C4121" s="226" t="s">
        <v>6402</v>
      </c>
      <c r="D4121" s="226" t="s">
        <v>883</v>
      </c>
    </row>
    <row r="4122" spans="1:4">
      <c r="A4122" s="226" t="s">
        <v>6403</v>
      </c>
      <c r="B4122" s="226">
        <v>521232</v>
      </c>
      <c r="C4122" s="226" t="s">
        <v>486</v>
      </c>
      <c r="D4122" s="226" t="s">
        <v>508</v>
      </c>
    </row>
    <row r="4123" spans="1:4">
      <c r="A4123" s="226" t="s">
        <v>6404</v>
      </c>
      <c r="B4123" s="226">
        <v>523425</v>
      </c>
      <c r="C4123" s="226" t="s">
        <v>6405</v>
      </c>
      <c r="D4123" s="226" t="s">
        <v>1041</v>
      </c>
    </row>
    <row r="4124" spans="1:4">
      <c r="A4124" s="226" t="s">
        <v>6406</v>
      </c>
      <c r="B4124" s="226">
        <v>501110</v>
      </c>
      <c r="C4124" s="226" t="s">
        <v>486</v>
      </c>
      <c r="D4124" s="226" t="s">
        <v>470</v>
      </c>
    </row>
    <row r="4125" spans="1:4">
      <c r="A4125" s="226" t="s">
        <v>6407</v>
      </c>
      <c r="B4125" s="226">
        <v>530845</v>
      </c>
      <c r="C4125" s="226" t="s">
        <v>486</v>
      </c>
      <c r="D4125" s="226" t="s">
        <v>534</v>
      </c>
    </row>
    <row r="4126" spans="1:4">
      <c r="A4126" s="226" t="s">
        <v>6408</v>
      </c>
      <c r="B4126" s="226">
        <v>539574</v>
      </c>
      <c r="C4126" s="226" t="s">
        <v>486</v>
      </c>
      <c r="D4126" s="226" t="s">
        <v>503</v>
      </c>
    </row>
    <row r="4127" spans="1:4">
      <c r="A4127" s="226" t="s">
        <v>6409</v>
      </c>
      <c r="B4127" s="226">
        <v>535141</v>
      </c>
      <c r="C4127" s="226" t="s">
        <v>486</v>
      </c>
      <c r="D4127" s="226" t="s">
        <v>572</v>
      </c>
    </row>
    <row r="4128" spans="1:4">
      <c r="A4128" s="226" t="s">
        <v>6410</v>
      </c>
      <c r="B4128" s="226">
        <v>512179</v>
      </c>
      <c r="C4128" s="226" t="s">
        <v>6411</v>
      </c>
      <c r="D4128" s="226" t="s">
        <v>572</v>
      </c>
    </row>
    <row r="4129" spans="1:4">
      <c r="A4129" s="226" t="s">
        <v>6412</v>
      </c>
      <c r="B4129" s="226">
        <v>530735</v>
      </c>
      <c r="C4129" s="226" t="s">
        <v>486</v>
      </c>
      <c r="D4129" s="226" t="s">
        <v>546</v>
      </c>
    </row>
    <row r="4130" spans="1:4">
      <c r="A4130" s="226" t="s">
        <v>6413</v>
      </c>
      <c r="B4130" s="226">
        <v>530735</v>
      </c>
      <c r="C4130" s="226" t="s">
        <v>486</v>
      </c>
      <c r="D4130" s="226" t="s">
        <v>546</v>
      </c>
    </row>
    <row r="4131" spans="1:4">
      <c r="A4131" s="226" t="s">
        <v>6414</v>
      </c>
      <c r="B4131" s="226">
        <v>530883</v>
      </c>
      <c r="C4131" s="226" t="s">
        <v>486</v>
      </c>
      <c r="D4131" s="226" t="s">
        <v>629</v>
      </c>
    </row>
    <row r="4132" spans="1:4">
      <c r="A4132" s="226" t="s">
        <v>6415</v>
      </c>
      <c r="B4132" s="226">
        <v>531699</v>
      </c>
      <c r="C4132" s="226" t="s">
        <v>486</v>
      </c>
      <c r="D4132" s="226" t="s">
        <v>1248</v>
      </c>
    </row>
    <row r="4133" spans="1:4">
      <c r="A4133" s="226" t="s">
        <v>6416</v>
      </c>
      <c r="B4133" s="226">
        <v>540269</v>
      </c>
      <c r="C4133" s="226" t="s">
        <v>486</v>
      </c>
      <c r="D4133" s="226" t="s">
        <v>599</v>
      </c>
    </row>
    <row r="4134" spans="1:4">
      <c r="A4134" s="226" t="s">
        <v>6417</v>
      </c>
      <c r="B4134" s="226">
        <v>512527</v>
      </c>
      <c r="C4134" s="226" t="s">
        <v>486</v>
      </c>
      <c r="D4134" s="226" t="s">
        <v>501</v>
      </c>
    </row>
    <row r="4135" spans="1:4">
      <c r="A4135" s="226" t="s">
        <v>6418</v>
      </c>
      <c r="B4135" s="226">
        <v>512527</v>
      </c>
      <c r="C4135" s="226" t="s">
        <v>486</v>
      </c>
      <c r="D4135" s="226" t="s">
        <v>501</v>
      </c>
    </row>
    <row r="4136" spans="1:4">
      <c r="A4136" s="226" t="s">
        <v>6419</v>
      </c>
      <c r="B4136" s="226">
        <v>521180</v>
      </c>
      <c r="C4136" s="226" t="s">
        <v>6420</v>
      </c>
      <c r="D4136" s="226" t="s">
        <v>501</v>
      </c>
    </row>
    <row r="4137" spans="1:4">
      <c r="A4137" s="226" t="s">
        <v>6421</v>
      </c>
      <c r="B4137" s="226">
        <v>523842</v>
      </c>
      <c r="C4137" s="226" t="s">
        <v>486</v>
      </c>
      <c r="D4137" s="226" t="s">
        <v>599</v>
      </c>
    </row>
    <row r="4138" spans="1:4">
      <c r="A4138" s="226" t="s">
        <v>6422</v>
      </c>
      <c r="B4138" s="226">
        <v>532070</v>
      </c>
      <c r="C4138" s="226" t="s">
        <v>486</v>
      </c>
      <c r="D4138" s="226" t="s">
        <v>480</v>
      </c>
    </row>
    <row r="4139" spans="1:4">
      <c r="A4139" s="226" t="s">
        <v>6423</v>
      </c>
      <c r="B4139" s="226">
        <v>523283</v>
      </c>
      <c r="C4139" s="226" t="s">
        <v>6424</v>
      </c>
      <c r="D4139" s="226" t="s">
        <v>911</v>
      </c>
    </row>
    <row r="4140" spans="1:4">
      <c r="A4140" s="226" t="s">
        <v>6425</v>
      </c>
      <c r="B4140" s="226">
        <v>539835</v>
      </c>
      <c r="C4140" s="226" t="s">
        <v>486</v>
      </c>
      <c r="D4140" s="226" t="s">
        <v>503</v>
      </c>
    </row>
    <row r="4141" spans="1:4">
      <c r="A4141" s="226" t="s">
        <v>6426</v>
      </c>
      <c r="B4141" s="226">
        <v>519234</v>
      </c>
      <c r="C4141" s="226" t="s">
        <v>6427</v>
      </c>
      <c r="D4141" s="226" t="s">
        <v>734</v>
      </c>
    </row>
    <row r="4142" spans="1:4">
      <c r="A4142" s="226" t="s">
        <v>6428</v>
      </c>
      <c r="B4142" s="226">
        <v>780008</v>
      </c>
      <c r="C4142" s="226" t="s">
        <v>486</v>
      </c>
      <c r="D4142" s="226" t="s">
        <v>577</v>
      </c>
    </row>
    <row r="4143" spans="1:4">
      <c r="A4143" s="226" t="s">
        <v>6429</v>
      </c>
      <c r="B4143" s="226">
        <v>541701</v>
      </c>
      <c r="C4143" s="226" t="s">
        <v>486</v>
      </c>
      <c r="D4143" s="226" t="s">
        <v>808</v>
      </c>
    </row>
    <row r="4144" spans="1:4">
      <c r="A4144" s="226" t="s">
        <v>6430</v>
      </c>
      <c r="B4144" s="226">
        <v>526133</v>
      </c>
      <c r="C4144" s="226" t="s">
        <v>486</v>
      </c>
      <c r="D4144" s="226" t="s">
        <v>501</v>
      </c>
    </row>
    <row r="4145" spans="1:4">
      <c r="A4145" s="226" t="s">
        <v>6431</v>
      </c>
      <c r="B4145" s="226">
        <v>540168</v>
      </c>
      <c r="C4145" s="226" t="s">
        <v>486</v>
      </c>
      <c r="D4145" s="226" t="s">
        <v>503</v>
      </c>
    </row>
    <row r="4146" spans="1:4">
      <c r="A4146" s="226" t="s">
        <v>6432</v>
      </c>
      <c r="B4146" s="226">
        <v>511539</v>
      </c>
      <c r="C4146" s="226" t="s">
        <v>486</v>
      </c>
      <c r="D4146" s="226" t="s">
        <v>470</v>
      </c>
    </row>
    <row r="4147" spans="1:4">
      <c r="A4147" s="226" t="s">
        <v>6433</v>
      </c>
      <c r="B4147" s="226">
        <v>532509</v>
      </c>
      <c r="C4147" s="226" t="s">
        <v>6434</v>
      </c>
      <c r="D4147" s="226" t="s">
        <v>840</v>
      </c>
    </row>
    <row r="4148" spans="1:4">
      <c r="A4148" s="226" t="s">
        <v>6435</v>
      </c>
      <c r="B4148" s="226" t="s">
        <v>486</v>
      </c>
      <c r="C4148" s="226" t="s">
        <v>6436</v>
      </c>
      <c r="D4148" s="226" t="s">
        <v>497</v>
      </c>
    </row>
    <row r="4149" spans="1:4">
      <c r="A4149" s="226" t="s">
        <v>6437</v>
      </c>
      <c r="B4149" s="226">
        <v>530677</v>
      </c>
      <c r="C4149" s="226" t="s">
        <v>486</v>
      </c>
      <c r="D4149" s="226" t="s">
        <v>572</v>
      </c>
    </row>
    <row r="4150" spans="1:4">
      <c r="A4150" s="226" t="s">
        <v>6438</v>
      </c>
      <c r="B4150" s="226">
        <v>530677</v>
      </c>
      <c r="C4150" s="226" t="s">
        <v>486</v>
      </c>
      <c r="D4150" s="226" t="s">
        <v>572</v>
      </c>
    </row>
    <row r="4151" spans="1:4">
      <c r="A4151" s="226" t="s">
        <v>6439</v>
      </c>
      <c r="B4151" s="226" t="s">
        <v>486</v>
      </c>
      <c r="C4151" s="226" t="s">
        <v>6440</v>
      </c>
      <c r="D4151" s="226" t="s">
        <v>497</v>
      </c>
    </row>
    <row r="4152" spans="1:4">
      <c r="A4152" s="226" t="s">
        <v>6441</v>
      </c>
      <c r="B4152" s="226">
        <v>509930</v>
      </c>
      <c r="C4152" s="226" t="s">
        <v>6442</v>
      </c>
      <c r="D4152" s="226" t="s">
        <v>605</v>
      </c>
    </row>
    <row r="4153" spans="1:4">
      <c r="A4153" s="226" t="s">
        <v>6443</v>
      </c>
      <c r="B4153" s="226">
        <v>532904</v>
      </c>
      <c r="C4153" s="226" t="s">
        <v>6444</v>
      </c>
      <c r="D4153" s="226" t="s">
        <v>883</v>
      </c>
    </row>
    <row r="4154" spans="1:4">
      <c r="A4154" s="226" t="s">
        <v>6445</v>
      </c>
      <c r="B4154" s="226">
        <v>532904</v>
      </c>
      <c r="C4154" s="226" t="s">
        <v>6444</v>
      </c>
      <c r="D4154" s="226" t="s">
        <v>883</v>
      </c>
    </row>
    <row r="4155" spans="1:4">
      <c r="A4155" s="226" t="s">
        <v>6446</v>
      </c>
      <c r="B4155" s="226">
        <v>500405</v>
      </c>
      <c r="C4155" s="226" t="s">
        <v>6447</v>
      </c>
      <c r="D4155" s="226" t="s">
        <v>699</v>
      </c>
    </row>
    <row r="4156" spans="1:4">
      <c r="A4156" s="226" t="s">
        <v>6448</v>
      </c>
      <c r="B4156" s="226">
        <v>534733</v>
      </c>
      <c r="C4156" s="226" t="s">
        <v>486</v>
      </c>
      <c r="D4156" s="226" t="s">
        <v>518</v>
      </c>
    </row>
    <row r="4157" spans="1:4">
      <c r="A4157" s="226" t="s">
        <v>6449</v>
      </c>
      <c r="B4157" s="226">
        <v>531638</v>
      </c>
      <c r="C4157" s="226" t="s">
        <v>486</v>
      </c>
      <c r="D4157" s="226" t="s">
        <v>808</v>
      </c>
    </row>
    <row r="4158" spans="1:4">
      <c r="A4158" s="226" t="s">
        <v>6450</v>
      </c>
      <c r="B4158" s="226">
        <v>518075</v>
      </c>
      <c r="C4158" s="226" t="s">
        <v>486</v>
      </c>
      <c r="D4158" s="226" t="s">
        <v>518</v>
      </c>
    </row>
    <row r="4159" spans="1:4">
      <c r="A4159" s="226" t="s">
        <v>6451</v>
      </c>
      <c r="B4159" s="226">
        <v>533298</v>
      </c>
      <c r="C4159" s="226" t="s">
        <v>6452</v>
      </c>
      <c r="D4159" s="226" t="s">
        <v>1027</v>
      </c>
    </row>
    <row r="4160" spans="1:4">
      <c r="A4160" s="226" t="s">
        <v>6453</v>
      </c>
      <c r="B4160" s="226">
        <v>517530</v>
      </c>
      <c r="C4160" s="226" t="s">
        <v>6454</v>
      </c>
      <c r="D4160" s="226" t="s">
        <v>755</v>
      </c>
    </row>
    <row r="4161" spans="1:4">
      <c r="A4161" s="226" t="s">
        <v>6455</v>
      </c>
      <c r="B4161" s="226">
        <v>530185</v>
      </c>
      <c r="C4161" s="226" t="s">
        <v>486</v>
      </c>
      <c r="D4161" s="226" t="s">
        <v>501</v>
      </c>
    </row>
    <row r="4162" spans="1:4">
      <c r="A4162" s="226" t="s">
        <v>6456</v>
      </c>
      <c r="B4162" s="226" t="s">
        <v>486</v>
      </c>
      <c r="C4162" s="226" t="s">
        <v>6457</v>
      </c>
      <c r="D4162" s="226" t="s">
        <v>497</v>
      </c>
    </row>
    <row r="4163" spans="1:4">
      <c r="A4163" s="226" t="s">
        <v>6458</v>
      </c>
      <c r="B4163" s="226">
        <v>539253</v>
      </c>
      <c r="C4163" s="226" t="s">
        <v>486</v>
      </c>
      <c r="D4163" s="226" t="s">
        <v>503</v>
      </c>
    </row>
    <row r="4164" spans="1:4">
      <c r="A4164" s="226" t="s">
        <v>6459</v>
      </c>
      <c r="B4164" s="226">
        <v>539253</v>
      </c>
      <c r="C4164" s="226" t="s">
        <v>486</v>
      </c>
      <c r="D4164" s="226" t="s">
        <v>503</v>
      </c>
    </row>
    <row r="4165" spans="1:4">
      <c r="A4165" s="226" t="s">
        <v>6460</v>
      </c>
      <c r="B4165" s="226">
        <v>500336</v>
      </c>
      <c r="C4165" s="226" t="s">
        <v>6461</v>
      </c>
      <c r="D4165" s="226" t="s">
        <v>346</v>
      </c>
    </row>
    <row r="4166" spans="1:4">
      <c r="A4166" s="226" t="s">
        <v>6462</v>
      </c>
      <c r="B4166" s="226">
        <v>533101</v>
      </c>
      <c r="C4166" s="226" t="s">
        <v>486</v>
      </c>
      <c r="D4166" s="226" t="s">
        <v>501</v>
      </c>
    </row>
    <row r="4167" spans="1:4">
      <c r="A4167" s="226" t="s">
        <v>6463</v>
      </c>
      <c r="B4167" s="226">
        <v>532874</v>
      </c>
      <c r="C4167" s="226" t="s">
        <v>486</v>
      </c>
      <c r="D4167" s="226" t="s">
        <v>624</v>
      </c>
    </row>
    <row r="4168" spans="1:4">
      <c r="A4168" s="226" t="s">
        <v>6464</v>
      </c>
      <c r="B4168" s="226">
        <v>511185</v>
      </c>
      <c r="C4168" s="226" t="s">
        <v>486</v>
      </c>
      <c r="D4168" s="226" t="s">
        <v>806</v>
      </c>
    </row>
    <row r="4169" spans="1:4">
      <c r="A4169" s="226" t="s">
        <v>6465</v>
      </c>
      <c r="B4169" s="226">
        <v>521200</v>
      </c>
      <c r="C4169" s="226" t="s">
        <v>6466</v>
      </c>
      <c r="D4169" s="226" t="s">
        <v>501</v>
      </c>
    </row>
    <row r="4170" spans="1:4">
      <c r="A4170" s="226" t="s">
        <v>6467</v>
      </c>
      <c r="B4170" s="226">
        <v>514138</v>
      </c>
      <c r="C4170" s="226" t="s">
        <v>486</v>
      </c>
      <c r="D4170" s="226" t="s">
        <v>501</v>
      </c>
    </row>
    <row r="4171" spans="1:4">
      <c r="A4171" s="226" t="s">
        <v>6468</v>
      </c>
      <c r="B4171" s="226">
        <v>514140</v>
      </c>
      <c r="C4171" s="226" t="s">
        <v>486</v>
      </c>
      <c r="D4171" s="226" t="s">
        <v>501</v>
      </c>
    </row>
    <row r="4172" spans="1:4">
      <c r="A4172" s="226" t="s">
        <v>6469</v>
      </c>
      <c r="B4172" s="226">
        <v>519604</v>
      </c>
      <c r="C4172" s="226" t="s">
        <v>6470</v>
      </c>
      <c r="D4172" s="226" t="s">
        <v>546</v>
      </c>
    </row>
    <row r="4173" spans="1:4">
      <c r="A4173" s="226" t="s">
        <v>6471</v>
      </c>
      <c r="B4173" s="226">
        <v>532782</v>
      </c>
      <c r="C4173" s="226" t="s">
        <v>6472</v>
      </c>
      <c r="D4173" s="226" t="s">
        <v>501</v>
      </c>
    </row>
    <row r="4174" spans="1:4">
      <c r="A4174" s="226" t="s">
        <v>6473</v>
      </c>
      <c r="B4174" s="226" t="s">
        <v>486</v>
      </c>
      <c r="C4174" s="226" t="s">
        <v>6474</v>
      </c>
      <c r="D4174" s="226" t="s">
        <v>497</v>
      </c>
    </row>
    <row r="4175" spans="1:4">
      <c r="A4175" s="226" t="s">
        <v>6475</v>
      </c>
      <c r="B4175" s="226">
        <v>530239</v>
      </c>
      <c r="C4175" s="226" t="s">
        <v>6476</v>
      </c>
      <c r="D4175" s="226" t="s">
        <v>524</v>
      </c>
    </row>
    <row r="4176" spans="1:4">
      <c r="A4176" s="226" t="s">
        <v>6477</v>
      </c>
      <c r="B4176" s="226">
        <v>531640</v>
      </c>
      <c r="C4176" s="226" t="s">
        <v>486</v>
      </c>
      <c r="D4176" s="226" t="s">
        <v>572</v>
      </c>
    </row>
    <row r="4177" spans="1:4">
      <c r="A4177" s="226" t="s">
        <v>6478</v>
      </c>
      <c r="B4177" s="226">
        <v>537259</v>
      </c>
      <c r="C4177" s="226" t="s">
        <v>486</v>
      </c>
      <c r="D4177" s="226" t="s">
        <v>1430</v>
      </c>
    </row>
    <row r="4178" spans="1:4">
      <c r="A4178" s="226" t="s">
        <v>6479</v>
      </c>
      <c r="B4178" s="226">
        <v>532667</v>
      </c>
      <c r="C4178" s="226" t="s">
        <v>6480</v>
      </c>
      <c r="D4178" s="226" t="s">
        <v>529</v>
      </c>
    </row>
    <row r="4179" spans="1:4">
      <c r="A4179" s="226" t="s">
        <v>6481</v>
      </c>
      <c r="B4179" s="226">
        <v>531885</v>
      </c>
      <c r="C4179" s="226" t="s">
        <v>486</v>
      </c>
      <c r="D4179" s="226" t="s">
        <v>508</v>
      </c>
    </row>
    <row r="4180" spans="1:4">
      <c r="A4180" s="226" t="s">
        <v>6482</v>
      </c>
      <c r="B4180" s="226">
        <v>531885</v>
      </c>
      <c r="C4180" s="226" t="s">
        <v>486</v>
      </c>
      <c r="D4180" s="226" t="s">
        <v>508</v>
      </c>
    </row>
    <row r="4181" spans="1:4">
      <c r="A4181" s="226" t="s">
        <v>6483</v>
      </c>
      <c r="B4181" s="226">
        <v>523722</v>
      </c>
      <c r="C4181" s="226" t="s">
        <v>486</v>
      </c>
      <c r="D4181" s="226" t="s">
        <v>579</v>
      </c>
    </row>
    <row r="4182" spans="1:4">
      <c r="A4182" s="226" t="s">
        <v>6484</v>
      </c>
      <c r="B4182" s="226">
        <v>503624</v>
      </c>
      <c r="C4182" s="226" t="s">
        <v>486</v>
      </c>
      <c r="D4182" s="226" t="s">
        <v>470</v>
      </c>
    </row>
    <row r="4183" spans="1:4">
      <c r="A4183" s="226" t="s">
        <v>6485</v>
      </c>
      <c r="B4183" s="226">
        <v>539911</v>
      </c>
      <c r="C4183" s="226" t="s">
        <v>486</v>
      </c>
      <c r="D4183" s="226" t="s">
        <v>508</v>
      </c>
    </row>
    <row r="4184" spans="1:4">
      <c r="A4184" s="226" t="s">
        <v>6486</v>
      </c>
      <c r="B4184" s="226">
        <v>524488</v>
      </c>
      <c r="C4184" s="226" t="s">
        <v>6487</v>
      </c>
      <c r="D4184" s="226" t="s">
        <v>534</v>
      </c>
    </row>
    <row r="4185" spans="1:4">
      <c r="A4185" s="226" t="s">
        <v>6488</v>
      </c>
      <c r="B4185" s="226">
        <v>512449</v>
      </c>
      <c r="C4185" s="226" t="s">
        <v>486</v>
      </c>
      <c r="D4185" s="226" t="s">
        <v>467</v>
      </c>
    </row>
    <row r="4186" spans="1:4">
      <c r="A4186" s="226" t="s">
        <v>6489</v>
      </c>
      <c r="B4186" s="226">
        <v>505590</v>
      </c>
      <c r="C4186" s="226" t="s">
        <v>486</v>
      </c>
      <c r="D4186" s="226" t="s">
        <v>501</v>
      </c>
    </row>
    <row r="4187" spans="1:4">
      <c r="A4187" s="226" t="s">
        <v>6490</v>
      </c>
      <c r="B4187" s="226">
        <v>539041</v>
      </c>
      <c r="C4187" s="226" t="s">
        <v>486</v>
      </c>
      <c r="D4187" s="226" t="s">
        <v>508</v>
      </c>
    </row>
    <row r="4188" spans="1:4">
      <c r="A4188" s="226" t="s">
        <v>6491</v>
      </c>
      <c r="B4188" s="226">
        <v>503659</v>
      </c>
      <c r="C4188" s="226" t="s">
        <v>486</v>
      </c>
      <c r="D4188" s="226" t="s">
        <v>906</v>
      </c>
    </row>
    <row r="4189" spans="1:4">
      <c r="A4189" s="226" t="s">
        <v>6492</v>
      </c>
      <c r="B4189" s="226">
        <v>506863</v>
      </c>
      <c r="C4189" s="226" t="s">
        <v>486</v>
      </c>
      <c r="D4189" s="226" t="s">
        <v>680</v>
      </c>
    </row>
    <row r="4190" spans="1:4">
      <c r="A4190" s="226" t="s">
        <v>6493</v>
      </c>
      <c r="B4190" s="226">
        <v>503816</v>
      </c>
      <c r="C4190" s="226" t="s">
        <v>486</v>
      </c>
      <c r="D4190" s="226" t="s">
        <v>501</v>
      </c>
    </row>
    <row r="4191" spans="1:4">
      <c r="A4191" s="226" t="s">
        <v>6494</v>
      </c>
      <c r="B4191" s="226">
        <v>531909</v>
      </c>
      <c r="C4191" s="226" t="s">
        <v>486</v>
      </c>
      <c r="D4191" s="226" t="s">
        <v>572</v>
      </c>
    </row>
    <row r="4192" spans="1:4">
      <c r="A4192" s="226" t="s">
        <v>6495</v>
      </c>
      <c r="B4192" s="226">
        <v>539406</v>
      </c>
      <c r="C4192" s="226" t="s">
        <v>486</v>
      </c>
      <c r="D4192" s="226" t="s">
        <v>508</v>
      </c>
    </row>
    <row r="4193" spans="1:4">
      <c r="A4193" s="226" t="s">
        <v>6496</v>
      </c>
      <c r="B4193" s="226">
        <v>503310</v>
      </c>
      <c r="C4193" s="226" t="s">
        <v>6497</v>
      </c>
      <c r="D4193" s="226" t="s">
        <v>501</v>
      </c>
    </row>
    <row r="4194" spans="1:4">
      <c r="A4194" s="226" t="s">
        <v>6498</v>
      </c>
      <c r="B4194" s="226">
        <v>539353</v>
      </c>
      <c r="C4194" s="226" t="s">
        <v>486</v>
      </c>
      <c r="D4194" s="226" t="s">
        <v>840</v>
      </c>
    </row>
    <row r="4195" spans="1:4">
      <c r="A4195" s="226" t="s">
        <v>6499</v>
      </c>
      <c r="B4195" s="226">
        <v>500407</v>
      </c>
      <c r="C4195" s="226" t="s">
        <v>6500</v>
      </c>
      <c r="D4195" s="226" t="s">
        <v>840</v>
      </c>
    </row>
    <row r="4196" spans="1:4">
      <c r="A4196" s="226" t="s">
        <v>6501</v>
      </c>
      <c r="B4196" s="226">
        <v>531003</v>
      </c>
      <c r="C4196" s="226" t="s">
        <v>486</v>
      </c>
      <c r="D4196" s="226" t="s">
        <v>503</v>
      </c>
    </row>
    <row r="4197" spans="1:4">
      <c r="A4197" s="226" t="s">
        <v>6502</v>
      </c>
      <c r="B4197" s="226">
        <v>526365</v>
      </c>
      <c r="C4197" s="226" t="s">
        <v>486</v>
      </c>
      <c r="D4197" s="226" t="s">
        <v>599</v>
      </c>
    </row>
    <row r="4198" spans="1:4">
      <c r="A4198" s="226" t="s">
        <v>6503</v>
      </c>
      <c r="B4198" s="226">
        <v>512257</v>
      </c>
      <c r="C4198" s="226" t="s">
        <v>486</v>
      </c>
      <c r="D4198" s="226" t="s">
        <v>346</v>
      </c>
    </row>
    <row r="4199" spans="1:4">
      <c r="A4199" s="226" t="s">
        <v>6504</v>
      </c>
      <c r="B4199" s="226">
        <v>510245</v>
      </c>
      <c r="C4199" s="226" t="s">
        <v>486</v>
      </c>
      <c r="D4199" s="226" t="s">
        <v>508</v>
      </c>
    </row>
    <row r="4200" spans="1:4">
      <c r="A4200" s="226" t="s">
        <v>6505</v>
      </c>
      <c r="B4200" s="226">
        <v>501386</v>
      </c>
      <c r="C4200" s="226" t="s">
        <v>486</v>
      </c>
      <c r="D4200" s="226" t="s">
        <v>470</v>
      </c>
    </row>
    <row r="4201" spans="1:4">
      <c r="A4201" s="226" t="s">
        <v>6506</v>
      </c>
      <c r="B4201" s="226">
        <v>530585</v>
      </c>
      <c r="C4201" s="226" t="s">
        <v>486</v>
      </c>
      <c r="D4201" s="226" t="s">
        <v>470</v>
      </c>
    </row>
    <row r="4202" spans="1:4">
      <c r="A4202" s="226" t="s">
        <v>6507</v>
      </c>
      <c r="B4202" s="226">
        <v>532051</v>
      </c>
      <c r="C4202" s="226" t="s">
        <v>6508</v>
      </c>
      <c r="D4202" s="226" t="s">
        <v>529</v>
      </c>
    </row>
    <row r="4203" spans="1:4">
      <c r="A4203" s="226" t="s">
        <v>6509</v>
      </c>
      <c r="B4203" s="226">
        <v>522215</v>
      </c>
      <c r="C4203" s="226" t="s">
        <v>486</v>
      </c>
      <c r="D4203" s="226" t="s">
        <v>494</v>
      </c>
    </row>
    <row r="4204" spans="1:4">
      <c r="A4204" s="226" t="s">
        <v>6510</v>
      </c>
      <c r="B4204" s="226">
        <v>517201</v>
      </c>
      <c r="C4204" s="226" t="s">
        <v>486</v>
      </c>
      <c r="D4204" s="226" t="s">
        <v>1027</v>
      </c>
    </row>
    <row r="4205" spans="1:4">
      <c r="A4205" s="226" t="s">
        <v>6511</v>
      </c>
      <c r="B4205" s="226">
        <v>531637</v>
      </c>
      <c r="C4205" s="226" t="s">
        <v>486</v>
      </c>
      <c r="D4205" s="226" t="s">
        <v>524</v>
      </c>
    </row>
    <row r="4206" spans="1:4">
      <c r="A4206" s="226" t="s">
        <v>6512</v>
      </c>
      <c r="B4206" s="226">
        <v>512359</v>
      </c>
      <c r="C4206" s="226" t="s">
        <v>486</v>
      </c>
      <c r="D4206" s="226" t="s">
        <v>508</v>
      </c>
    </row>
    <row r="4207" spans="1:4">
      <c r="A4207" s="226" t="s">
        <v>6513</v>
      </c>
      <c r="B4207" s="226">
        <v>531499</v>
      </c>
      <c r="C4207" s="226" t="s">
        <v>486</v>
      </c>
      <c r="D4207" s="226" t="s">
        <v>501</v>
      </c>
    </row>
    <row r="4208" spans="1:4">
      <c r="A4208" s="226" t="s">
        <v>6514</v>
      </c>
      <c r="B4208" s="226">
        <v>539682</v>
      </c>
      <c r="C4208" s="226" t="s">
        <v>486</v>
      </c>
      <c r="D4208" s="226" t="s">
        <v>349</v>
      </c>
    </row>
    <row r="4209" spans="1:4">
      <c r="A4209" s="226" t="s">
        <v>6515</v>
      </c>
      <c r="B4209" s="226">
        <v>511447</v>
      </c>
      <c r="C4209" s="226" t="s">
        <v>486</v>
      </c>
      <c r="D4209" s="226" t="s">
        <v>492</v>
      </c>
    </row>
    <row r="4210" spans="1:4">
      <c r="A4210" s="226" t="s">
        <v>6516</v>
      </c>
      <c r="B4210" s="226">
        <v>539278</v>
      </c>
      <c r="C4210" s="226" t="s">
        <v>486</v>
      </c>
      <c r="D4210" s="226" t="s">
        <v>470</v>
      </c>
    </row>
    <row r="4211" spans="1:4">
      <c r="A4211" s="226" t="s">
        <v>6517</v>
      </c>
      <c r="B4211" s="226">
        <v>517385</v>
      </c>
      <c r="C4211" s="226" t="s">
        <v>6518</v>
      </c>
      <c r="D4211" s="226" t="s">
        <v>854</v>
      </c>
    </row>
    <row r="4212" spans="1:4">
      <c r="A4212" s="226" t="s">
        <v>6519</v>
      </c>
      <c r="B4212" s="226">
        <v>524470</v>
      </c>
      <c r="C4212" s="226" t="s">
        <v>486</v>
      </c>
      <c r="D4212" s="226" t="s">
        <v>524</v>
      </c>
    </row>
    <row r="4213" spans="1:4">
      <c r="A4213" s="226" t="s">
        <v>6520</v>
      </c>
      <c r="B4213" s="226">
        <v>524470</v>
      </c>
      <c r="C4213" s="226" t="s">
        <v>486</v>
      </c>
      <c r="D4213" s="226" t="s">
        <v>524</v>
      </c>
    </row>
    <row r="4214" spans="1:4">
      <c r="A4214" s="226" t="s">
        <v>6521</v>
      </c>
      <c r="B4214" s="226">
        <v>533157</v>
      </c>
      <c r="C4214" s="226" t="s">
        <v>6522</v>
      </c>
      <c r="D4214" s="226" t="s">
        <v>524</v>
      </c>
    </row>
    <row r="4215" spans="1:4">
      <c r="A4215" s="226" t="s">
        <v>6523</v>
      </c>
      <c r="B4215" s="226">
        <v>532276</v>
      </c>
      <c r="C4215" s="226" t="s">
        <v>6524</v>
      </c>
      <c r="D4215" s="226" t="s">
        <v>803</v>
      </c>
    </row>
    <row r="4216" spans="1:4">
      <c r="A4216" s="226" t="s">
        <v>6525</v>
      </c>
      <c r="B4216" s="226">
        <v>541929</v>
      </c>
      <c r="C4216" s="226" t="s">
        <v>486</v>
      </c>
      <c r="D4216" s="226" t="s">
        <v>1403</v>
      </c>
    </row>
    <row r="4217" spans="1:4">
      <c r="A4217" s="226" t="s">
        <v>6526</v>
      </c>
      <c r="B4217" s="226">
        <v>539268</v>
      </c>
      <c r="C4217" s="226" t="s">
        <v>6527</v>
      </c>
      <c r="D4217" s="226" t="s">
        <v>524</v>
      </c>
    </row>
    <row r="4218" spans="1:4">
      <c r="A4218" s="226" t="s">
        <v>6528</v>
      </c>
      <c r="B4218" s="226">
        <v>513307</v>
      </c>
      <c r="C4218" s="226" t="s">
        <v>486</v>
      </c>
      <c r="D4218" s="226" t="s">
        <v>790</v>
      </c>
    </row>
    <row r="4219" spans="1:4">
      <c r="A4219" s="226" t="s">
        <v>6529</v>
      </c>
      <c r="B4219" s="226">
        <v>531173</v>
      </c>
      <c r="C4219" s="226" t="s">
        <v>486</v>
      </c>
      <c r="D4219" s="226" t="s">
        <v>524</v>
      </c>
    </row>
    <row r="4220" spans="1:4">
      <c r="A4220" s="226" t="s">
        <v>6530</v>
      </c>
      <c r="B4220" s="226">
        <v>531173</v>
      </c>
      <c r="C4220" s="226" t="s">
        <v>486</v>
      </c>
      <c r="D4220" s="226" t="s">
        <v>524</v>
      </c>
    </row>
    <row r="4221" spans="1:4">
      <c r="A4221" s="226" t="s">
        <v>6531</v>
      </c>
      <c r="B4221" s="226">
        <v>539842</v>
      </c>
      <c r="C4221" s="226" t="s">
        <v>486</v>
      </c>
      <c r="D4221" s="226" t="s">
        <v>680</v>
      </c>
    </row>
    <row r="4222" spans="1:4">
      <c r="A4222" s="226" t="s">
        <v>6532</v>
      </c>
      <c r="B4222" s="226">
        <v>526506</v>
      </c>
      <c r="C4222" s="226" t="s">
        <v>486</v>
      </c>
      <c r="D4222" s="226" t="s">
        <v>470</v>
      </c>
    </row>
    <row r="4223" spans="1:4">
      <c r="A4223" s="226" t="s">
        <v>6533</v>
      </c>
      <c r="B4223" s="226">
        <v>531432</v>
      </c>
      <c r="C4223" s="226" t="s">
        <v>486</v>
      </c>
      <c r="D4223" s="226" t="s">
        <v>503</v>
      </c>
    </row>
    <row r="4224" spans="1:4">
      <c r="A4224" s="226" t="s">
        <v>6534</v>
      </c>
      <c r="B4224" s="226">
        <v>522294</v>
      </c>
      <c r="C4224" s="226" t="s">
        <v>486</v>
      </c>
      <c r="D4224" s="226" t="s">
        <v>494</v>
      </c>
    </row>
    <row r="4225" spans="1:4">
      <c r="A4225" s="226" t="s">
        <v>6535</v>
      </c>
      <c r="B4225" s="226">
        <v>533553</v>
      </c>
      <c r="C4225" s="226" t="s">
        <v>486</v>
      </c>
      <c r="D4225" s="226" t="s">
        <v>529</v>
      </c>
    </row>
    <row r="4226" spans="1:4">
      <c r="A4226" s="226" t="s">
        <v>6536</v>
      </c>
      <c r="B4226" s="226">
        <v>532444</v>
      </c>
      <c r="C4226" s="226" t="s">
        <v>486</v>
      </c>
      <c r="D4226" s="226" t="s">
        <v>579</v>
      </c>
    </row>
    <row r="4227" spans="1:4">
      <c r="A4227" s="226" t="s">
        <v>6537</v>
      </c>
      <c r="B4227" s="226">
        <v>514142</v>
      </c>
      <c r="C4227" s="226" t="s">
        <v>6538</v>
      </c>
      <c r="D4227" s="226" t="s">
        <v>501</v>
      </c>
    </row>
    <row r="4228" spans="1:4">
      <c r="A4228" s="226" t="s">
        <v>6539</v>
      </c>
      <c r="B4228" s="226">
        <v>539956</v>
      </c>
      <c r="C4228" s="226" t="s">
        <v>486</v>
      </c>
      <c r="D4228" s="226" t="s">
        <v>2620</v>
      </c>
    </row>
    <row r="4229" spans="1:4">
      <c r="A4229" s="226" t="s">
        <v>6540</v>
      </c>
      <c r="B4229" s="226">
        <v>537392</v>
      </c>
      <c r="C4229" s="226" t="s">
        <v>486</v>
      </c>
      <c r="D4229" s="226" t="s">
        <v>654</v>
      </c>
    </row>
    <row r="4230" spans="1:4">
      <c r="A4230" s="226" t="s">
        <v>6541</v>
      </c>
      <c r="B4230" s="226">
        <v>519483</v>
      </c>
      <c r="C4230" s="226" t="s">
        <v>486</v>
      </c>
      <c r="D4230" s="226" t="s">
        <v>508</v>
      </c>
    </row>
    <row r="4231" spans="1:4">
      <c r="A4231" s="226" t="s">
        <v>6542</v>
      </c>
      <c r="B4231" s="226">
        <v>507785</v>
      </c>
      <c r="C4231" s="226" t="s">
        <v>6543</v>
      </c>
      <c r="D4231" s="226" t="s">
        <v>605</v>
      </c>
    </row>
    <row r="4232" spans="1:4">
      <c r="A4232" s="226" t="s">
        <v>6544</v>
      </c>
      <c r="B4232" s="226">
        <v>532390</v>
      </c>
      <c r="C4232" s="226" t="s">
        <v>6545</v>
      </c>
      <c r="D4232" s="226" t="s">
        <v>686</v>
      </c>
    </row>
    <row r="4233" spans="1:4">
      <c r="A4233" s="226" t="s">
        <v>6546</v>
      </c>
      <c r="B4233" s="226">
        <v>532890</v>
      </c>
      <c r="C4233" s="226" t="s">
        <v>6547</v>
      </c>
      <c r="D4233" s="226" t="s">
        <v>473</v>
      </c>
    </row>
    <row r="4234" spans="1:4">
      <c r="A4234" s="226" t="s">
        <v>6548</v>
      </c>
      <c r="B4234" s="226">
        <v>505160</v>
      </c>
      <c r="C4234" s="226" t="s">
        <v>6549</v>
      </c>
      <c r="D4234" s="226" t="s">
        <v>840</v>
      </c>
    </row>
    <row r="4235" spans="1:4">
      <c r="A4235" s="226" t="s">
        <v>6550</v>
      </c>
      <c r="B4235" s="226">
        <v>538987</v>
      </c>
      <c r="C4235" s="226" t="s">
        <v>486</v>
      </c>
      <c r="D4235" s="226" t="s">
        <v>840</v>
      </c>
    </row>
    <row r="4236" spans="1:4">
      <c r="A4236" s="226" t="s">
        <v>6551</v>
      </c>
      <c r="B4236" s="226">
        <v>533200</v>
      </c>
      <c r="C4236" s="226" t="s">
        <v>6552</v>
      </c>
      <c r="D4236" s="226" t="s">
        <v>663</v>
      </c>
    </row>
    <row r="4237" spans="1:4">
      <c r="A4237" s="226" t="s">
        <v>6553</v>
      </c>
      <c r="B4237" s="226">
        <v>541545</v>
      </c>
      <c r="C4237" s="226" t="s">
        <v>6554</v>
      </c>
      <c r="D4237" s="226" t="s">
        <v>663</v>
      </c>
    </row>
    <row r="4238" spans="1:4">
      <c r="A4238" s="226" t="s">
        <v>6555</v>
      </c>
      <c r="B4238" s="226">
        <v>533170</v>
      </c>
      <c r="C4238" s="226" t="s">
        <v>486</v>
      </c>
      <c r="D4238" s="226" t="s">
        <v>506</v>
      </c>
    </row>
    <row r="4239" spans="1:4">
      <c r="A4239" s="226" t="s">
        <v>6556</v>
      </c>
      <c r="B4239" s="226">
        <v>531426</v>
      </c>
      <c r="C4239" s="226" t="s">
        <v>6557</v>
      </c>
      <c r="D4239" s="226" t="s">
        <v>480</v>
      </c>
    </row>
    <row r="4240" spans="1:4">
      <c r="A4240" s="226" t="s">
        <v>6558</v>
      </c>
      <c r="B4240" s="226">
        <v>521038</v>
      </c>
      <c r="C4240" s="226" t="s">
        <v>486</v>
      </c>
      <c r="D4240" s="226" t="s">
        <v>501</v>
      </c>
    </row>
    <row r="4241" spans="1:4">
      <c r="A4241" s="226" t="s">
        <v>6559</v>
      </c>
      <c r="B4241" s="226">
        <v>500777</v>
      </c>
      <c r="C4241" s="226" t="s">
        <v>6560</v>
      </c>
      <c r="D4241" s="226" t="s">
        <v>534</v>
      </c>
    </row>
    <row r="4242" spans="1:4">
      <c r="A4242" s="226" t="s">
        <v>6561</v>
      </c>
      <c r="B4242" s="226">
        <v>513540</v>
      </c>
      <c r="C4242" s="226" t="s">
        <v>486</v>
      </c>
      <c r="D4242" s="226" t="s">
        <v>808</v>
      </c>
    </row>
    <row r="4243" spans="1:4">
      <c r="A4243" s="226" t="s">
        <v>6562</v>
      </c>
      <c r="B4243" s="226">
        <v>523419</v>
      </c>
      <c r="C4243" s="226" t="s">
        <v>6563</v>
      </c>
      <c r="D4243" s="226" t="s">
        <v>755</v>
      </c>
    </row>
    <row r="4244" spans="1:4">
      <c r="A4244" s="226" t="s">
        <v>6564</v>
      </c>
      <c r="B4244" s="226">
        <v>522229</v>
      </c>
      <c r="C4244" s="226" t="s">
        <v>486</v>
      </c>
      <c r="D4244" s="226" t="s">
        <v>2967</v>
      </c>
    </row>
    <row r="4245" spans="1:4">
      <c r="A4245" s="226" t="s">
        <v>6565</v>
      </c>
      <c r="B4245" s="226">
        <v>506854</v>
      </c>
      <c r="C4245" s="226" t="s">
        <v>486</v>
      </c>
      <c r="D4245" s="226" t="s">
        <v>534</v>
      </c>
    </row>
    <row r="4246" spans="1:4">
      <c r="A4246" s="226" t="s">
        <v>6566</v>
      </c>
      <c r="B4246" s="226">
        <v>532790</v>
      </c>
      <c r="C4246" s="226" t="s">
        <v>6567</v>
      </c>
      <c r="D4246" s="226" t="s">
        <v>579</v>
      </c>
    </row>
    <row r="4247" spans="1:4">
      <c r="A4247" s="226" t="s">
        <v>6568</v>
      </c>
      <c r="B4247" s="226">
        <v>532738</v>
      </c>
      <c r="C4247" s="226" t="s">
        <v>6569</v>
      </c>
      <c r="D4247" s="226" t="s">
        <v>883</v>
      </c>
    </row>
    <row r="4248" spans="1:4">
      <c r="A4248" s="226" t="s">
        <v>6570</v>
      </c>
      <c r="B4248" s="226">
        <v>540332</v>
      </c>
      <c r="C4248" s="226" t="s">
        <v>486</v>
      </c>
      <c r="D4248" s="226" t="s">
        <v>508</v>
      </c>
    </row>
    <row r="4249" spans="1:4">
      <c r="A4249" s="226" t="s">
        <v>6571</v>
      </c>
      <c r="B4249" s="226">
        <v>540332</v>
      </c>
      <c r="C4249" s="226" t="s">
        <v>486</v>
      </c>
      <c r="D4249" s="226" t="s">
        <v>508</v>
      </c>
    </row>
    <row r="4250" spans="1:4">
      <c r="A4250" s="226" t="s">
        <v>6572</v>
      </c>
      <c r="B4250" s="226">
        <v>505685</v>
      </c>
      <c r="C4250" s="226" t="s">
        <v>486</v>
      </c>
      <c r="D4250" s="226" t="s">
        <v>808</v>
      </c>
    </row>
    <row r="4251" spans="1:4">
      <c r="A4251" s="226" t="s">
        <v>6573</v>
      </c>
      <c r="B4251" s="226" t="s">
        <v>486</v>
      </c>
      <c r="C4251" s="226" t="s">
        <v>6574</v>
      </c>
      <c r="D4251" s="226" t="s">
        <v>497</v>
      </c>
    </row>
    <row r="4252" spans="1:4">
      <c r="A4252" s="226" t="s">
        <v>6575</v>
      </c>
      <c r="B4252" s="226">
        <v>534756</v>
      </c>
      <c r="C4252" s="226" t="s">
        <v>6576</v>
      </c>
      <c r="D4252" s="226" t="s">
        <v>599</v>
      </c>
    </row>
    <row r="4253" spans="1:4">
      <c r="A4253" s="226" t="s">
        <v>6577</v>
      </c>
      <c r="B4253" s="226">
        <v>519285</v>
      </c>
      <c r="C4253" s="226" t="s">
        <v>486</v>
      </c>
      <c r="D4253" s="226" t="s">
        <v>683</v>
      </c>
    </row>
    <row r="4254" spans="1:4">
      <c r="A4254" s="226" t="s">
        <v>6578</v>
      </c>
      <c r="B4254" s="226">
        <v>533203</v>
      </c>
      <c r="C4254" s="226" t="s">
        <v>6579</v>
      </c>
      <c r="D4254" s="226" t="s">
        <v>529</v>
      </c>
    </row>
    <row r="4255" spans="1:4">
      <c r="A4255" s="226" t="s">
        <v>6580</v>
      </c>
      <c r="B4255" s="226">
        <v>538496</v>
      </c>
      <c r="C4255" s="226" t="s">
        <v>486</v>
      </c>
      <c r="D4255" s="226" t="s">
        <v>570</v>
      </c>
    </row>
    <row r="4256" spans="1:4">
      <c r="A4256" s="226" t="s">
        <v>6581</v>
      </c>
      <c r="B4256" s="226">
        <v>532869</v>
      </c>
      <c r="C4256" s="226" t="s">
        <v>6582</v>
      </c>
      <c r="D4256" s="226" t="s">
        <v>883</v>
      </c>
    </row>
    <row r="4257" spans="1:4">
      <c r="A4257" s="226" t="s">
        <v>6583</v>
      </c>
      <c r="B4257" s="226">
        <v>512271</v>
      </c>
      <c r="C4257" s="226" t="s">
        <v>486</v>
      </c>
      <c r="D4257" s="226" t="s">
        <v>906</v>
      </c>
    </row>
    <row r="4258" spans="1:4">
      <c r="A4258" s="226" t="s">
        <v>6584</v>
      </c>
      <c r="B4258" s="226">
        <v>512271</v>
      </c>
      <c r="C4258" s="226" t="s">
        <v>486</v>
      </c>
      <c r="D4258" s="226" t="s">
        <v>906</v>
      </c>
    </row>
    <row r="4259" spans="1:4">
      <c r="A4259" s="226" t="s">
        <v>6585</v>
      </c>
      <c r="B4259" s="226">
        <v>519091</v>
      </c>
      <c r="C4259" s="226" t="s">
        <v>6586</v>
      </c>
      <c r="D4259" s="226" t="s">
        <v>546</v>
      </c>
    </row>
    <row r="4260" spans="1:4">
      <c r="A4260" s="226" t="s">
        <v>6587</v>
      </c>
      <c r="B4260" s="226">
        <v>540955</v>
      </c>
      <c r="C4260" s="226" t="s">
        <v>486</v>
      </c>
      <c r="D4260" s="226" t="s">
        <v>546</v>
      </c>
    </row>
    <row r="4261" spans="1:4">
      <c r="A4261" s="226" t="s">
        <v>6588</v>
      </c>
      <c r="B4261" s="226">
        <v>500770</v>
      </c>
      <c r="C4261" s="226" t="s">
        <v>6589</v>
      </c>
      <c r="D4261" s="226" t="s">
        <v>534</v>
      </c>
    </row>
    <row r="4262" spans="1:4">
      <c r="A4262" s="226" t="s">
        <v>6590</v>
      </c>
      <c r="B4262" s="226">
        <v>532301</v>
      </c>
      <c r="C4262" s="226" t="s">
        <v>6591</v>
      </c>
      <c r="D4262" s="226" t="s">
        <v>892</v>
      </c>
    </row>
    <row r="4263" spans="1:4">
      <c r="A4263" s="226" t="s">
        <v>6592</v>
      </c>
      <c r="B4263" s="226">
        <v>500483</v>
      </c>
      <c r="C4263" s="226" t="s">
        <v>6593</v>
      </c>
      <c r="D4263" s="226" t="s">
        <v>6594</v>
      </c>
    </row>
    <row r="4264" spans="1:4">
      <c r="A4264" s="226" t="s">
        <v>6595</v>
      </c>
      <c r="B4264" s="226">
        <v>532540</v>
      </c>
      <c r="C4264" s="226" t="s">
        <v>6596</v>
      </c>
      <c r="D4264" s="226" t="s">
        <v>473</v>
      </c>
    </row>
    <row r="4265" spans="1:4">
      <c r="A4265" s="226" t="s">
        <v>6597</v>
      </c>
      <c r="B4265" s="226">
        <v>500408</v>
      </c>
      <c r="C4265" s="226" t="s">
        <v>6598</v>
      </c>
      <c r="D4265" s="226" t="s">
        <v>579</v>
      </c>
    </row>
    <row r="4266" spans="1:4">
      <c r="A4266" s="226" t="s">
        <v>6599</v>
      </c>
      <c r="B4266" s="226">
        <v>500800</v>
      </c>
      <c r="C4266" s="226" t="s">
        <v>6600</v>
      </c>
      <c r="D4266" s="226" t="s">
        <v>892</v>
      </c>
    </row>
    <row r="4267" spans="1:4">
      <c r="A4267" s="226" t="s">
        <v>6601</v>
      </c>
      <c r="B4267" s="226">
        <v>501301</v>
      </c>
      <c r="C4267" s="226" t="s">
        <v>6602</v>
      </c>
      <c r="D4267" s="226" t="s">
        <v>651</v>
      </c>
    </row>
    <row r="4268" spans="1:4">
      <c r="A4268" s="226" t="s">
        <v>6603</v>
      </c>
      <c r="B4268" s="226">
        <v>513434</v>
      </c>
      <c r="C4268" s="226" t="s">
        <v>6604</v>
      </c>
      <c r="D4268" s="226" t="s">
        <v>518</v>
      </c>
    </row>
    <row r="4269" spans="1:4">
      <c r="A4269" s="226" t="s">
        <v>6605</v>
      </c>
      <c r="B4269" s="226">
        <v>500570</v>
      </c>
      <c r="C4269" s="226" t="s">
        <v>6606</v>
      </c>
      <c r="D4269" s="226" t="s">
        <v>564</v>
      </c>
    </row>
    <row r="4270" spans="1:4">
      <c r="A4270" s="226" t="s">
        <v>6605</v>
      </c>
      <c r="B4270" s="226">
        <v>570001</v>
      </c>
      <c r="C4270" s="226" t="s">
        <v>6607</v>
      </c>
      <c r="D4270" s="226" t="s">
        <v>564</v>
      </c>
    </row>
    <row r="4271" spans="1:4">
      <c r="A4271" s="226" t="s">
        <v>6608</v>
      </c>
      <c r="B4271" s="226">
        <v>500400</v>
      </c>
      <c r="C4271" s="226" t="s">
        <v>6609</v>
      </c>
      <c r="D4271" s="226" t="s">
        <v>624</v>
      </c>
    </row>
    <row r="4272" spans="1:4">
      <c r="A4272" s="226" t="s">
        <v>6610</v>
      </c>
      <c r="B4272" s="226">
        <v>513010</v>
      </c>
      <c r="C4272" s="226" t="s">
        <v>6611</v>
      </c>
      <c r="D4272" s="226" t="s">
        <v>518</v>
      </c>
    </row>
    <row r="4273" spans="1:4">
      <c r="A4273" s="226" t="s">
        <v>6612</v>
      </c>
      <c r="B4273" s="226" t="s">
        <v>486</v>
      </c>
      <c r="C4273" s="226" t="s">
        <v>6613</v>
      </c>
      <c r="D4273" s="226" t="s">
        <v>518</v>
      </c>
    </row>
    <row r="4274" spans="1:4">
      <c r="A4274" s="226" t="s">
        <v>6614</v>
      </c>
      <c r="B4274" s="226">
        <v>500470</v>
      </c>
      <c r="C4274" s="226" t="s">
        <v>6615</v>
      </c>
      <c r="D4274" s="226" t="s">
        <v>518</v>
      </c>
    </row>
    <row r="4275" spans="1:4">
      <c r="A4275" s="226" t="s">
        <v>6616</v>
      </c>
      <c r="B4275" s="226">
        <v>532371</v>
      </c>
      <c r="C4275" s="226" t="s">
        <v>6617</v>
      </c>
      <c r="D4275" s="226" t="s">
        <v>1427</v>
      </c>
    </row>
    <row r="4276" spans="1:4">
      <c r="A4276" s="226" t="s">
        <v>6618</v>
      </c>
      <c r="B4276" s="226">
        <v>521228</v>
      </c>
      <c r="C4276" s="226" t="s">
        <v>486</v>
      </c>
      <c r="D4276" s="226" t="s">
        <v>599</v>
      </c>
    </row>
    <row r="4277" spans="1:4">
      <c r="A4277" s="226" t="s">
        <v>6619</v>
      </c>
      <c r="B4277" s="226">
        <v>531190</v>
      </c>
      <c r="C4277" s="226" t="s">
        <v>486</v>
      </c>
      <c r="D4277" s="226" t="s">
        <v>501</v>
      </c>
    </row>
    <row r="4278" spans="1:4">
      <c r="A4278" s="226" t="s">
        <v>6620</v>
      </c>
      <c r="B4278" s="226">
        <v>541228</v>
      </c>
      <c r="C4278" s="226" t="s">
        <v>486</v>
      </c>
      <c r="D4278" s="226" t="s">
        <v>494</v>
      </c>
    </row>
    <row r="4279" spans="1:4">
      <c r="A4279" s="226" t="s">
        <v>6621</v>
      </c>
      <c r="B4279" s="226">
        <v>504961</v>
      </c>
      <c r="C4279" s="226" t="s">
        <v>486</v>
      </c>
      <c r="D4279" s="226" t="s">
        <v>518</v>
      </c>
    </row>
    <row r="4280" spans="1:4">
      <c r="A4280" s="226" t="s">
        <v>6622</v>
      </c>
      <c r="B4280" s="226">
        <v>532284</v>
      </c>
      <c r="C4280" s="226" t="s">
        <v>486</v>
      </c>
      <c r="D4280" s="226" t="s">
        <v>470</v>
      </c>
    </row>
    <row r="4281" spans="1:4">
      <c r="A4281" s="226" t="s">
        <v>6623</v>
      </c>
      <c r="B4281" s="226">
        <v>533393</v>
      </c>
      <c r="C4281" s="226" t="s">
        <v>6624</v>
      </c>
      <c r="D4281" s="226" t="s">
        <v>572</v>
      </c>
    </row>
    <row r="4282" spans="1:4">
      <c r="A4282" s="226" t="s">
        <v>6625</v>
      </c>
      <c r="B4282" s="226">
        <v>540212</v>
      </c>
      <c r="C4282" s="226" t="s">
        <v>6626</v>
      </c>
      <c r="D4282" s="226" t="s">
        <v>806</v>
      </c>
    </row>
    <row r="4283" spans="1:4">
      <c r="A4283" s="226" t="s">
        <v>6627</v>
      </c>
      <c r="B4283" s="226">
        <v>501242</v>
      </c>
      <c r="C4283" s="226" t="s">
        <v>6628</v>
      </c>
      <c r="D4283" s="226" t="s">
        <v>503</v>
      </c>
    </row>
    <row r="4284" spans="1:4">
      <c r="A4284" s="226" t="s">
        <v>6629</v>
      </c>
      <c r="B4284" s="226">
        <v>532262</v>
      </c>
      <c r="C4284" s="226" t="s">
        <v>486</v>
      </c>
      <c r="D4284" s="226" t="s">
        <v>806</v>
      </c>
    </row>
    <row r="4285" spans="1:4">
      <c r="A4285" s="226" t="s">
        <v>6630</v>
      </c>
      <c r="B4285" s="226">
        <v>524156</v>
      </c>
      <c r="C4285" s="226" t="s">
        <v>486</v>
      </c>
      <c r="D4285" s="226" t="s">
        <v>534</v>
      </c>
    </row>
    <row r="4286" spans="1:4">
      <c r="A4286" s="226" t="s">
        <v>6631</v>
      </c>
      <c r="B4286" s="226">
        <v>541700</v>
      </c>
      <c r="C4286" s="226" t="s">
        <v>6632</v>
      </c>
      <c r="D4286" s="226" t="s">
        <v>599</v>
      </c>
    </row>
    <row r="4287" spans="1:4">
      <c r="A4287" s="226" t="s">
        <v>6633</v>
      </c>
      <c r="B4287" s="226">
        <v>523301</v>
      </c>
      <c r="C4287" s="226" t="s">
        <v>6634</v>
      </c>
      <c r="D4287" s="226" t="s">
        <v>480</v>
      </c>
    </row>
    <row r="4288" spans="1:4">
      <c r="A4288" s="226" t="s">
        <v>6635</v>
      </c>
      <c r="B4288" s="226" t="s">
        <v>486</v>
      </c>
      <c r="C4288" s="226" t="s">
        <v>6636</v>
      </c>
      <c r="D4288" s="226" t="s">
        <v>577</v>
      </c>
    </row>
    <row r="4289" spans="1:4">
      <c r="A4289" s="226" t="s">
        <v>6637</v>
      </c>
      <c r="B4289" s="226">
        <v>512011</v>
      </c>
      <c r="C4289" s="226" t="s">
        <v>486</v>
      </c>
      <c r="D4289" s="226" t="s">
        <v>508</v>
      </c>
    </row>
    <row r="4290" spans="1:4">
      <c r="A4290" s="226" t="s">
        <v>6638</v>
      </c>
      <c r="B4290" s="226">
        <v>539658</v>
      </c>
      <c r="C4290" s="226" t="s">
        <v>6639</v>
      </c>
      <c r="D4290" s="226" t="s">
        <v>3263</v>
      </c>
    </row>
    <row r="4291" spans="1:4">
      <c r="A4291" s="226" t="s">
        <v>6640</v>
      </c>
      <c r="B4291" s="226">
        <v>532755</v>
      </c>
      <c r="C4291" s="226" t="s">
        <v>6641</v>
      </c>
      <c r="D4291" s="226" t="s">
        <v>473</v>
      </c>
    </row>
    <row r="4292" spans="1:4">
      <c r="A4292" s="226" t="s">
        <v>6642</v>
      </c>
      <c r="B4292" s="226">
        <v>526576</v>
      </c>
      <c r="C4292" s="226" t="s">
        <v>6643</v>
      </c>
      <c r="D4292" s="226" t="s">
        <v>683</v>
      </c>
    </row>
    <row r="4293" spans="1:4">
      <c r="A4293" s="226" t="s">
        <v>6644</v>
      </c>
      <c r="B4293" s="226">
        <v>542141</v>
      </c>
      <c r="C4293" s="226" t="s">
        <v>6645</v>
      </c>
      <c r="D4293" s="226" t="s">
        <v>883</v>
      </c>
    </row>
    <row r="4294" spans="1:4">
      <c r="A4294" s="226" t="s">
        <v>6646</v>
      </c>
      <c r="B4294" s="226">
        <v>532804</v>
      </c>
      <c r="C4294" s="226" t="s">
        <v>6647</v>
      </c>
      <c r="D4294" s="226" t="s">
        <v>808</v>
      </c>
    </row>
    <row r="4295" spans="1:4">
      <c r="A4295" s="226" t="s">
        <v>6648</v>
      </c>
      <c r="B4295" s="226">
        <v>532804</v>
      </c>
      <c r="C4295" s="226" t="s">
        <v>6647</v>
      </c>
      <c r="D4295" s="226" t="s">
        <v>808</v>
      </c>
    </row>
    <row r="4296" spans="1:4">
      <c r="A4296" s="226" t="s">
        <v>6649</v>
      </c>
      <c r="B4296" s="226">
        <v>533216</v>
      </c>
      <c r="C4296" s="226" t="s">
        <v>6650</v>
      </c>
      <c r="D4296" s="226" t="s">
        <v>883</v>
      </c>
    </row>
    <row r="4297" spans="1:4">
      <c r="A4297" s="226" t="s">
        <v>6651</v>
      </c>
      <c r="B4297" s="226">
        <v>509917</v>
      </c>
      <c r="C4297" s="226" t="s">
        <v>486</v>
      </c>
      <c r="D4297" s="226" t="s">
        <v>1027</v>
      </c>
    </row>
    <row r="4298" spans="1:4">
      <c r="A4298" s="226" t="s">
        <v>6652</v>
      </c>
      <c r="B4298" s="226">
        <v>501421</v>
      </c>
      <c r="C4298" s="226" t="s">
        <v>486</v>
      </c>
      <c r="D4298" s="226" t="s">
        <v>579</v>
      </c>
    </row>
    <row r="4299" spans="1:4">
      <c r="A4299" s="226" t="s">
        <v>6653</v>
      </c>
      <c r="B4299" s="226">
        <v>524204</v>
      </c>
      <c r="C4299" s="226" t="s">
        <v>486</v>
      </c>
      <c r="D4299" s="226" t="s">
        <v>993</v>
      </c>
    </row>
    <row r="4300" spans="1:4">
      <c r="A4300" s="226" t="s">
        <v>6654</v>
      </c>
      <c r="B4300" s="226">
        <v>540595</v>
      </c>
      <c r="C4300" s="226" t="s">
        <v>6655</v>
      </c>
      <c r="D4300" s="226" t="s">
        <v>1430</v>
      </c>
    </row>
    <row r="4301" spans="1:4">
      <c r="A4301" s="226" t="s">
        <v>6656</v>
      </c>
      <c r="B4301" s="226">
        <v>539428</v>
      </c>
      <c r="C4301" s="226" t="s">
        <v>486</v>
      </c>
      <c r="D4301" s="226" t="s">
        <v>955</v>
      </c>
    </row>
    <row r="4302" spans="1:4">
      <c r="A4302" s="226" t="s">
        <v>6657</v>
      </c>
      <c r="B4302" s="226">
        <v>530595</v>
      </c>
      <c r="C4302" s="226" t="s">
        <v>486</v>
      </c>
      <c r="D4302" s="226" t="s">
        <v>579</v>
      </c>
    </row>
    <row r="4303" spans="1:4">
      <c r="A4303" s="226" t="s">
        <v>6658</v>
      </c>
      <c r="B4303" s="226">
        <v>533982</v>
      </c>
      <c r="C4303" s="226" t="s">
        <v>6659</v>
      </c>
      <c r="D4303" s="226" t="s">
        <v>473</v>
      </c>
    </row>
    <row r="4304" spans="1:4">
      <c r="A4304" s="226" t="s">
        <v>6660</v>
      </c>
      <c r="B4304" s="226">
        <v>530533</v>
      </c>
      <c r="C4304" s="226" t="s">
        <v>486</v>
      </c>
      <c r="D4304" s="226" t="s">
        <v>892</v>
      </c>
    </row>
    <row r="4305" spans="1:4">
      <c r="A4305" s="226" t="s">
        <v>6661</v>
      </c>
      <c r="B4305" s="226">
        <v>506162</v>
      </c>
      <c r="C4305" s="226" t="s">
        <v>486</v>
      </c>
      <c r="D4305" s="226" t="s">
        <v>470</v>
      </c>
    </row>
    <row r="4306" spans="1:4">
      <c r="A4306" s="226" t="s">
        <v>6662</v>
      </c>
      <c r="B4306" s="226">
        <v>512157</v>
      </c>
      <c r="C4306" s="226" t="s">
        <v>486</v>
      </c>
      <c r="D4306" s="226" t="s">
        <v>906</v>
      </c>
    </row>
    <row r="4307" spans="1:4">
      <c r="A4307" s="226" t="s">
        <v>6663</v>
      </c>
      <c r="B4307" s="226">
        <v>505400</v>
      </c>
      <c r="C4307" s="226" t="s">
        <v>6664</v>
      </c>
      <c r="D4307" s="226" t="s">
        <v>572</v>
      </c>
    </row>
    <row r="4308" spans="1:4">
      <c r="A4308" s="226" t="s">
        <v>6665</v>
      </c>
      <c r="B4308" s="226">
        <v>533326</v>
      </c>
      <c r="C4308" s="226" t="s">
        <v>6666</v>
      </c>
      <c r="D4308" s="226" t="s">
        <v>883</v>
      </c>
    </row>
    <row r="4309" spans="1:4">
      <c r="A4309" s="226" t="s">
        <v>6667</v>
      </c>
      <c r="B4309" s="226">
        <v>533164</v>
      </c>
      <c r="C4309" s="226" t="s">
        <v>6668</v>
      </c>
      <c r="D4309" s="226" t="s">
        <v>605</v>
      </c>
    </row>
    <row r="4310" spans="1:4">
      <c r="A4310" s="226" t="s">
        <v>6669</v>
      </c>
      <c r="B4310" s="226">
        <v>532845</v>
      </c>
      <c r="C4310" s="226" t="s">
        <v>6670</v>
      </c>
      <c r="D4310" s="226" t="s">
        <v>686</v>
      </c>
    </row>
    <row r="4311" spans="1:4">
      <c r="A4311" s="226" t="s">
        <v>6671</v>
      </c>
      <c r="B4311" s="226">
        <v>507753</v>
      </c>
      <c r="C4311" s="226" t="s">
        <v>486</v>
      </c>
      <c r="D4311" s="226" t="s">
        <v>534</v>
      </c>
    </row>
    <row r="4312" spans="1:4">
      <c r="A4312" s="226" t="s">
        <v>6672</v>
      </c>
      <c r="B4312" s="226">
        <v>509945</v>
      </c>
      <c r="C4312" s="226" t="s">
        <v>486</v>
      </c>
      <c r="D4312" s="226" t="s">
        <v>470</v>
      </c>
    </row>
    <row r="4313" spans="1:4">
      <c r="A4313" s="226" t="s">
        <v>6673</v>
      </c>
      <c r="B4313" s="226">
        <v>526654</v>
      </c>
      <c r="C4313" s="226" t="s">
        <v>486</v>
      </c>
      <c r="D4313" s="226" t="s">
        <v>572</v>
      </c>
    </row>
    <row r="4314" spans="1:4">
      <c r="A4314" s="226" t="s">
        <v>6674</v>
      </c>
      <c r="B4314" s="226">
        <v>509015</v>
      </c>
      <c r="C4314" s="226" t="s">
        <v>486</v>
      </c>
      <c r="D4314" s="226" t="s">
        <v>1027</v>
      </c>
    </row>
    <row r="4315" spans="1:4">
      <c r="A4315" s="226" t="s">
        <v>6675</v>
      </c>
      <c r="B4315" s="226">
        <v>509015</v>
      </c>
      <c r="C4315" s="226" t="s">
        <v>486</v>
      </c>
      <c r="D4315" s="226" t="s">
        <v>1027</v>
      </c>
    </row>
    <row r="4316" spans="1:4">
      <c r="A4316" s="226" t="s">
        <v>6676</v>
      </c>
      <c r="B4316" s="226">
        <v>514484</v>
      </c>
      <c r="C4316" s="226" t="s">
        <v>486</v>
      </c>
      <c r="D4316" s="226" t="s">
        <v>501</v>
      </c>
    </row>
    <row r="4317" spans="1:4">
      <c r="A4317" s="226" t="s">
        <v>6677</v>
      </c>
      <c r="B4317" s="226">
        <v>533158</v>
      </c>
      <c r="C4317" s="226" t="s">
        <v>6678</v>
      </c>
      <c r="D4317" s="226" t="s">
        <v>599</v>
      </c>
    </row>
    <row r="4318" spans="1:4">
      <c r="A4318" s="226" t="s">
        <v>6679</v>
      </c>
      <c r="B4318" s="226">
        <v>590062</v>
      </c>
      <c r="C4318" s="226" t="s">
        <v>6680</v>
      </c>
      <c r="D4318" s="226" t="s">
        <v>534</v>
      </c>
    </row>
    <row r="4319" spans="1:4">
      <c r="A4319" s="226" t="s">
        <v>6681</v>
      </c>
      <c r="B4319" s="226">
        <v>542460</v>
      </c>
      <c r="C4319" s="226" t="s">
        <v>6682</v>
      </c>
      <c r="D4319" s="226" t="s">
        <v>494</v>
      </c>
    </row>
    <row r="4320" spans="1:4">
      <c r="A4320" s="226" t="s">
        <v>6683</v>
      </c>
      <c r="B4320" s="226">
        <v>531373</v>
      </c>
      <c r="C4320" s="226" t="s">
        <v>6684</v>
      </c>
      <c r="D4320" s="226" t="s">
        <v>686</v>
      </c>
    </row>
    <row r="4321" spans="1:4">
      <c r="A4321" s="226" t="s">
        <v>6685</v>
      </c>
      <c r="B4321" s="226">
        <v>500469</v>
      </c>
      <c r="C4321" s="226" t="s">
        <v>6686</v>
      </c>
      <c r="D4321" s="226" t="s">
        <v>803</v>
      </c>
    </row>
    <row r="4322" spans="1:4">
      <c r="A4322" s="226" t="s">
        <v>6687</v>
      </c>
      <c r="B4322" s="226">
        <v>500620</v>
      </c>
      <c r="C4322" s="226" t="s">
        <v>6688</v>
      </c>
      <c r="D4322" s="226" t="s">
        <v>1731</v>
      </c>
    </row>
    <row r="4323" spans="1:4">
      <c r="A4323" s="226" t="s">
        <v>6689</v>
      </c>
      <c r="B4323" s="226" t="s">
        <v>486</v>
      </c>
      <c r="C4323" s="226" t="s">
        <v>6690</v>
      </c>
      <c r="D4323" s="226" t="s">
        <v>577</v>
      </c>
    </row>
    <row r="4324" spans="1:4">
      <c r="A4324" s="226" t="s">
        <v>6691</v>
      </c>
      <c r="B4324" s="226">
        <v>522073</v>
      </c>
      <c r="C4324" s="226" t="s">
        <v>6692</v>
      </c>
      <c r="D4324" s="226" t="s">
        <v>840</v>
      </c>
    </row>
    <row r="4325" spans="1:4">
      <c r="A4325" s="226" t="s">
        <v>6693</v>
      </c>
      <c r="B4325" s="226">
        <v>530005</v>
      </c>
      <c r="C4325" s="226" t="s">
        <v>6694</v>
      </c>
      <c r="D4325" s="226" t="s">
        <v>499</v>
      </c>
    </row>
    <row r="4326" spans="1:4">
      <c r="A4326" s="226" t="s">
        <v>6695</v>
      </c>
      <c r="B4326" s="226">
        <v>500850</v>
      </c>
      <c r="C4326" s="226" t="s">
        <v>6696</v>
      </c>
      <c r="D4326" s="226" t="s">
        <v>686</v>
      </c>
    </row>
    <row r="4327" spans="1:4">
      <c r="A4327" s="226" t="s">
        <v>6697</v>
      </c>
      <c r="B4327" s="226">
        <v>540954</v>
      </c>
      <c r="C4327" s="226" t="s">
        <v>486</v>
      </c>
      <c r="D4327" s="226" t="s">
        <v>980</v>
      </c>
    </row>
    <row r="4328" spans="1:4">
      <c r="A4328" s="226" t="s">
        <v>6698</v>
      </c>
      <c r="B4328" s="226">
        <v>530023</v>
      </c>
      <c r="C4328" s="226" t="s">
        <v>6699</v>
      </c>
      <c r="D4328" s="226" t="s">
        <v>503</v>
      </c>
    </row>
    <row r="4329" spans="1:4">
      <c r="A4329" s="226" t="s">
        <v>6700</v>
      </c>
      <c r="B4329" s="226">
        <v>530023</v>
      </c>
      <c r="C4329" s="226" t="s">
        <v>6699</v>
      </c>
      <c r="D4329" s="226" t="s">
        <v>503</v>
      </c>
    </row>
    <row r="4330" spans="1:4">
      <c r="A4330" s="226" t="s">
        <v>6701</v>
      </c>
      <c r="B4330" s="226">
        <v>532209</v>
      </c>
      <c r="C4330" s="226" t="s">
        <v>6702</v>
      </c>
      <c r="D4330" s="226" t="s">
        <v>803</v>
      </c>
    </row>
    <row r="4331" spans="1:4">
      <c r="A4331" s="226" t="s">
        <v>6703</v>
      </c>
      <c r="B4331" s="226">
        <v>532652</v>
      </c>
      <c r="C4331" s="226" t="s">
        <v>6704</v>
      </c>
      <c r="D4331" s="226" t="s">
        <v>803</v>
      </c>
    </row>
    <row r="4332" spans="1:4">
      <c r="A4332" s="226" t="s">
        <v>6705</v>
      </c>
      <c r="B4332" s="226">
        <v>540210</v>
      </c>
      <c r="C4332" s="226" t="s">
        <v>6706</v>
      </c>
      <c r="D4332" s="226" t="s">
        <v>487</v>
      </c>
    </row>
    <row r="4333" spans="1:4">
      <c r="A4333" s="226" t="s">
        <v>6707</v>
      </c>
      <c r="B4333" s="226">
        <v>501343</v>
      </c>
      <c r="C4333" s="226" t="s">
        <v>6708</v>
      </c>
      <c r="D4333" s="226" t="s">
        <v>503</v>
      </c>
    </row>
    <row r="4334" spans="1:4">
      <c r="A4334" s="226" t="s">
        <v>6709</v>
      </c>
      <c r="B4334" s="226">
        <v>540769</v>
      </c>
      <c r="C4334" s="226" t="s">
        <v>6710</v>
      </c>
      <c r="D4334" s="226" t="s">
        <v>2565</v>
      </c>
    </row>
    <row r="4335" spans="1:4">
      <c r="A4335" s="226" t="s">
        <v>6711</v>
      </c>
      <c r="B4335" s="226">
        <v>590086</v>
      </c>
      <c r="C4335" s="226" t="s">
        <v>6712</v>
      </c>
      <c r="D4335" s="226" t="s">
        <v>467</v>
      </c>
    </row>
    <row r="4336" spans="1:4">
      <c r="A4336" s="226" t="s">
        <v>6713</v>
      </c>
      <c r="B4336" s="226" t="s">
        <v>486</v>
      </c>
      <c r="C4336" s="226" t="s">
        <v>6714</v>
      </c>
      <c r="D4336" s="226" t="s">
        <v>577</v>
      </c>
    </row>
    <row r="4337" spans="1:4">
      <c r="A4337" s="226" t="s">
        <v>6715</v>
      </c>
      <c r="B4337" s="226">
        <v>503100</v>
      </c>
      <c r="C4337" s="226" t="s">
        <v>6716</v>
      </c>
      <c r="D4337" s="226" t="s">
        <v>572</v>
      </c>
    </row>
    <row r="4338" spans="1:4">
      <c r="A4338" s="226" t="s">
        <v>6717</v>
      </c>
      <c r="B4338" s="226">
        <v>542123</v>
      </c>
      <c r="C4338" s="226" t="s">
        <v>486</v>
      </c>
      <c r="D4338" s="226" t="s">
        <v>993</v>
      </c>
    </row>
    <row r="4339" spans="1:4">
      <c r="A4339" s="226" t="s">
        <v>6718</v>
      </c>
      <c r="B4339" s="226">
        <v>500260</v>
      </c>
      <c r="C4339" s="226" t="s">
        <v>6719</v>
      </c>
      <c r="D4339" s="226" t="s">
        <v>499</v>
      </c>
    </row>
    <row r="4340" spans="1:4">
      <c r="A4340" s="226" t="s">
        <v>6720</v>
      </c>
      <c r="B4340" s="226">
        <v>503169</v>
      </c>
      <c r="C4340" s="226" t="s">
        <v>6721</v>
      </c>
      <c r="D4340" s="226" t="s">
        <v>501</v>
      </c>
    </row>
    <row r="4341" spans="1:4">
      <c r="A4341" s="226" t="s">
        <v>6722</v>
      </c>
      <c r="B4341" s="226">
        <v>526725</v>
      </c>
      <c r="C4341" s="226" t="s">
        <v>6723</v>
      </c>
      <c r="D4341" s="226" t="s">
        <v>1009</v>
      </c>
    </row>
    <row r="4342" spans="1:4">
      <c r="A4342" s="226" t="s">
        <v>6724</v>
      </c>
      <c r="B4342" s="226">
        <v>532218</v>
      </c>
      <c r="C4342" s="226" t="s">
        <v>6725</v>
      </c>
      <c r="D4342" s="226" t="s">
        <v>803</v>
      </c>
    </row>
    <row r="4343" spans="1:4">
      <c r="A4343" s="226" t="s">
        <v>6726</v>
      </c>
      <c r="B4343" s="226">
        <v>512531</v>
      </c>
      <c r="C4343" s="226" t="s">
        <v>6727</v>
      </c>
      <c r="D4343" s="226" t="s">
        <v>508</v>
      </c>
    </row>
    <row r="4344" spans="1:4">
      <c r="A4344" s="226" t="s">
        <v>6728</v>
      </c>
      <c r="B4344" s="226">
        <v>512531</v>
      </c>
      <c r="C4344" s="226" t="s">
        <v>6729</v>
      </c>
      <c r="D4344" s="226" t="s">
        <v>508</v>
      </c>
    </row>
    <row r="4345" spans="1:4">
      <c r="A4345" s="226" t="s">
        <v>6730</v>
      </c>
      <c r="B4345" s="226">
        <v>504966</v>
      </c>
      <c r="C4345" s="226" t="s">
        <v>6731</v>
      </c>
      <c r="D4345" s="226" t="s">
        <v>680</v>
      </c>
    </row>
    <row r="4346" spans="1:4">
      <c r="A4346" s="226" t="s">
        <v>6732</v>
      </c>
      <c r="B4346" s="226">
        <v>504966</v>
      </c>
      <c r="C4346" s="226" t="s">
        <v>6731</v>
      </c>
      <c r="D4346" s="226" t="s">
        <v>680</v>
      </c>
    </row>
    <row r="4347" spans="1:4">
      <c r="A4347" s="226" t="s">
        <v>6733</v>
      </c>
      <c r="B4347" s="226">
        <v>530363</v>
      </c>
      <c r="C4347" s="226" t="s">
        <v>6734</v>
      </c>
      <c r="D4347" s="226" t="s">
        <v>1184</v>
      </c>
    </row>
    <row r="4348" spans="1:4">
      <c r="A4348" s="226" t="s">
        <v>6735</v>
      </c>
      <c r="B4348" s="226" t="s">
        <v>486</v>
      </c>
      <c r="C4348" s="226" t="s">
        <v>6736</v>
      </c>
      <c r="D4348" s="226" t="s">
        <v>577</v>
      </c>
    </row>
    <row r="4349" spans="1:4">
      <c r="A4349" s="226" t="s">
        <v>6737</v>
      </c>
      <c r="B4349" s="226" t="s">
        <v>486</v>
      </c>
      <c r="C4349" s="226" t="s">
        <v>6738</v>
      </c>
      <c r="D4349" s="226" t="s">
        <v>577</v>
      </c>
    </row>
    <row r="4350" spans="1:4">
      <c r="A4350" s="226" t="s">
        <v>6739</v>
      </c>
      <c r="B4350" s="226">
        <v>540980</v>
      </c>
      <c r="C4350" s="226" t="s">
        <v>486</v>
      </c>
      <c r="D4350" s="226" t="s">
        <v>508</v>
      </c>
    </row>
    <row r="4351" spans="1:4">
      <c r="A4351" s="226" t="s">
        <v>6740</v>
      </c>
      <c r="B4351" s="226" t="s">
        <v>486</v>
      </c>
      <c r="C4351" s="226" t="s">
        <v>6741</v>
      </c>
      <c r="D4351" s="226" t="s">
        <v>497</v>
      </c>
    </row>
    <row r="4352" spans="1:4">
      <c r="A4352" s="226" t="s">
        <v>6742</v>
      </c>
      <c r="B4352" s="226">
        <v>530199</v>
      </c>
      <c r="C4352" s="226" t="s">
        <v>6743</v>
      </c>
      <c r="D4352" s="226" t="s">
        <v>524</v>
      </c>
    </row>
    <row r="4353" spans="1:4">
      <c r="A4353" s="226" t="s">
        <v>6744</v>
      </c>
      <c r="B4353" s="226">
        <v>500411</v>
      </c>
      <c r="C4353" s="226" t="s">
        <v>6745</v>
      </c>
      <c r="D4353" s="226" t="s">
        <v>529</v>
      </c>
    </row>
    <row r="4354" spans="1:4">
      <c r="A4354" s="226" t="s">
        <v>6746</v>
      </c>
      <c r="B4354" s="226">
        <v>539310</v>
      </c>
      <c r="C4354" s="226" t="s">
        <v>486</v>
      </c>
      <c r="D4354" s="226" t="s">
        <v>2086</v>
      </c>
    </row>
    <row r="4355" spans="1:4">
      <c r="A4355" s="226" t="s">
        <v>6747</v>
      </c>
      <c r="B4355" s="226">
        <v>538464</v>
      </c>
      <c r="C4355" s="226" t="s">
        <v>486</v>
      </c>
      <c r="D4355" s="226" t="s">
        <v>503</v>
      </c>
    </row>
    <row r="4356" spans="1:4">
      <c r="A4356" s="226" t="s">
        <v>6748</v>
      </c>
      <c r="B4356" s="226">
        <v>531652</v>
      </c>
      <c r="C4356" s="226" t="s">
        <v>486</v>
      </c>
      <c r="D4356" s="226" t="s">
        <v>503</v>
      </c>
    </row>
    <row r="4357" spans="1:4">
      <c r="A4357" s="226" t="s">
        <v>6749</v>
      </c>
      <c r="B4357" s="226">
        <v>507450</v>
      </c>
      <c r="C4357" s="226" t="s">
        <v>6750</v>
      </c>
      <c r="D4357" s="226" t="s">
        <v>1184</v>
      </c>
    </row>
    <row r="4358" spans="1:4">
      <c r="A4358" s="226" t="s">
        <v>6751</v>
      </c>
      <c r="B4358" s="226">
        <v>500412</v>
      </c>
      <c r="C4358" s="226" t="s">
        <v>6752</v>
      </c>
      <c r="D4358" s="226" t="s">
        <v>534</v>
      </c>
    </row>
    <row r="4359" spans="1:4">
      <c r="A4359" s="226" t="s">
        <v>6753</v>
      </c>
      <c r="B4359" s="226">
        <v>500413</v>
      </c>
      <c r="C4359" s="226" t="s">
        <v>6754</v>
      </c>
      <c r="D4359" s="226" t="s">
        <v>1486</v>
      </c>
    </row>
    <row r="4360" spans="1:4">
      <c r="A4360" s="226" t="s">
        <v>6755</v>
      </c>
      <c r="B4360" s="226">
        <v>500413</v>
      </c>
      <c r="C4360" s="226" t="s">
        <v>6754</v>
      </c>
      <c r="D4360" s="226" t="s">
        <v>1486</v>
      </c>
    </row>
    <row r="4361" spans="1:4">
      <c r="A4361" s="226" t="s">
        <v>6756</v>
      </c>
      <c r="B4361" s="226">
        <v>533941</v>
      </c>
      <c r="C4361" s="226" t="s">
        <v>6757</v>
      </c>
      <c r="D4361" s="226" t="s">
        <v>599</v>
      </c>
    </row>
    <row r="4362" spans="1:4">
      <c r="A4362" s="226" t="s">
        <v>6758</v>
      </c>
      <c r="B4362" s="226">
        <v>533941</v>
      </c>
      <c r="C4362" s="226" t="s">
        <v>6757</v>
      </c>
      <c r="D4362" s="226" t="s">
        <v>599</v>
      </c>
    </row>
    <row r="4363" spans="1:4">
      <c r="A4363" s="226" t="s">
        <v>6759</v>
      </c>
      <c r="B4363" s="226">
        <v>539871</v>
      </c>
      <c r="C4363" s="226" t="s">
        <v>6760</v>
      </c>
      <c r="D4363" s="226" t="s">
        <v>674</v>
      </c>
    </row>
    <row r="4364" spans="1:4">
      <c r="A4364" s="226" t="s">
        <v>6761</v>
      </c>
      <c r="B4364" s="226">
        <v>504973</v>
      </c>
      <c r="C4364" s="226" t="s">
        <v>6762</v>
      </c>
      <c r="D4364" s="226" t="s">
        <v>840</v>
      </c>
    </row>
    <row r="4365" spans="1:4">
      <c r="A4365" s="226" t="s">
        <v>6763</v>
      </c>
      <c r="B4365" s="226">
        <v>540108</v>
      </c>
      <c r="C4365" s="226" t="s">
        <v>486</v>
      </c>
      <c r="D4365" s="226" t="s">
        <v>470</v>
      </c>
    </row>
    <row r="4366" spans="1:4">
      <c r="A4366" s="226" t="s">
        <v>6764</v>
      </c>
      <c r="B4366" s="226">
        <v>590005</v>
      </c>
      <c r="C4366" s="226" t="s">
        <v>6765</v>
      </c>
      <c r="D4366" s="226" t="s">
        <v>695</v>
      </c>
    </row>
    <row r="4367" spans="1:4">
      <c r="A4367" s="226" t="s">
        <v>6766</v>
      </c>
      <c r="B4367" s="226">
        <v>590005</v>
      </c>
      <c r="C4367" s="226" t="s">
        <v>6765</v>
      </c>
      <c r="D4367" s="226" t="s">
        <v>695</v>
      </c>
    </row>
    <row r="4368" spans="1:4">
      <c r="A4368" s="226" t="s">
        <v>6767</v>
      </c>
      <c r="B4368" s="226">
        <v>536264</v>
      </c>
      <c r="C4368" s="226" t="s">
        <v>486</v>
      </c>
      <c r="D4368" s="226" t="s">
        <v>806</v>
      </c>
    </row>
    <row r="4369" spans="1:4">
      <c r="A4369" s="226" t="s">
        <v>6768</v>
      </c>
      <c r="B4369" s="226">
        <v>536264</v>
      </c>
      <c r="C4369" s="226" t="s">
        <v>486</v>
      </c>
      <c r="D4369" s="226" t="s">
        <v>806</v>
      </c>
    </row>
    <row r="4370" spans="1:4">
      <c r="A4370" s="226" t="s">
        <v>6769</v>
      </c>
      <c r="B4370" s="226">
        <v>533629</v>
      </c>
      <c r="C4370" s="226" t="s">
        <v>6770</v>
      </c>
      <c r="D4370" s="226" t="s">
        <v>605</v>
      </c>
    </row>
    <row r="4371" spans="1:4">
      <c r="A4371" s="226" t="s">
        <v>6771</v>
      </c>
      <c r="B4371" s="226">
        <v>505196</v>
      </c>
      <c r="C4371" s="226" t="s">
        <v>6772</v>
      </c>
      <c r="D4371" s="226" t="s">
        <v>608</v>
      </c>
    </row>
    <row r="4372" spans="1:4">
      <c r="A4372" s="226" t="s">
        <v>6773</v>
      </c>
      <c r="B4372" s="226">
        <v>503663</v>
      </c>
      <c r="C4372" s="226" t="s">
        <v>6774</v>
      </c>
      <c r="D4372" s="226" t="s">
        <v>506</v>
      </c>
    </row>
    <row r="4373" spans="1:4">
      <c r="A4373" s="226" t="s">
        <v>6775</v>
      </c>
      <c r="B4373" s="226">
        <v>507205</v>
      </c>
      <c r="C4373" s="226" t="s">
        <v>6776</v>
      </c>
      <c r="D4373" s="226" t="s">
        <v>1117</v>
      </c>
    </row>
    <row r="4374" spans="1:4">
      <c r="A4374" s="226" t="s">
        <v>6777</v>
      </c>
      <c r="B4374" s="226">
        <v>532856</v>
      </c>
      <c r="C4374" s="226" t="s">
        <v>6778</v>
      </c>
      <c r="D4374" s="226" t="s">
        <v>605</v>
      </c>
    </row>
    <row r="4375" spans="1:4">
      <c r="A4375" s="226" t="s">
        <v>6779</v>
      </c>
      <c r="B4375" s="226">
        <v>511559</v>
      </c>
      <c r="C4375" s="226" t="s">
        <v>6780</v>
      </c>
      <c r="D4375" s="226" t="s">
        <v>503</v>
      </c>
    </row>
    <row r="4376" spans="1:4">
      <c r="A4376" s="226" t="s">
        <v>6781</v>
      </c>
      <c r="B4376" s="226">
        <v>500414</v>
      </c>
      <c r="C4376" s="226" t="s">
        <v>486</v>
      </c>
      <c r="D4376" s="226" t="s">
        <v>599</v>
      </c>
    </row>
    <row r="4377" spans="1:4">
      <c r="A4377" s="226" t="s">
        <v>6782</v>
      </c>
      <c r="B4377" s="226">
        <v>500414</v>
      </c>
      <c r="C4377" s="226" t="s">
        <v>486</v>
      </c>
      <c r="D4377" s="226" t="s">
        <v>599</v>
      </c>
    </row>
    <row r="4378" spans="1:4">
      <c r="A4378" s="226" t="s">
        <v>6783</v>
      </c>
      <c r="B4378" s="226">
        <v>522113</v>
      </c>
      <c r="C4378" s="226" t="s">
        <v>6784</v>
      </c>
      <c r="D4378" s="226" t="s">
        <v>494</v>
      </c>
    </row>
    <row r="4379" spans="1:4">
      <c r="A4379" s="226" t="s">
        <v>6785</v>
      </c>
      <c r="B4379" s="226">
        <v>522113</v>
      </c>
      <c r="C4379" s="226" t="s">
        <v>6784</v>
      </c>
      <c r="D4379" s="226" t="s">
        <v>494</v>
      </c>
    </row>
    <row r="4380" spans="1:4">
      <c r="A4380" s="226" t="s">
        <v>6786</v>
      </c>
      <c r="B4380" s="226">
        <v>530475</v>
      </c>
      <c r="C4380" s="226" t="s">
        <v>486</v>
      </c>
      <c r="D4380" s="226" t="s">
        <v>645</v>
      </c>
    </row>
    <row r="4381" spans="1:4">
      <c r="A4381" s="226" t="s">
        <v>6787</v>
      </c>
      <c r="B4381" s="226">
        <v>541741</v>
      </c>
      <c r="C4381" s="226" t="s">
        <v>486</v>
      </c>
      <c r="D4381" s="226" t="s">
        <v>508</v>
      </c>
    </row>
    <row r="4382" spans="1:4">
      <c r="A4382" s="226" t="s">
        <v>6788</v>
      </c>
      <c r="B4382" s="226">
        <v>532375</v>
      </c>
      <c r="C4382" s="226" t="s">
        <v>6789</v>
      </c>
      <c r="D4382" s="226" t="s">
        <v>489</v>
      </c>
    </row>
    <row r="4383" spans="1:4">
      <c r="A4383" s="226" t="s">
        <v>6790</v>
      </c>
      <c r="B4383" s="226">
        <v>539488</v>
      </c>
      <c r="C4383" s="226" t="s">
        <v>486</v>
      </c>
      <c r="D4383" s="226" t="s">
        <v>506</v>
      </c>
    </row>
    <row r="4384" spans="1:4">
      <c r="A4384" s="226" t="s">
        <v>6791</v>
      </c>
      <c r="B4384" s="226">
        <v>540904</v>
      </c>
      <c r="C4384" s="226" t="s">
        <v>486</v>
      </c>
      <c r="D4384" s="226" t="s">
        <v>762</v>
      </c>
    </row>
    <row r="4385" spans="1:4">
      <c r="A4385" s="226" t="s">
        <v>6792</v>
      </c>
      <c r="B4385" s="226" t="s">
        <v>486</v>
      </c>
      <c r="C4385" s="226" t="s">
        <v>6793</v>
      </c>
      <c r="D4385" s="226" t="s">
        <v>497</v>
      </c>
    </row>
    <row r="4386" spans="1:4">
      <c r="A4386" s="226" t="s">
        <v>6794</v>
      </c>
      <c r="B4386" s="226">
        <v>531547</v>
      </c>
      <c r="C4386" s="226" t="s">
        <v>486</v>
      </c>
      <c r="D4386" s="226" t="s">
        <v>683</v>
      </c>
    </row>
    <row r="4387" spans="1:4">
      <c r="A4387" s="226" t="s">
        <v>6795</v>
      </c>
      <c r="B4387" s="226">
        <v>531547</v>
      </c>
      <c r="C4387" s="226" t="s">
        <v>486</v>
      </c>
      <c r="D4387" s="226" t="s">
        <v>683</v>
      </c>
    </row>
    <row r="4388" spans="1:4">
      <c r="A4388" s="226" t="s">
        <v>6796</v>
      </c>
      <c r="B4388" s="226">
        <v>531814</v>
      </c>
      <c r="C4388" s="226" t="s">
        <v>486</v>
      </c>
      <c r="D4388" s="226" t="s">
        <v>572</v>
      </c>
    </row>
    <row r="4389" spans="1:4">
      <c r="A4389" s="226" t="s">
        <v>6797</v>
      </c>
      <c r="B4389" s="226">
        <v>524582</v>
      </c>
      <c r="C4389" s="226" t="s">
        <v>486</v>
      </c>
      <c r="D4389" s="226" t="s">
        <v>566</v>
      </c>
    </row>
    <row r="4390" spans="1:4">
      <c r="A4390" s="226" t="s">
        <v>6798</v>
      </c>
      <c r="B4390" s="226">
        <v>539040</v>
      </c>
      <c r="C4390" s="226" t="s">
        <v>486</v>
      </c>
      <c r="D4390" s="226" t="s">
        <v>965</v>
      </c>
    </row>
    <row r="4391" spans="1:4">
      <c r="A4391" s="226" t="s">
        <v>6799</v>
      </c>
      <c r="B4391" s="226">
        <v>539985</v>
      </c>
      <c r="C4391" s="226" t="s">
        <v>486</v>
      </c>
      <c r="D4391" s="226" t="s">
        <v>501</v>
      </c>
    </row>
    <row r="4392" spans="1:4">
      <c r="A4392" s="226" t="s">
        <v>6800</v>
      </c>
      <c r="B4392" s="226">
        <v>532966</v>
      </c>
      <c r="C4392" s="226" t="s">
        <v>6801</v>
      </c>
      <c r="D4392" s="226" t="s">
        <v>564</v>
      </c>
    </row>
    <row r="4393" spans="1:4">
      <c r="A4393" s="226" t="s">
        <v>6802</v>
      </c>
      <c r="B4393" s="226">
        <v>524717</v>
      </c>
      <c r="C4393" s="226" t="s">
        <v>486</v>
      </c>
      <c r="D4393" s="226" t="s">
        <v>645</v>
      </c>
    </row>
    <row r="4394" spans="1:4">
      <c r="A4394" s="226" t="s">
        <v>6803</v>
      </c>
      <c r="B4394" s="226">
        <v>500114</v>
      </c>
      <c r="C4394" s="226" t="s">
        <v>6804</v>
      </c>
      <c r="D4394" s="226" t="s">
        <v>599</v>
      </c>
    </row>
    <row r="4395" spans="1:4">
      <c r="A4395" s="226" t="s">
        <v>6805</v>
      </c>
      <c r="B4395" s="226">
        <v>530045</v>
      </c>
      <c r="C4395" s="226" t="s">
        <v>486</v>
      </c>
      <c r="D4395" s="226" t="s">
        <v>503</v>
      </c>
    </row>
    <row r="4396" spans="1:4">
      <c r="A4396" s="226" t="s">
        <v>6806</v>
      </c>
      <c r="B4396" s="226">
        <v>511096</v>
      </c>
      <c r="C4396" s="226" t="s">
        <v>486</v>
      </c>
      <c r="D4396" s="226" t="s">
        <v>572</v>
      </c>
    </row>
    <row r="4397" spans="1:4">
      <c r="A4397" s="226" t="s">
        <v>6807</v>
      </c>
      <c r="B4397" s="226">
        <v>531830</v>
      </c>
      <c r="C4397" s="226" t="s">
        <v>6808</v>
      </c>
      <c r="D4397" s="226" t="s">
        <v>1031</v>
      </c>
    </row>
    <row r="4398" spans="1:4">
      <c r="A4398" s="226" t="s">
        <v>6809</v>
      </c>
      <c r="B4398" s="226">
        <v>531644</v>
      </c>
      <c r="C4398" s="226" t="s">
        <v>486</v>
      </c>
      <c r="D4398" s="226" t="s">
        <v>503</v>
      </c>
    </row>
    <row r="4399" spans="1:4">
      <c r="A4399" s="226" t="s">
        <v>6810</v>
      </c>
      <c r="B4399" s="226">
        <v>500418</v>
      </c>
      <c r="C4399" s="226" t="s">
        <v>6811</v>
      </c>
      <c r="D4399" s="226" t="s">
        <v>605</v>
      </c>
    </row>
    <row r="4400" spans="1:4">
      <c r="A4400" s="226" t="s">
        <v>6812</v>
      </c>
      <c r="B4400" s="226">
        <v>500420</v>
      </c>
      <c r="C4400" s="226" t="s">
        <v>6813</v>
      </c>
      <c r="D4400" s="226" t="s">
        <v>524</v>
      </c>
    </row>
    <row r="4401" spans="1:4">
      <c r="A4401" s="226" t="s">
        <v>6814</v>
      </c>
      <c r="B4401" s="226">
        <v>532779</v>
      </c>
      <c r="C4401" s="226" t="s">
        <v>6815</v>
      </c>
      <c r="D4401" s="226" t="s">
        <v>624</v>
      </c>
    </row>
    <row r="4402" spans="1:4">
      <c r="A4402" s="226" t="s">
        <v>6816</v>
      </c>
      <c r="B4402" s="226">
        <v>523878</v>
      </c>
      <c r="C4402" s="226" t="s">
        <v>486</v>
      </c>
      <c r="D4402" s="226" t="s">
        <v>810</v>
      </c>
    </row>
    <row r="4403" spans="1:4">
      <c r="A4403" s="226" t="s">
        <v>6817</v>
      </c>
      <c r="B4403" s="226" t="s">
        <v>486</v>
      </c>
      <c r="C4403" s="226" t="s">
        <v>6818</v>
      </c>
      <c r="D4403" s="226" t="s">
        <v>497</v>
      </c>
    </row>
    <row r="4404" spans="1:4">
      <c r="A4404" s="226" t="s">
        <v>6819</v>
      </c>
      <c r="B4404" s="226" t="s">
        <v>486</v>
      </c>
      <c r="C4404" s="226" t="s">
        <v>6820</v>
      </c>
      <c r="D4404" s="226" t="s">
        <v>497</v>
      </c>
    </row>
    <row r="4405" spans="1:4">
      <c r="A4405" s="226" t="s">
        <v>6821</v>
      </c>
      <c r="B4405" s="226">
        <v>526650</v>
      </c>
      <c r="C4405" s="226" t="s">
        <v>6822</v>
      </c>
      <c r="D4405" s="226" t="s">
        <v>2815</v>
      </c>
    </row>
    <row r="4406" spans="1:4">
      <c r="A4406" s="226" t="s">
        <v>6823</v>
      </c>
      <c r="B4406" s="226">
        <v>526650</v>
      </c>
      <c r="C4406" s="226" t="s">
        <v>6822</v>
      </c>
      <c r="D4406" s="226" t="s">
        <v>2815</v>
      </c>
    </row>
    <row r="4407" spans="1:4">
      <c r="A4407" s="226" t="s">
        <v>6824</v>
      </c>
      <c r="B4407" s="226">
        <v>531771</v>
      </c>
      <c r="C4407" s="226" t="s">
        <v>486</v>
      </c>
      <c r="D4407" s="226" t="s">
        <v>783</v>
      </c>
    </row>
    <row r="4408" spans="1:4">
      <c r="A4408" s="226" t="s">
        <v>6825</v>
      </c>
      <c r="B4408" s="226">
        <v>538607</v>
      </c>
      <c r="C4408" s="226" t="s">
        <v>486</v>
      </c>
      <c r="D4408" s="226" t="s">
        <v>470</v>
      </c>
    </row>
    <row r="4409" spans="1:4">
      <c r="A4409" s="226" t="s">
        <v>6826</v>
      </c>
      <c r="B4409" s="226">
        <v>500421</v>
      </c>
      <c r="C4409" s="226" t="s">
        <v>486</v>
      </c>
      <c r="D4409" s="226" t="s">
        <v>680</v>
      </c>
    </row>
    <row r="4410" spans="1:4">
      <c r="A4410" s="226" t="s">
        <v>6827</v>
      </c>
      <c r="B4410" s="226">
        <v>500421</v>
      </c>
      <c r="C4410" s="226" t="s">
        <v>486</v>
      </c>
      <c r="D4410" s="226" t="s">
        <v>680</v>
      </c>
    </row>
    <row r="4411" spans="1:4">
      <c r="A4411" s="226" t="s">
        <v>6828</v>
      </c>
      <c r="B4411" s="226">
        <v>526582</v>
      </c>
      <c r="C4411" s="226" t="s">
        <v>6829</v>
      </c>
      <c r="D4411" s="226" t="s">
        <v>605</v>
      </c>
    </row>
    <row r="4412" spans="1:4">
      <c r="A4412" s="226" t="s">
        <v>6830</v>
      </c>
      <c r="B4412" s="226">
        <v>509953</v>
      </c>
      <c r="C4412" s="226" t="s">
        <v>486</v>
      </c>
      <c r="D4412" s="226" t="s">
        <v>1486</v>
      </c>
    </row>
    <row r="4413" spans="1:4">
      <c r="A4413" s="226" t="s">
        <v>6831</v>
      </c>
      <c r="B4413" s="226">
        <v>530783</v>
      </c>
      <c r="C4413" s="226" t="s">
        <v>486</v>
      </c>
      <c r="D4413" s="226" t="s">
        <v>524</v>
      </c>
    </row>
    <row r="4414" spans="1:4">
      <c r="A4414" s="226" t="s">
        <v>6832</v>
      </c>
      <c r="B4414" s="226">
        <v>526961</v>
      </c>
      <c r="C4414" s="226" t="s">
        <v>6833</v>
      </c>
      <c r="D4414" s="226" t="s">
        <v>503</v>
      </c>
    </row>
    <row r="4415" spans="1:4">
      <c r="A4415" s="226" t="s">
        <v>6834</v>
      </c>
      <c r="B4415" s="226">
        <v>500422</v>
      </c>
      <c r="C4415" s="226" t="s">
        <v>486</v>
      </c>
      <c r="D4415" s="226" t="s">
        <v>524</v>
      </c>
    </row>
    <row r="4416" spans="1:4">
      <c r="A4416" s="226" t="s">
        <v>6835</v>
      </c>
      <c r="B4416" s="226">
        <v>532410</v>
      </c>
      <c r="C4416" s="226" t="s">
        <v>486</v>
      </c>
      <c r="D4416" s="226" t="s">
        <v>470</v>
      </c>
    </row>
    <row r="4417" spans="1:4">
      <c r="A4417" s="226" t="s">
        <v>6836</v>
      </c>
      <c r="B4417" s="226">
        <v>532928</v>
      </c>
      <c r="C4417" s="226" t="s">
        <v>6837</v>
      </c>
      <c r="D4417" s="226" t="s">
        <v>529</v>
      </c>
    </row>
    <row r="4418" spans="1:4">
      <c r="A4418" s="226" t="s">
        <v>6838</v>
      </c>
      <c r="B4418" s="226">
        <v>532928</v>
      </c>
      <c r="C4418" s="226" t="s">
        <v>6837</v>
      </c>
      <c r="D4418" s="226" t="s">
        <v>529</v>
      </c>
    </row>
    <row r="4419" spans="1:4">
      <c r="A4419" s="226" t="s">
        <v>6839</v>
      </c>
      <c r="B4419" s="226">
        <v>513063</v>
      </c>
      <c r="C4419" s="226" t="s">
        <v>486</v>
      </c>
      <c r="D4419" s="226" t="s">
        <v>808</v>
      </c>
    </row>
    <row r="4420" spans="1:4">
      <c r="A4420" s="226" t="s">
        <v>6840</v>
      </c>
      <c r="B4420" s="226">
        <v>526139</v>
      </c>
      <c r="C4420" s="226" t="s">
        <v>486</v>
      </c>
      <c r="D4420" s="226" t="s">
        <v>674</v>
      </c>
    </row>
    <row r="4421" spans="1:4">
      <c r="A4421" s="226" t="s">
        <v>6841</v>
      </c>
      <c r="B4421" s="226">
        <v>519367</v>
      </c>
      <c r="C4421" s="226" t="s">
        <v>486</v>
      </c>
      <c r="D4421" s="226" t="s">
        <v>920</v>
      </c>
    </row>
    <row r="4422" spans="1:4">
      <c r="A4422" s="226" t="s">
        <v>6842</v>
      </c>
      <c r="B4422" s="226">
        <v>509003</v>
      </c>
      <c r="C4422" s="226" t="s">
        <v>486</v>
      </c>
      <c r="D4422" s="226" t="s">
        <v>906</v>
      </c>
    </row>
    <row r="4423" spans="1:4">
      <c r="A4423" s="226" t="s">
        <v>6843</v>
      </c>
      <c r="B4423" s="226">
        <v>506687</v>
      </c>
      <c r="C4423" s="226" t="s">
        <v>486</v>
      </c>
      <c r="D4423" s="226" t="s">
        <v>534</v>
      </c>
    </row>
    <row r="4424" spans="1:4">
      <c r="A4424" s="226" t="s">
        <v>6844</v>
      </c>
      <c r="B4424" s="226">
        <v>532349</v>
      </c>
      <c r="C4424" s="226" t="s">
        <v>6845</v>
      </c>
      <c r="D4424" s="226" t="s">
        <v>558</v>
      </c>
    </row>
    <row r="4425" spans="1:4">
      <c r="A4425" s="226" t="s">
        <v>6846</v>
      </c>
      <c r="B4425" s="226">
        <v>532349</v>
      </c>
      <c r="C4425" s="226" t="s">
        <v>6845</v>
      </c>
      <c r="D4425" s="226" t="s">
        <v>558</v>
      </c>
    </row>
    <row r="4426" spans="1:4">
      <c r="A4426" s="226" t="s">
        <v>6847</v>
      </c>
      <c r="B4426" s="226">
        <v>532812</v>
      </c>
      <c r="C4426" s="226" t="s">
        <v>6848</v>
      </c>
      <c r="D4426" s="226" t="s">
        <v>503</v>
      </c>
    </row>
    <row r="4427" spans="1:4">
      <c r="A4427" s="226" t="s">
        <v>6849</v>
      </c>
      <c r="B4427" s="226" t="s">
        <v>486</v>
      </c>
      <c r="C4427" s="226" t="s">
        <v>6850</v>
      </c>
      <c r="D4427" s="226" t="s">
        <v>497</v>
      </c>
    </row>
    <row r="4428" spans="1:4">
      <c r="A4428" s="226" t="s">
        <v>6851</v>
      </c>
      <c r="B4428" s="226">
        <v>533540</v>
      </c>
      <c r="C4428" s="226" t="s">
        <v>6852</v>
      </c>
      <c r="D4428" s="226" t="s">
        <v>349</v>
      </c>
    </row>
    <row r="4429" spans="1:4">
      <c r="A4429" s="226" t="s">
        <v>6853</v>
      </c>
      <c r="B4429" s="226">
        <v>542233</v>
      </c>
      <c r="C4429" s="226" t="s">
        <v>6854</v>
      </c>
      <c r="D4429" s="226" t="s">
        <v>1680</v>
      </c>
    </row>
    <row r="4430" spans="1:4">
      <c r="A4430" s="226" t="s">
        <v>6855</v>
      </c>
      <c r="B4430" s="226">
        <v>500251</v>
      </c>
      <c r="C4430" s="226" t="s">
        <v>6856</v>
      </c>
      <c r="D4430" s="226" t="s">
        <v>487</v>
      </c>
    </row>
    <row r="4431" spans="1:4">
      <c r="A4431" s="226" t="s">
        <v>6857</v>
      </c>
      <c r="B4431" s="226">
        <v>532159</v>
      </c>
      <c r="C4431" s="226" t="s">
        <v>486</v>
      </c>
      <c r="D4431" s="226" t="s">
        <v>470</v>
      </c>
    </row>
    <row r="4432" spans="1:4">
      <c r="A4432" s="226" t="s">
        <v>6858</v>
      </c>
      <c r="B4432" s="226">
        <v>505854</v>
      </c>
      <c r="C4432" s="226" t="s">
        <v>6859</v>
      </c>
      <c r="D4432" s="226" t="s">
        <v>494</v>
      </c>
    </row>
    <row r="4433" spans="1:4">
      <c r="A4433" s="226" t="s">
        <v>6860</v>
      </c>
      <c r="B4433" s="226">
        <v>534369</v>
      </c>
      <c r="C4433" s="226" t="s">
        <v>6861</v>
      </c>
      <c r="D4433" s="226" t="s">
        <v>599</v>
      </c>
    </row>
    <row r="4434" spans="1:4">
      <c r="A4434" s="226" t="s">
        <v>6862</v>
      </c>
      <c r="B4434" s="226">
        <v>531716</v>
      </c>
      <c r="C4434" s="226" t="s">
        <v>486</v>
      </c>
      <c r="D4434" s="226" t="s">
        <v>566</v>
      </c>
    </row>
    <row r="4435" spans="1:4">
      <c r="A4435" s="226" t="s">
        <v>6863</v>
      </c>
      <c r="B4435" s="226">
        <v>521064</v>
      </c>
      <c r="C4435" s="226" t="s">
        <v>6864</v>
      </c>
      <c r="D4435" s="226" t="s">
        <v>501</v>
      </c>
    </row>
    <row r="4436" spans="1:4">
      <c r="A4436" s="226" t="s">
        <v>6865</v>
      </c>
      <c r="B4436" s="226">
        <v>540726</v>
      </c>
      <c r="C4436" s="226" t="s">
        <v>486</v>
      </c>
      <c r="D4436" s="226" t="s">
        <v>508</v>
      </c>
    </row>
    <row r="4437" spans="1:4">
      <c r="A4437" s="226" t="s">
        <v>6866</v>
      </c>
      <c r="B4437" s="226">
        <v>531972</v>
      </c>
      <c r="C4437" s="226" t="s">
        <v>486</v>
      </c>
      <c r="D4437" s="226" t="s">
        <v>670</v>
      </c>
    </row>
    <row r="4438" spans="1:4">
      <c r="A4438" s="226" t="s">
        <v>6867</v>
      </c>
      <c r="B4438" s="226">
        <v>517562</v>
      </c>
      <c r="C4438" s="226" t="s">
        <v>6868</v>
      </c>
      <c r="D4438" s="226" t="s">
        <v>473</v>
      </c>
    </row>
    <row r="4439" spans="1:4">
      <c r="A4439" s="226" t="s">
        <v>6869</v>
      </c>
      <c r="B4439" s="226">
        <v>531658</v>
      </c>
      <c r="C4439" s="226" t="s">
        <v>486</v>
      </c>
      <c r="D4439" s="226" t="s">
        <v>503</v>
      </c>
    </row>
    <row r="4440" spans="1:4">
      <c r="A4440" s="226" t="s">
        <v>6870</v>
      </c>
      <c r="B4440" s="226">
        <v>536565</v>
      </c>
      <c r="C4440" s="226" t="s">
        <v>486</v>
      </c>
      <c r="D4440" s="226" t="s">
        <v>6871</v>
      </c>
    </row>
    <row r="4441" spans="1:4">
      <c r="A4441" s="226" t="s">
        <v>6872</v>
      </c>
      <c r="B4441" s="226">
        <v>531846</v>
      </c>
      <c r="C4441" s="226" t="s">
        <v>486</v>
      </c>
      <c r="D4441" s="226" t="s">
        <v>470</v>
      </c>
    </row>
    <row r="4442" spans="1:4">
      <c r="A4442" s="226" t="s">
        <v>6873</v>
      </c>
      <c r="B4442" s="226">
        <v>531846</v>
      </c>
      <c r="C4442" s="226" t="s">
        <v>486</v>
      </c>
      <c r="D4442" s="226" t="s">
        <v>470</v>
      </c>
    </row>
    <row r="4443" spans="1:4">
      <c r="A4443" s="226" t="s">
        <v>6874</v>
      </c>
      <c r="B4443" s="226">
        <v>534755</v>
      </c>
      <c r="C4443" s="226" t="s">
        <v>6875</v>
      </c>
      <c r="D4443" s="226" t="s">
        <v>470</v>
      </c>
    </row>
    <row r="4444" spans="1:4">
      <c r="A4444" s="226" t="s">
        <v>6876</v>
      </c>
      <c r="B4444" s="226">
        <v>512101</v>
      </c>
      <c r="C4444" s="226" t="s">
        <v>486</v>
      </c>
      <c r="D4444" s="226" t="s">
        <v>524</v>
      </c>
    </row>
    <row r="4445" spans="1:4">
      <c r="A4445" s="226" t="s">
        <v>6877</v>
      </c>
      <c r="B4445" s="226">
        <v>531279</v>
      </c>
      <c r="C4445" s="226" t="s">
        <v>486</v>
      </c>
      <c r="D4445" s="226" t="s">
        <v>503</v>
      </c>
    </row>
    <row r="4446" spans="1:4">
      <c r="A4446" s="226" t="s">
        <v>6878</v>
      </c>
      <c r="B4446" s="226">
        <v>523387</v>
      </c>
      <c r="C4446" s="226" t="s">
        <v>486</v>
      </c>
      <c r="D4446" s="226" t="s">
        <v>599</v>
      </c>
    </row>
    <row r="4447" spans="1:4">
      <c r="A4447" s="226" t="s">
        <v>6879</v>
      </c>
      <c r="B4447" s="226">
        <v>505978</v>
      </c>
      <c r="C4447" s="226" t="s">
        <v>486</v>
      </c>
      <c r="D4447" s="226" t="s">
        <v>840</v>
      </c>
    </row>
    <row r="4448" spans="1:4">
      <c r="A4448" s="226" t="s">
        <v>6880</v>
      </c>
      <c r="B4448" s="226">
        <v>532356</v>
      </c>
      <c r="C4448" s="226" t="s">
        <v>6881</v>
      </c>
      <c r="D4448" s="226" t="s">
        <v>1184</v>
      </c>
    </row>
    <row r="4449" spans="1:4">
      <c r="A4449" s="226" t="s">
        <v>6882</v>
      </c>
      <c r="B4449" s="226">
        <v>538569</v>
      </c>
      <c r="C4449" s="226" t="s">
        <v>6883</v>
      </c>
      <c r="D4449" s="226" t="s">
        <v>851</v>
      </c>
    </row>
    <row r="4450" spans="1:4">
      <c r="A4450" s="226" t="s">
        <v>6884</v>
      </c>
      <c r="B4450" s="226">
        <v>502281</v>
      </c>
      <c r="C4450" s="226" t="s">
        <v>486</v>
      </c>
      <c r="D4450" s="226" t="s">
        <v>1013</v>
      </c>
    </row>
    <row r="4451" spans="1:4">
      <c r="A4451" s="226" t="s">
        <v>6885</v>
      </c>
      <c r="B4451" s="226">
        <v>533655</v>
      </c>
      <c r="C4451" s="226" t="s">
        <v>6886</v>
      </c>
      <c r="D4451" s="226" t="s">
        <v>529</v>
      </c>
    </row>
    <row r="4452" spans="1:4">
      <c r="A4452" s="226" t="s">
        <v>6887</v>
      </c>
      <c r="B4452" s="226">
        <v>538579</v>
      </c>
      <c r="C4452" s="226" t="s">
        <v>486</v>
      </c>
      <c r="D4452" s="226" t="s">
        <v>508</v>
      </c>
    </row>
    <row r="4453" spans="1:4">
      <c r="A4453" s="226" t="s">
        <v>6888</v>
      </c>
      <c r="B4453" s="226">
        <v>519303</v>
      </c>
      <c r="C4453" s="226" t="s">
        <v>486</v>
      </c>
      <c r="D4453" s="226" t="s">
        <v>734</v>
      </c>
    </row>
    <row r="4454" spans="1:4">
      <c r="A4454" s="226" t="s">
        <v>6889</v>
      </c>
      <c r="B4454" s="226">
        <v>538597</v>
      </c>
      <c r="C4454" s="226" t="s">
        <v>486</v>
      </c>
      <c r="D4454" s="226" t="s">
        <v>503</v>
      </c>
    </row>
    <row r="4455" spans="1:4">
      <c r="A4455" s="226" t="s">
        <v>6890</v>
      </c>
      <c r="B4455" s="226">
        <v>507747</v>
      </c>
      <c r="C4455" s="226" t="s">
        <v>6891</v>
      </c>
      <c r="D4455" s="226" t="s">
        <v>524</v>
      </c>
    </row>
    <row r="4456" spans="1:4">
      <c r="A4456" s="226" t="s">
        <v>6892</v>
      </c>
      <c r="B4456" s="226">
        <v>517506</v>
      </c>
      <c r="C4456" s="226" t="s">
        <v>6893</v>
      </c>
      <c r="D4456" s="226" t="s">
        <v>1529</v>
      </c>
    </row>
    <row r="4457" spans="1:4">
      <c r="A4457" s="226" t="s">
        <v>6894</v>
      </c>
      <c r="B4457" s="226">
        <v>514236</v>
      </c>
      <c r="C4457" s="226" t="s">
        <v>6895</v>
      </c>
      <c r="D4457" s="226" t="s">
        <v>851</v>
      </c>
    </row>
    <row r="4458" spans="1:4">
      <c r="A4458" s="226" t="s">
        <v>6896</v>
      </c>
      <c r="B4458" s="226">
        <v>540762</v>
      </c>
      <c r="C4458" s="226" t="s">
        <v>6897</v>
      </c>
      <c r="D4458" s="226" t="s">
        <v>840</v>
      </c>
    </row>
    <row r="4459" spans="1:4">
      <c r="A4459" s="226" t="s">
        <v>6898</v>
      </c>
      <c r="B4459" s="226">
        <v>540762</v>
      </c>
      <c r="C4459" s="226" t="s">
        <v>6899</v>
      </c>
      <c r="D4459" s="226" t="s">
        <v>840</v>
      </c>
    </row>
    <row r="4460" spans="1:4">
      <c r="A4460" s="226" t="s">
        <v>6900</v>
      </c>
      <c r="B4460" s="226">
        <v>524514</v>
      </c>
      <c r="C4460" s="226" t="s">
        <v>486</v>
      </c>
      <c r="D4460" s="226" t="s">
        <v>534</v>
      </c>
    </row>
    <row r="4461" spans="1:4">
      <c r="A4461" s="226" t="s">
        <v>6901</v>
      </c>
      <c r="B4461" s="226">
        <v>531088</v>
      </c>
      <c r="C4461" s="226" t="s">
        <v>486</v>
      </c>
      <c r="D4461" s="226" t="s">
        <v>503</v>
      </c>
    </row>
    <row r="4462" spans="1:4">
      <c r="A4462" s="226" t="s">
        <v>6902</v>
      </c>
      <c r="B4462" s="226">
        <v>505285</v>
      </c>
      <c r="C4462" s="226" t="s">
        <v>486</v>
      </c>
      <c r="D4462" s="226" t="s">
        <v>670</v>
      </c>
    </row>
    <row r="4463" spans="1:4">
      <c r="A4463" s="226" t="s">
        <v>6903</v>
      </c>
      <c r="B4463" s="226">
        <v>532948</v>
      </c>
      <c r="C4463" s="226" t="s">
        <v>6904</v>
      </c>
      <c r="D4463" s="226" t="s">
        <v>605</v>
      </c>
    </row>
    <row r="4464" spans="1:4">
      <c r="A4464" s="226" t="s">
        <v>6905</v>
      </c>
      <c r="B4464" s="226">
        <v>504273</v>
      </c>
      <c r="C4464" s="226" t="s">
        <v>486</v>
      </c>
      <c r="D4464" s="226" t="s">
        <v>783</v>
      </c>
    </row>
    <row r="4465" spans="1:4">
      <c r="A4465" s="226" t="s">
        <v>6906</v>
      </c>
      <c r="B4465" s="226">
        <v>531411</v>
      </c>
      <c r="C4465" s="226" t="s">
        <v>486</v>
      </c>
      <c r="D4465" s="226" t="s">
        <v>501</v>
      </c>
    </row>
    <row r="4466" spans="1:4">
      <c r="A4466" s="226" t="s">
        <v>6907</v>
      </c>
      <c r="B4466" s="226">
        <v>506808</v>
      </c>
      <c r="C4466" s="226" t="s">
        <v>486</v>
      </c>
      <c r="D4466" s="226" t="s">
        <v>534</v>
      </c>
    </row>
    <row r="4467" spans="1:4">
      <c r="A4467" s="226" t="s">
        <v>6908</v>
      </c>
      <c r="B4467" s="226">
        <v>532515</v>
      </c>
      <c r="C4467" s="226" t="s">
        <v>6909</v>
      </c>
      <c r="D4467" s="226" t="s">
        <v>1222</v>
      </c>
    </row>
    <row r="4468" spans="1:4">
      <c r="A4468" s="226" t="s">
        <v>6910</v>
      </c>
      <c r="B4468" s="226">
        <v>540083</v>
      </c>
      <c r="C4468" s="226" t="s">
        <v>6911</v>
      </c>
      <c r="D4468" s="226" t="s">
        <v>1222</v>
      </c>
    </row>
    <row r="4469" spans="1:4">
      <c r="A4469" s="226" t="s">
        <v>6912</v>
      </c>
      <c r="B4469" s="226">
        <v>532800</v>
      </c>
      <c r="C4469" s="226" t="s">
        <v>6913</v>
      </c>
      <c r="D4469" s="226" t="s">
        <v>1222</v>
      </c>
    </row>
    <row r="4470" spans="1:4">
      <c r="A4470" s="226" t="s">
        <v>6914</v>
      </c>
      <c r="B4470" s="226">
        <v>532513</v>
      </c>
      <c r="C4470" s="226" t="s">
        <v>6915</v>
      </c>
      <c r="D4470" s="226" t="s">
        <v>583</v>
      </c>
    </row>
    <row r="4471" spans="1:4">
      <c r="A4471" s="226" t="s">
        <v>6916</v>
      </c>
      <c r="B4471" s="226">
        <v>532343</v>
      </c>
      <c r="C4471" s="226" t="s">
        <v>6917</v>
      </c>
      <c r="D4471" s="226" t="s">
        <v>1143</v>
      </c>
    </row>
    <row r="4472" spans="1:4">
      <c r="A4472" s="226" t="s">
        <v>6918</v>
      </c>
      <c r="B4472" s="226">
        <v>509243</v>
      </c>
      <c r="C4472" s="226" t="s">
        <v>6919</v>
      </c>
      <c r="D4472" s="226" t="s">
        <v>965</v>
      </c>
    </row>
    <row r="4473" spans="1:4">
      <c r="A4473" s="226" t="s">
        <v>6920</v>
      </c>
      <c r="B4473" s="226">
        <v>512117</v>
      </c>
      <c r="C4473" s="226" t="s">
        <v>486</v>
      </c>
      <c r="D4473" s="226" t="s">
        <v>906</v>
      </c>
    </row>
    <row r="4474" spans="1:4">
      <c r="A4474" s="226" t="s">
        <v>6921</v>
      </c>
      <c r="B4474" s="226">
        <v>531917</v>
      </c>
      <c r="C4474" s="226" t="s">
        <v>486</v>
      </c>
      <c r="D4474" s="226" t="s">
        <v>579</v>
      </c>
    </row>
    <row r="4475" spans="1:4">
      <c r="A4475" s="226" t="s">
        <v>6922</v>
      </c>
      <c r="B4475" s="226">
        <v>532384</v>
      </c>
      <c r="C4475" s="226" t="s">
        <v>486</v>
      </c>
      <c r="D4475" s="226" t="s">
        <v>524</v>
      </c>
    </row>
    <row r="4476" spans="1:4">
      <c r="A4476" s="226" t="s">
        <v>6923</v>
      </c>
      <c r="B4476" s="226">
        <v>539468</v>
      </c>
      <c r="C4476" s="226" t="s">
        <v>486</v>
      </c>
      <c r="D4476" s="226" t="s">
        <v>503</v>
      </c>
    </row>
    <row r="4477" spans="1:4">
      <c r="A4477" s="226" t="s">
        <v>6924</v>
      </c>
      <c r="B4477" s="226">
        <v>512307</v>
      </c>
      <c r="C4477" s="226" t="s">
        <v>486</v>
      </c>
      <c r="D4477" s="226" t="s">
        <v>501</v>
      </c>
    </row>
    <row r="4478" spans="1:4">
      <c r="A4478" s="226" t="s">
        <v>6925</v>
      </c>
      <c r="B4478" s="226">
        <v>526945</v>
      </c>
      <c r="C4478" s="226" t="s">
        <v>486</v>
      </c>
      <c r="D4478" s="226" t="s">
        <v>892</v>
      </c>
    </row>
    <row r="4479" spans="1:4">
      <c r="A4479" s="226" t="s">
        <v>6926</v>
      </c>
      <c r="B4479" s="226">
        <v>541338</v>
      </c>
      <c r="C4479" s="226" t="s">
        <v>486</v>
      </c>
      <c r="D4479" s="226" t="s">
        <v>599</v>
      </c>
    </row>
    <row r="4480" spans="1:4">
      <c r="A4480" s="226" t="s">
        <v>6927</v>
      </c>
      <c r="B4480" s="226">
        <v>500464</v>
      </c>
      <c r="C4480" s="226" t="s">
        <v>6928</v>
      </c>
      <c r="D4480" s="226" t="s">
        <v>840</v>
      </c>
    </row>
    <row r="4481" spans="1:4">
      <c r="A4481" s="226" t="s">
        <v>6929</v>
      </c>
      <c r="B4481" s="226">
        <v>532505</v>
      </c>
      <c r="C4481" s="226" t="s">
        <v>6930</v>
      </c>
      <c r="D4481" s="226" t="s">
        <v>803</v>
      </c>
    </row>
    <row r="4482" spans="1:4">
      <c r="A4482" s="226" t="s">
        <v>6931</v>
      </c>
      <c r="B4482" s="226">
        <v>530131</v>
      </c>
      <c r="C4482" s="226" t="s">
        <v>486</v>
      </c>
      <c r="D4482" s="226" t="s">
        <v>499</v>
      </c>
    </row>
    <row r="4483" spans="1:4">
      <c r="A4483" s="226" t="s">
        <v>6932</v>
      </c>
      <c r="B4483" s="226">
        <v>539518</v>
      </c>
      <c r="C4483" s="226" t="s">
        <v>486</v>
      </c>
      <c r="D4483" s="226" t="s">
        <v>520</v>
      </c>
    </row>
    <row r="4484" spans="1:4">
      <c r="A4484" s="226" t="s">
        <v>6933</v>
      </c>
      <c r="B4484" s="226">
        <v>500148</v>
      </c>
      <c r="C4484" s="226" t="s">
        <v>6934</v>
      </c>
      <c r="D4484" s="226" t="s">
        <v>680</v>
      </c>
    </row>
    <row r="4485" spans="1:4">
      <c r="A4485" s="226" t="s">
        <v>6935</v>
      </c>
      <c r="B4485" s="226">
        <v>539141</v>
      </c>
      <c r="C4485" s="226" t="s">
        <v>6936</v>
      </c>
      <c r="D4485" s="226" t="s">
        <v>1222</v>
      </c>
    </row>
    <row r="4486" spans="1:4">
      <c r="A4486" s="226" t="s">
        <v>6937</v>
      </c>
      <c r="B4486" s="226">
        <v>539141</v>
      </c>
      <c r="C4486" s="226" t="s">
        <v>6936</v>
      </c>
      <c r="D4486" s="226" t="s">
        <v>1222</v>
      </c>
    </row>
    <row r="4487" spans="1:4">
      <c r="A4487" s="226" t="s">
        <v>6938</v>
      </c>
      <c r="B4487" s="226">
        <v>511742</v>
      </c>
      <c r="C4487" s="226" t="s">
        <v>486</v>
      </c>
      <c r="D4487" s="226" t="s">
        <v>503</v>
      </c>
    </row>
    <row r="4488" spans="1:4">
      <c r="A4488" s="226" t="s">
        <v>6939</v>
      </c>
      <c r="B4488" s="226">
        <v>533644</v>
      </c>
      <c r="C4488" s="226" t="s">
        <v>6940</v>
      </c>
      <c r="D4488" s="226" t="s">
        <v>529</v>
      </c>
    </row>
    <row r="4489" spans="1:4">
      <c r="A4489" s="226" t="s">
        <v>6941</v>
      </c>
      <c r="B4489" s="226">
        <v>539874</v>
      </c>
      <c r="C4489" s="226" t="s">
        <v>6942</v>
      </c>
      <c r="D4489" s="226" t="s">
        <v>503</v>
      </c>
    </row>
    <row r="4490" spans="1:4">
      <c r="A4490" s="226" t="s">
        <v>6943</v>
      </c>
      <c r="B4490" s="226" t="s">
        <v>486</v>
      </c>
      <c r="C4490" s="226" t="s">
        <v>6944</v>
      </c>
      <c r="D4490" s="226" t="s">
        <v>497</v>
      </c>
    </row>
    <row r="4491" spans="1:4">
      <c r="A4491" s="226" t="s">
        <v>6945</v>
      </c>
      <c r="B4491" s="226">
        <v>538706</v>
      </c>
      <c r="C4491" s="226" t="s">
        <v>486</v>
      </c>
      <c r="D4491" s="226" t="s">
        <v>783</v>
      </c>
    </row>
    <row r="4492" spans="1:4">
      <c r="A4492" s="226" t="s">
        <v>6946</v>
      </c>
      <c r="B4492" s="226">
        <v>538706</v>
      </c>
      <c r="C4492" s="226" t="s">
        <v>486</v>
      </c>
      <c r="D4492" s="226" t="s">
        <v>783</v>
      </c>
    </row>
    <row r="4493" spans="1:4">
      <c r="A4493" s="226" t="s">
        <v>6947</v>
      </c>
      <c r="B4493" s="226">
        <v>506685</v>
      </c>
      <c r="C4493" s="226" t="s">
        <v>486</v>
      </c>
      <c r="D4493" s="226" t="s">
        <v>645</v>
      </c>
    </row>
    <row r="4494" spans="1:4">
      <c r="A4494" s="226" t="s">
        <v>6948</v>
      </c>
      <c r="B4494" s="226">
        <v>532538</v>
      </c>
      <c r="C4494" s="226" t="s">
        <v>6949</v>
      </c>
      <c r="D4494" s="226" t="s">
        <v>499</v>
      </c>
    </row>
    <row r="4495" spans="1:4">
      <c r="A4495" s="226" t="s">
        <v>6950</v>
      </c>
      <c r="B4495" s="226">
        <v>500231</v>
      </c>
      <c r="C4495" s="226" t="s">
        <v>6951</v>
      </c>
      <c r="D4495" s="226" t="s">
        <v>546</v>
      </c>
    </row>
    <row r="4496" spans="1:4">
      <c r="A4496" s="226" t="s">
        <v>6952</v>
      </c>
      <c r="B4496" s="226">
        <v>539798</v>
      </c>
      <c r="C4496" s="226" t="s">
        <v>486</v>
      </c>
      <c r="D4496" s="226" t="s">
        <v>808</v>
      </c>
    </row>
    <row r="4497" spans="1:4">
      <c r="A4497" s="226" t="s">
        <v>6953</v>
      </c>
      <c r="B4497" s="226">
        <v>504605</v>
      </c>
      <c r="C4497" s="226" t="s">
        <v>486</v>
      </c>
      <c r="D4497" s="226" t="s">
        <v>808</v>
      </c>
    </row>
    <row r="4498" spans="1:4">
      <c r="A4498" s="226" t="s">
        <v>6954</v>
      </c>
      <c r="B4498" s="226">
        <v>506690</v>
      </c>
      <c r="C4498" s="226" t="s">
        <v>6955</v>
      </c>
      <c r="D4498" s="226" t="s">
        <v>524</v>
      </c>
    </row>
    <row r="4499" spans="1:4">
      <c r="A4499" s="226" t="s">
        <v>6956</v>
      </c>
      <c r="B4499" s="226">
        <v>541503</v>
      </c>
      <c r="C4499" s="226" t="s">
        <v>486</v>
      </c>
      <c r="D4499" s="226" t="s">
        <v>2475</v>
      </c>
    </row>
    <row r="4500" spans="1:4">
      <c r="A4500" s="226" t="s">
        <v>6957</v>
      </c>
      <c r="B4500" s="226" t="s">
        <v>486</v>
      </c>
      <c r="C4500" s="226" t="s">
        <v>6958</v>
      </c>
      <c r="D4500" s="226" t="s">
        <v>497</v>
      </c>
    </row>
    <row r="4501" spans="1:4">
      <c r="A4501" s="226" t="s">
        <v>6959</v>
      </c>
      <c r="B4501" s="226">
        <v>503671</v>
      </c>
      <c r="C4501" s="226" t="s">
        <v>486</v>
      </c>
      <c r="D4501" s="226" t="s">
        <v>470</v>
      </c>
    </row>
    <row r="4502" spans="1:4">
      <c r="A4502" s="226" t="s">
        <v>6960</v>
      </c>
      <c r="B4502" s="226">
        <v>512595</v>
      </c>
      <c r="C4502" s="226" t="s">
        <v>6961</v>
      </c>
      <c r="D4502" s="226" t="s">
        <v>1041</v>
      </c>
    </row>
    <row r="4503" spans="1:4">
      <c r="A4503" s="226" t="s">
        <v>6962</v>
      </c>
      <c r="B4503" s="226">
        <v>532477</v>
      </c>
      <c r="C4503" s="226" t="s">
        <v>6963</v>
      </c>
      <c r="D4503" s="226" t="s">
        <v>803</v>
      </c>
    </row>
    <row r="4504" spans="1:4">
      <c r="A4504" s="226" t="s">
        <v>6964</v>
      </c>
      <c r="B4504" s="226">
        <v>526799</v>
      </c>
      <c r="C4504" s="226" t="s">
        <v>486</v>
      </c>
      <c r="D4504" s="226" t="s">
        <v>680</v>
      </c>
    </row>
    <row r="4505" spans="1:4">
      <c r="A4505" s="226" t="s">
        <v>6965</v>
      </c>
      <c r="B4505" s="226">
        <v>500429</v>
      </c>
      <c r="C4505" s="226" t="s">
        <v>6966</v>
      </c>
      <c r="D4505" s="226" t="s">
        <v>508</v>
      </c>
    </row>
    <row r="4506" spans="1:4">
      <c r="A4506" s="226" t="s">
        <v>6967</v>
      </c>
      <c r="B4506" s="226">
        <v>526957</v>
      </c>
      <c r="C4506" s="226" t="s">
        <v>486</v>
      </c>
      <c r="D4506" s="226" t="s">
        <v>980</v>
      </c>
    </row>
    <row r="4507" spans="1:4">
      <c r="A4507" s="226" t="s">
        <v>6968</v>
      </c>
      <c r="B4507" s="226">
        <v>532646</v>
      </c>
      <c r="C4507" s="226" t="s">
        <v>6969</v>
      </c>
      <c r="D4507" s="226" t="s">
        <v>980</v>
      </c>
    </row>
    <row r="4508" spans="1:4">
      <c r="A4508" s="226" t="s">
        <v>6970</v>
      </c>
      <c r="B4508" s="226">
        <v>530997</v>
      </c>
      <c r="C4508" s="226" t="s">
        <v>486</v>
      </c>
      <c r="D4508" s="226" t="s">
        <v>683</v>
      </c>
    </row>
    <row r="4509" spans="1:4">
      <c r="A4509" s="226" t="s">
        <v>6971</v>
      </c>
      <c r="B4509" s="226">
        <v>521226</v>
      </c>
      <c r="C4509" s="226" t="s">
        <v>486</v>
      </c>
      <c r="D4509" s="226" t="s">
        <v>501</v>
      </c>
    </row>
    <row r="4510" spans="1:4">
      <c r="A4510" s="226" t="s">
        <v>6972</v>
      </c>
      <c r="B4510" s="226">
        <v>526113</v>
      </c>
      <c r="C4510" s="226" t="s">
        <v>486</v>
      </c>
      <c r="D4510" s="226" t="s">
        <v>546</v>
      </c>
    </row>
    <row r="4511" spans="1:4">
      <c r="A4511" s="226" t="s">
        <v>6973</v>
      </c>
      <c r="B4511" s="226">
        <v>537582</v>
      </c>
      <c r="C4511" s="226" t="s">
        <v>486</v>
      </c>
      <c r="D4511" s="226" t="s">
        <v>572</v>
      </c>
    </row>
    <row r="4512" spans="1:4">
      <c r="A4512" s="226" t="s">
        <v>6974</v>
      </c>
      <c r="B4512" s="226">
        <v>538610</v>
      </c>
      <c r="C4512" s="226" t="s">
        <v>486</v>
      </c>
      <c r="D4512" s="226" t="s">
        <v>808</v>
      </c>
    </row>
    <row r="4513" spans="1:4">
      <c r="A4513" s="226" t="s">
        <v>6975</v>
      </c>
      <c r="B4513" s="226">
        <v>532035</v>
      </c>
      <c r="C4513" s="226" t="s">
        <v>486</v>
      </c>
      <c r="D4513" s="226" t="s">
        <v>503</v>
      </c>
    </row>
    <row r="4514" spans="1:4">
      <c r="A4514" s="226" t="s">
        <v>6976</v>
      </c>
      <c r="B4514" s="226">
        <v>531831</v>
      </c>
      <c r="C4514" s="226" t="s">
        <v>486</v>
      </c>
      <c r="D4514" s="226" t="s">
        <v>544</v>
      </c>
    </row>
    <row r="4515" spans="1:4">
      <c r="A4515" s="226" t="s">
        <v>6977</v>
      </c>
      <c r="B4515" s="226">
        <v>531867</v>
      </c>
      <c r="C4515" s="226" t="s">
        <v>486</v>
      </c>
      <c r="D4515" s="226" t="s">
        <v>508</v>
      </c>
    </row>
    <row r="4516" spans="1:4">
      <c r="A4516" s="226" t="s">
        <v>6978</v>
      </c>
      <c r="B4516" s="226">
        <v>507878</v>
      </c>
      <c r="C4516" s="226" t="s">
        <v>6979</v>
      </c>
      <c r="D4516" s="226" t="s">
        <v>572</v>
      </c>
    </row>
    <row r="4517" spans="1:4">
      <c r="A4517" s="226" t="s">
        <v>6980</v>
      </c>
      <c r="B4517" s="226">
        <v>533171</v>
      </c>
      <c r="C4517" s="226" t="s">
        <v>6981</v>
      </c>
      <c r="D4517" s="226" t="s">
        <v>803</v>
      </c>
    </row>
    <row r="4518" spans="1:4">
      <c r="A4518" s="226" t="s">
        <v>6982</v>
      </c>
      <c r="B4518" s="226">
        <v>532478</v>
      </c>
      <c r="C4518" s="226" t="s">
        <v>6983</v>
      </c>
      <c r="D4518" s="226" t="s">
        <v>1117</v>
      </c>
    </row>
    <row r="4519" spans="1:4">
      <c r="A4519" s="226" t="s">
        <v>6984</v>
      </c>
      <c r="B4519" s="226">
        <v>531091</v>
      </c>
      <c r="C4519" s="226" t="s">
        <v>486</v>
      </c>
      <c r="D4519" s="226" t="s">
        <v>503</v>
      </c>
    </row>
    <row r="4520" spans="1:4">
      <c r="A4520" s="226" t="s">
        <v>6985</v>
      </c>
      <c r="B4520" s="226">
        <v>522014</v>
      </c>
      <c r="C4520" s="226" t="s">
        <v>486</v>
      </c>
      <c r="D4520" s="226" t="s">
        <v>670</v>
      </c>
    </row>
    <row r="4521" spans="1:4">
      <c r="A4521" s="226" t="s">
        <v>6986</v>
      </c>
      <c r="B4521" s="226">
        <v>502893</v>
      </c>
      <c r="C4521" s="226" t="s">
        <v>486</v>
      </c>
      <c r="D4521" s="226" t="s">
        <v>492</v>
      </c>
    </row>
    <row r="4522" spans="1:4">
      <c r="A4522" s="226" t="s">
        <v>6987</v>
      </c>
      <c r="B4522" s="226">
        <v>507808</v>
      </c>
      <c r="C4522" s="226" t="s">
        <v>486</v>
      </c>
      <c r="D4522" s="226" t="s">
        <v>503</v>
      </c>
    </row>
    <row r="4523" spans="1:4">
      <c r="A4523" s="226" t="s">
        <v>6988</v>
      </c>
      <c r="B4523" s="226" t="s">
        <v>486</v>
      </c>
      <c r="C4523" s="226" t="s">
        <v>6989</v>
      </c>
      <c r="D4523" s="226" t="s">
        <v>497</v>
      </c>
    </row>
    <row r="4524" spans="1:4">
      <c r="A4524" s="226" t="s">
        <v>6990</v>
      </c>
      <c r="B4524" s="226">
        <v>532432</v>
      </c>
      <c r="C4524" s="226" t="s">
        <v>6991</v>
      </c>
      <c r="D4524" s="226" t="s">
        <v>1117</v>
      </c>
    </row>
    <row r="4525" spans="1:4">
      <c r="A4525" s="226" t="s">
        <v>6992</v>
      </c>
      <c r="B4525" s="226">
        <v>521188</v>
      </c>
      <c r="C4525" s="226" t="s">
        <v>486</v>
      </c>
      <c r="D4525" s="226" t="s">
        <v>501</v>
      </c>
    </row>
    <row r="4526" spans="1:4">
      <c r="A4526" s="226" t="s">
        <v>6993</v>
      </c>
      <c r="B4526" s="226">
        <v>522091</v>
      </c>
      <c r="C4526" s="226" t="s">
        <v>486</v>
      </c>
      <c r="D4526" s="226" t="s">
        <v>529</v>
      </c>
    </row>
    <row r="4527" spans="1:4">
      <c r="A4527" s="226" t="s">
        <v>6994</v>
      </c>
      <c r="B4527" s="226">
        <v>532746</v>
      </c>
      <c r="C4527" s="226" t="s">
        <v>6995</v>
      </c>
      <c r="D4527" s="226" t="s">
        <v>883</v>
      </c>
    </row>
    <row r="4528" spans="1:4">
      <c r="A4528" s="226" t="s">
        <v>6996</v>
      </c>
      <c r="B4528" s="226" t="s">
        <v>486</v>
      </c>
      <c r="C4528" s="226" t="s">
        <v>6997</v>
      </c>
      <c r="D4528" s="226" t="s">
        <v>497</v>
      </c>
    </row>
    <row r="4529" spans="1:4">
      <c r="A4529" s="226" t="s">
        <v>6998</v>
      </c>
      <c r="B4529" s="226" t="s">
        <v>486</v>
      </c>
      <c r="C4529" s="226" t="s">
        <v>6997</v>
      </c>
      <c r="D4529" s="226" t="s">
        <v>497</v>
      </c>
    </row>
    <row r="4530" spans="1:4">
      <c r="A4530" s="226" t="s">
        <v>6999</v>
      </c>
      <c r="B4530" s="226">
        <v>532378</v>
      </c>
      <c r="C4530" s="226" t="s">
        <v>486</v>
      </c>
      <c r="D4530" s="226" t="s">
        <v>489</v>
      </c>
    </row>
    <row r="4531" spans="1:4">
      <c r="A4531" s="226" t="s">
        <v>7000</v>
      </c>
      <c r="B4531" s="226">
        <v>539314</v>
      </c>
      <c r="C4531" s="226" t="s">
        <v>486</v>
      </c>
      <c r="D4531" s="226" t="s">
        <v>840</v>
      </c>
    </row>
    <row r="4532" spans="1:4">
      <c r="A4532" s="226" t="s">
        <v>7001</v>
      </c>
      <c r="B4532" s="226">
        <v>504212</v>
      </c>
      <c r="C4532" s="226" t="s">
        <v>7002</v>
      </c>
      <c r="D4532" s="226" t="s">
        <v>783</v>
      </c>
    </row>
    <row r="4533" spans="1:4">
      <c r="A4533" s="226" t="s">
        <v>7003</v>
      </c>
      <c r="B4533" s="226">
        <v>531963</v>
      </c>
      <c r="C4533" s="226" t="s">
        <v>486</v>
      </c>
      <c r="D4533" s="226" t="s">
        <v>906</v>
      </c>
    </row>
    <row r="4534" spans="1:4">
      <c r="A4534" s="226" t="s">
        <v>7004</v>
      </c>
      <c r="B4534" s="226">
        <v>523519</v>
      </c>
      <c r="C4534" s="226" t="s">
        <v>486</v>
      </c>
      <c r="D4534" s="226" t="s">
        <v>508</v>
      </c>
    </row>
    <row r="4535" spans="1:4">
      <c r="A4535" s="226" t="s">
        <v>7005</v>
      </c>
      <c r="B4535" s="226">
        <v>504673</v>
      </c>
      <c r="C4535" s="226" t="s">
        <v>486</v>
      </c>
      <c r="D4535" s="226" t="s">
        <v>790</v>
      </c>
    </row>
    <row r="4536" spans="1:4">
      <c r="A4536" s="226" t="s">
        <v>7006</v>
      </c>
      <c r="B4536" s="226">
        <v>524408</v>
      </c>
      <c r="C4536" s="226" t="s">
        <v>486</v>
      </c>
      <c r="D4536" s="226" t="s">
        <v>534</v>
      </c>
    </row>
    <row r="4537" spans="1:4">
      <c r="A4537" s="226" t="s">
        <v>7007</v>
      </c>
      <c r="B4537" s="226">
        <v>514144</v>
      </c>
      <c r="C4537" s="226" t="s">
        <v>486</v>
      </c>
      <c r="D4537" s="226" t="s">
        <v>501</v>
      </c>
    </row>
    <row r="4538" spans="1:4">
      <c r="A4538" s="226" t="s">
        <v>7008</v>
      </c>
      <c r="B4538" s="226">
        <v>512408</v>
      </c>
      <c r="C4538" s="226" t="s">
        <v>486</v>
      </c>
      <c r="D4538" s="226" t="s">
        <v>501</v>
      </c>
    </row>
    <row r="4539" spans="1:4">
      <c r="A4539" s="226" t="s">
        <v>7009</v>
      </c>
      <c r="B4539" s="226">
        <v>531762</v>
      </c>
      <c r="C4539" s="226" t="s">
        <v>486</v>
      </c>
      <c r="D4539" s="226" t="s">
        <v>524</v>
      </c>
    </row>
    <row r="4540" spans="1:4">
      <c r="A4540" s="226" t="s">
        <v>7010</v>
      </c>
      <c r="B4540" s="226">
        <v>511764</v>
      </c>
      <c r="C4540" s="226" t="s">
        <v>486</v>
      </c>
      <c r="D4540" s="226" t="s">
        <v>503</v>
      </c>
    </row>
    <row r="4541" spans="1:4">
      <c r="A4541" s="226" t="s">
        <v>7011</v>
      </c>
      <c r="B4541" s="226">
        <v>512070</v>
      </c>
      <c r="C4541" s="226" t="s">
        <v>7012</v>
      </c>
      <c r="D4541" s="226" t="s">
        <v>629</v>
      </c>
    </row>
    <row r="4542" spans="1:4">
      <c r="A4542" s="226" t="s">
        <v>7013</v>
      </c>
      <c r="B4542" s="226">
        <v>531390</v>
      </c>
      <c r="C4542" s="226" t="s">
        <v>486</v>
      </c>
      <c r="D4542" s="226" t="s">
        <v>503</v>
      </c>
    </row>
    <row r="4543" spans="1:4">
      <c r="A4543" s="226" t="s">
        <v>7014</v>
      </c>
      <c r="B4543" s="226" t="s">
        <v>486</v>
      </c>
      <c r="C4543" s="226" t="s">
        <v>7015</v>
      </c>
      <c r="D4543" s="226" t="s">
        <v>497</v>
      </c>
    </row>
    <row r="4544" spans="1:4">
      <c r="A4544" s="226" t="s">
        <v>7016</v>
      </c>
      <c r="B4544" s="226">
        <v>526987</v>
      </c>
      <c r="C4544" s="226" t="s">
        <v>7017</v>
      </c>
      <c r="D4544" s="226" t="s">
        <v>508</v>
      </c>
    </row>
    <row r="4545" spans="1:4">
      <c r="A4545" s="226" t="s">
        <v>7018</v>
      </c>
      <c r="B4545" s="226">
        <v>532402</v>
      </c>
      <c r="C4545" s="226" t="s">
        <v>486</v>
      </c>
      <c r="D4545" s="226" t="s">
        <v>579</v>
      </c>
    </row>
    <row r="4546" spans="1:4">
      <c r="A4546" s="226" t="s">
        <v>7019</v>
      </c>
      <c r="B4546" s="226">
        <v>532398</v>
      </c>
      <c r="C4546" s="226" t="s">
        <v>7020</v>
      </c>
      <c r="D4546" s="226" t="s">
        <v>579</v>
      </c>
    </row>
    <row r="4547" spans="1:4">
      <c r="A4547" s="226" t="s">
        <v>7021</v>
      </c>
      <c r="B4547" s="226">
        <v>517146</v>
      </c>
      <c r="C4547" s="226" t="s">
        <v>7022</v>
      </c>
      <c r="D4547" s="226" t="s">
        <v>808</v>
      </c>
    </row>
    <row r="4548" spans="1:4">
      <c r="A4548" s="226" t="s">
        <v>7023</v>
      </c>
      <c r="B4548" s="226">
        <v>511507</v>
      </c>
      <c r="C4548" s="226" t="s">
        <v>486</v>
      </c>
      <c r="D4548" s="226" t="s">
        <v>503</v>
      </c>
    </row>
    <row r="4549" spans="1:4">
      <c r="A4549" s="226" t="s">
        <v>7024</v>
      </c>
      <c r="B4549" s="226" t="s">
        <v>486</v>
      </c>
      <c r="C4549" s="226" t="s">
        <v>7025</v>
      </c>
      <c r="D4549" s="226" t="s">
        <v>497</v>
      </c>
    </row>
    <row r="4550" spans="1:4">
      <c r="A4550" s="226" t="s">
        <v>7026</v>
      </c>
      <c r="B4550" s="226">
        <v>511736</v>
      </c>
      <c r="C4550" s="226" t="s">
        <v>486</v>
      </c>
      <c r="D4550" s="226" t="s">
        <v>508</v>
      </c>
    </row>
    <row r="4551" spans="1:4">
      <c r="A4551" s="226" t="s">
        <v>7027</v>
      </c>
      <c r="B4551" s="226">
        <v>532765</v>
      </c>
      <c r="C4551" s="226" t="s">
        <v>7028</v>
      </c>
      <c r="D4551" s="226" t="s">
        <v>683</v>
      </c>
    </row>
    <row r="4552" spans="1:4">
      <c r="A4552" s="226" t="s">
        <v>7029</v>
      </c>
      <c r="B4552" s="226">
        <v>590101</v>
      </c>
      <c r="C4552" s="226" t="s">
        <v>7030</v>
      </c>
      <c r="D4552" s="226" t="s">
        <v>470</v>
      </c>
    </row>
    <row r="4553" spans="1:4">
      <c r="A4553" s="226" t="s">
        <v>7031</v>
      </c>
      <c r="B4553" s="226">
        <v>500426</v>
      </c>
      <c r="C4553" s="226" t="s">
        <v>486</v>
      </c>
      <c r="D4553" s="226" t="s">
        <v>572</v>
      </c>
    </row>
    <row r="4554" spans="1:4">
      <c r="A4554" s="226" t="s">
        <v>7032</v>
      </c>
      <c r="B4554" s="226">
        <v>513216</v>
      </c>
      <c r="C4554" s="226" t="s">
        <v>7033</v>
      </c>
      <c r="D4554" s="226" t="s">
        <v>518</v>
      </c>
    </row>
    <row r="4555" spans="1:4">
      <c r="A4555" s="226" t="s">
        <v>7034</v>
      </c>
      <c r="B4555" s="226">
        <v>532729</v>
      </c>
      <c r="C4555" s="226" t="s">
        <v>7035</v>
      </c>
      <c r="D4555" s="226" t="s">
        <v>1184</v>
      </c>
    </row>
    <row r="4556" spans="1:4">
      <c r="A4556" s="226" t="s">
        <v>7036</v>
      </c>
      <c r="B4556" s="226">
        <v>500254</v>
      </c>
      <c r="C4556" s="226" t="s">
        <v>7037</v>
      </c>
      <c r="D4556" s="226" t="s">
        <v>518</v>
      </c>
    </row>
    <row r="4557" spans="1:4">
      <c r="A4557" s="226" t="s">
        <v>7038</v>
      </c>
      <c r="B4557" s="226">
        <v>511110</v>
      </c>
      <c r="C4557" s="226" t="s">
        <v>486</v>
      </c>
      <c r="D4557" s="226" t="s">
        <v>470</v>
      </c>
    </row>
    <row r="4558" spans="1:4">
      <c r="A4558" s="226" t="s">
        <v>7039</v>
      </c>
      <c r="B4558" s="226">
        <v>539123</v>
      </c>
      <c r="C4558" s="226" t="s">
        <v>486</v>
      </c>
      <c r="D4558" s="226" t="s">
        <v>506</v>
      </c>
    </row>
    <row r="4559" spans="1:4">
      <c r="A4559" s="226" t="s">
        <v>7040</v>
      </c>
      <c r="B4559" s="226">
        <v>542654</v>
      </c>
      <c r="C4559" s="226" t="s">
        <v>7041</v>
      </c>
      <c r="D4559" s="226" t="s">
        <v>487</v>
      </c>
    </row>
    <row r="4560" spans="1:4">
      <c r="A4560" s="226" t="s">
        <v>7042</v>
      </c>
      <c r="B4560" s="226">
        <v>523888</v>
      </c>
      <c r="C4560" s="226" t="s">
        <v>486</v>
      </c>
      <c r="D4560" s="226" t="s">
        <v>965</v>
      </c>
    </row>
    <row r="4561" spans="1:4">
      <c r="A4561" s="226" t="s">
        <v>7043</v>
      </c>
      <c r="B4561" s="226">
        <v>531266</v>
      </c>
      <c r="C4561" s="226" t="s">
        <v>7044</v>
      </c>
      <c r="D4561" s="226" t="s">
        <v>564</v>
      </c>
    </row>
    <row r="4562" spans="1:4">
      <c r="A4562" s="226" t="s">
        <v>7045</v>
      </c>
      <c r="B4562" s="226">
        <v>532867</v>
      </c>
      <c r="C4562" s="226" t="s">
        <v>7046</v>
      </c>
      <c r="D4562" s="226" t="s">
        <v>654</v>
      </c>
    </row>
    <row r="4563" spans="1:4">
      <c r="A4563" s="226" t="s">
        <v>7047</v>
      </c>
      <c r="B4563" s="226">
        <v>533269</v>
      </c>
      <c r="C4563" s="226" t="s">
        <v>7048</v>
      </c>
      <c r="D4563" s="226" t="s">
        <v>511</v>
      </c>
    </row>
    <row r="4564" spans="1:4">
      <c r="A4564" s="226" t="s">
        <v>7049</v>
      </c>
      <c r="B4564" s="226">
        <v>532320</v>
      </c>
      <c r="C4564" s="226" t="s">
        <v>486</v>
      </c>
      <c r="D4564" s="226" t="s">
        <v>503</v>
      </c>
    </row>
    <row r="4565" spans="1:4">
      <c r="A4565" s="226" t="s">
        <v>7050</v>
      </c>
      <c r="B4565" s="226">
        <v>519152</v>
      </c>
      <c r="C4565" s="226" t="s">
        <v>486</v>
      </c>
      <c r="D4565" s="226" t="s">
        <v>508</v>
      </c>
    </row>
    <row r="4566" spans="1:4">
      <c r="A4566" s="226" t="s">
        <v>7051</v>
      </c>
      <c r="B4566" s="226">
        <v>519156</v>
      </c>
      <c r="C4566" s="226" t="s">
        <v>7052</v>
      </c>
      <c r="D4566" s="226" t="s">
        <v>546</v>
      </c>
    </row>
    <row r="4567" spans="1:4">
      <c r="A4567" s="226" t="s">
        <v>7053</v>
      </c>
      <c r="B4567" s="226" t="s">
        <v>486</v>
      </c>
      <c r="C4567" s="226" t="s">
        <v>7054</v>
      </c>
      <c r="D4567" s="226" t="s">
        <v>497</v>
      </c>
    </row>
    <row r="4568" spans="1:4">
      <c r="A4568" s="226" t="s">
        <v>7055</v>
      </c>
      <c r="B4568" s="226">
        <v>531676</v>
      </c>
      <c r="C4568" s="226" t="s">
        <v>486</v>
      </c>
      <c r="D4568" s="226" t="s">
        <v>546</v>
      </c>
    </row>
    <row r="4569" spans="1:4">
      <c r="A4569" s="226" t="s">
        <v>7056</v>
      </c>
      <c r="B4569" s="226">
        <v>532156</v>
      </c>
      <c r="C4569" s="226" t="s">
        <v>7057</v>
      </c>
      <c r="D4569" s="226" t="s">
        <v>599</v>
      </c>
    </row>
    <row r="4570" spans="1:4">
      <c r="A4570" s="226" t="s">
        <v>7058</v>
      </c>
      <c r="B4570" s="226" t="s">
        <v>486</v>
      </c>
      <c r="C4570" s="226" t="s">
        <v>7059</v>
      </c>
      <c r="D4570" s="226" t="s">
        <v>497</v>
      </c>
    </row>
    <row r="4571" spans="1:4">
      <c r="A4571" s="226" t="s">
        <v>7060</v>
      </c>
      <c r="B4571" s="226">
        <v>511431</v>
      </c>
      <c r="C4571" s="226" t="s">
        <v>7061</v>
      </c>
      <c r="D4571" s="226" t="s">
        <v>487</v>
      </c>
    </row>
    <row r="4572" spans="1:4">
      <c r="A4572" s="226" t="s">
        <v>7062</v>
      </c>
      <c r="B4572" s="226">
        <v>539402</v>
      </c>
      <c r="C4572" s="226" t="s">
        <v>486</v>
      </c>
      <c r="D4572" s="226" t="s">
        <v>683</v>
      </c>
    </row>
    <row r="4573" spans="1:4">
      <c r="A4573" s="226" t="s">
        <v>7063</v>
      </c>
      <c r="B4573" s="226">
        <v>526775</v>
      </c>
      <c r="C4573" s="226" t="s">
        <v>486</v>
      </c>
      <c r="D4573" s="226" t="s">
        <v>631</v>
      </c>
    </row>
    <row r="4574" spans="1:4">
      <c r="A4574" s="226" t="s">
        <v>7064</v>
      </c>
      <c r="B4574" s="226">
        <v>540145</v>
      </c>
      <c r="C4574" s="226" t="s">
        <v>486</v>
      </c>
      <c r="D4574" s="226" t="s">
        <v>524</v>
      </c>
    </row>
    <row r="4575" spans="1:4">
      <c r="A4575" s="226" t="s">
        <v>7065</v>
      </c>
      <c r="B4575" s="226">
        <v>530403</v>
      </c>
      <c r="C4575" s="226" t="s">
        <v>486</v>
      </c>
      <c r="D4575" s="226" t="s">
        <v>680</v>
      </c>
    </row>
    <row r="4576" spans="1:4">
      <c r="A4576" s="226" t="s">
        <v>7066</v>
      </c>
      <c r="B4576" s="226">
        <v>513397</v>
      </c>
      <c r="C4576" s="226" t="s">
        <v>486</v>
      </c>
      <c r="D4576" s="226" t="s">
        <v>808</v>
      </c>
    </row>
    <row r="4577" spans="1:4">
      <c r="A4577" s="226" t="s">
        <v>7067</v>
      </c>
      <c r="B4577" s="226">
        <v>539543</v>
      </c>
      <c r="C4577" s="226" t="s">
        <v>486</v>
      </c>
      <c r="D4577" s="226" t="s">
        <v>506</v>
      </c>
    </row>
    <row r="4578" spans="1:4">
      <c r="A4578" s="226" t="s">
        <v>7068</v>
      </c>
      <c r="B4578" s="226">
        <v>530459</v>
      </c>
      <c r="C4578" s="226" t="s">
        <v>486</v>
      </c>
      <c r="D4578" s="226" t="s">
        <v>501</v>
      </c>
    </row>
    <row r="4579" spans="1:4">
      <c r="A4579" s="226" t="s">
        <v>7069</v>
      </c>
      <c r="B4579" s="226">
        <v>512175</v>
      </c>
      <c r="C4579" s="226" t="s">
        <v>486</v>
      </c>
      <c r="D4579" s="226" t="s">
        <v>473</v>
      </c>
    </row>
    <row r="4580" spans="1:4">
      <c r="A4580" s="226" t="s">
        <v>7070</v>
      </c>
      <c r="B4580" s="226">
        <v>530369</v>
      </c>
      <c r="C4580" s="226" t="s">
        <v>486</v>
      </c>
      <c r="D4580" s="226" t="s">
        <v>965</v>
      </c>
    </row>
    <row r="4581" spans="1:4">
      <c r="A4581" s="226" t="s">
        <v>7071</v>
      </c>
      <c r="B4581" s="226">
        <v>532090</v>
      </c>
      <c r="C4581" s="226" t="s">
        <v>486</v>
      </c>
      <c r="D4581" s="226" t="s">
        <v>501</v>
      </c>
    </row>
    <row r="4582" spans="1:4">
      <c r="A4582" s="226" t="s">
        <v>7072</v>
      </c>
      <c r="B4582" s="226">
        <v>538918</v>
      </c>
      <c r="C4582" s="226" t="s">
        <v>486</v>
      </c>
      <c r="D4582" s="226" t="s">
        <v>503</v>
      </c>
    </row>
    <row r="4583" spans="1:4">
      <c r="A4583" s="226" t="s">
        <v>7073</v>
      </c>
      <c r="B4583" s="226">
        <v>540729</v>
      </c>
      <c r="C4583" s="226" t="s">
        <v>486</v>
      </c>
      <c r="D4583" s="226" t="s">
        <v>524</v>
      </c>
    </row>
    <row r="4584" spans="1:4">
      <c r="A4584" s="226" t="s">
        <v>7074</v>
      </c>
      <c r="B4584" s="226">
        <v>539761</v>
      </c>
      <c r="C4584" s="226" t="s">
        <v>486</v>
      </c>
      <c r="D4584" s="226" t="s">
        <v>349</v>
      </c>
    </row>
    <row r="4585" spans="1:4">
      <c r="A4585" s="226" t="s">
        <v>7075</v>
      </c>
      <c r="B4585" s="226">
        <v>502589</v>
      </c>
      <c r="C4585" s="226" t="s">
        <v>486</v>
      </c>
      <c r="D4585" s="226" t="s">
        <v>480</v>
      </c>
    </row>
    <row r="4586" spans="1:4">
      <c r="A4586" s="226" t="s">
        <v>7076</v>
      </c>
      <c r="B4586" s="226">
        <v>524796</v>
      </c>
      <c r="C4586" s="226" t="s">
        <v>486</v>
      </c>
      <c r="D4586" s="226" t="s">
        <v>524</v>
      </c>
    </row>
    <row r="4587" spans="1:4">
      <c r="A4587" s="226" t="s">
        <v>7077</v>
      </c>
      <c r="B4587" s="226" t="s">
        <v>486</v>
      </c>
      <c r="C4587" s="226" t="s">
        <v>7078</v>
      </c>
      <c r="D4587" s="226" t="s">
        <v>577</v>
      </c>
    </row>
    <row r="4588" spans="1:4">
      <c r="A4588" s="226" t="s">
        <v>7079</v>
      </c>
      <c r="B4588" s="226">
        <v>531444</v>
      </c>
      <c r="C4588" s="226" t="s">
        <v>486</v>
      </c>
      <c r="D4588" s="226" t="s">
        <v>499</v>
      </c>
    </row>
    <row r="4589" spans="1:4">
      <c r="A4589" s="226" t="s">
        <v>7080</v>
      </c>
      <c r="B4589" s="226">
        <v>500439</v>
      </c>
      <c r="C4589" s="226" t="s">
        <v>7081</v>
      </c>
      <c r="D4589" s="226" t="s">
        <v>503</v>
      </c>
    </row>
    <row r="4590" spans="1:4">
      <c r="A4590" s="226" t="s">
        <v>7082</v>
      </c>
      <c r="B4590" s="226">
        <v>513534</v>
      </c>
      <c r="C4590" s="226" t="s">
        <v>486</v>
      </c>
      <c r="D4590" s="226" t="s">
        <v>518</v>
      </c>
    </row>
    <row r="4591" spans="1:4">
      <c r="A4591" s="226" t="s">
        <v>7083</v>
      </c>
      <c r="B4591" s="226">
        <v>514175</v>
      </c>
      <c r="C4591" s="226" t="s">
        <v>7084</v>
      </c>
      <c r="D4591" s="226" t="s">
        <v>501</v>
      </c>
    </row>
    <row r="4592" spans="1:4">
      <c r="A4592" s="226" t="s">
        <v>7085</v>
      </c>
      <c r="B4592" s="226">
        <v>534392</v>
      </c>
      <c r="C4592" s="226" t="s">
        <v>7086</v>
      </c>
      <c r="D4592" s="226" t="s">
        <v>808</v>
      </c>
    </row>
    <row r="4593" spans="1:4">
      <c r="A4593" s="226" t="s">
        <v>7087</v>
      </c>
      <c r="B4593" s="226">
        <v>502986</v>
      </c>
      <c r="C4593" s="226" t="s">
        <v>7088</v>
      </c>
      <c r="D4593" s="226" t="s">
        <v>501</v>
      </c>
    </row>
    <row r="4594" spans="1:4">
      <c r="A4594" s="226" t="s">
        <v>7089</v>
      </c>
      <c r="B4594" s="226">
        <v>541578</v>
      </c>
      <c r="C4594" s="226" t="s">
        <v>7090</v>
      </c>
      <c r="D4594" s="226" t="s">
        <v>840</v>
      </c>
    </row>
    <row r="4595" spans="1:4">
      <c r="A4595" s="226" t="s">
        <v>7091</v>
      </c>
      <c r="B4595" s="226">
        <v>540180</v>
      </c>
      <c r="C4595" s="226" t="s">
        <v>7092</v>
      </c>
      <c r="D4595" s="226" t="s">
        <v>680</v>
      </c>
    </row>
    <row r="4596" spans="1:4">
      <c r="A4596" s="226" t="s">
        <v>7093</v>
      </c>
      <c r="B4596" s="226">
        <v>512511</v>
      </c>
      <c r="C4596" s="226" t="s">
        <v>486</v>
      </c>
      <c r="D4596" s="226" t="s">
        <v>906</v>
      </c>
    </row>
    <row r="4597" spans="1:4">
      <c r="A4597" s="226" t="s">
        <v>7094</v>
      </c>
      <c r="B4597" s="226">
        <v>531574</v>
      </c>
      <c r="C4597" s="226" t="s">
        <v>486</v>
      </c>
      <c r="D4597" s="226" t="s">
        <v>572</v>
      </c>
    </row>
    <row r="4598" spans="1:4">
      <c r="A4598" s="226" t="s">
        <v>7095</v>
      </c>
      <c r="B4598" s="226" t="s">
        <v>486</v>
      </c>
      <c r="C4598" s="226" t="s">
        <v>7096</v>
      </c>
      <c r="D4598" s="226" t="s">
        <v>497</v>
      </c>
    </row>
    <row r="4599" spans="1:4">
      <c r="A4599" s="226" t="s">
        <v>7097</v>
      </c>
      <c r="B4599" s="226">
        <v>533156</v>
      </c>
      <c r="C4599" s="226" t="s">
        <v>7098</v>
      </c>
      <c r="D4599" s="226" t="s">
        <v>572</v>
      </c>
    </row>
    <row r="4600" spans="1:4">
      <c r="A4600" s="226" t="s">
        <v>7099</v>
      </c>
      <c r="B4600" s="226">
        <v>538634</v>
      </c>
      <c r="C4600" s="226" t="s">
        <v>486</v>
      </c>
      <c r="D4600" s="226" t="s">
        <v>524</v>
      </c>
    </row>
    <row r="4601" spans="1:4">
      <c r="A4601" s="226" t="s">
        <v>7100</v>
      </c>
      <c r="B4601" s="226">
        <v>533576</v>
      </c>
      <c r="C4601" s="226" t="s">
        <v>7101</v>
      </c>
      <c r="D4601" s="226" t="s">
        <v>518</v>
      </c>
    </row>
    <row r="4602" spans="1:4">
      <c r="A4602" s="226" t="s">
        <v>7102</v>
      </c>
      <c r="B4602" s="226">
        <v>531650</v>
      </c>
      <c r="C4602" s="226" t="s">
        <v>486</v>
      </c>
      <c r="D4602" s="226" t="s">
        <v>906</v>
      </c>
    </row>
    <row r="4603" spans="1:4">
      <c r="A4603" s="226" t="s">
        <v>7103</v>
      </c>
      <c r="B4603" s="226">
        <v>513005</v>
      </c>
      <c r="C4603" s="226" t="s">
        <v>486</v>
      </c>
      <c r="D4603" s="226" t="s">
        <v>518</v>
      </c>
    </row>
    <row r="4604" spans="1:4">
      <c r="A4604" s="226" t="s">
        <v>7104</v>
      </c>
      <c r="B4604" s="226">
        <v>511493</v>
      </c>
      <c r="C4604" s="226" t="s">
        <v>486</v>
      </c>
      <c r="D4604" s="226" t="s">
        <v>503</v>
      </c>
    </row>
    <row r="4605" spans="1:4">
      <c r="A4605" s="226" t="s">
        <v>7105</v>
      </c>
      <c r="B4605" s="226">
        <v>536672</v>
      </c>
      <c r="C4605" s="226" t="s">
        <v>486</v>
      </c>
      <c r="D4605" s="226" t="s">
        <v>2110</v>
      </c>
    </row>
    <row r="4606" spans="1:4">
      <c r="A4606" s="226" t="s">
        <v>7106</v>
      </c>
      <c r="B4606" s="226">
        <v>500295</v>
      </c>
      <c r="C4606" s="226" t="s">
        <v>7107</v>
      </c>
      <c r="D4606" s="226" t="s">
        <v>2998</v>
      </c>
    </row>
    <row r="4607" spans="1:4">
      <c r="A4607" s="226" t="s">
        <v>7108</v>
      </c>
      <c r="B4607" s="226">
        <v>533056</v>
      </c>
      <c r="C4607" s="226" t="s">
        <v>486</v>
      </c>
      <c r="D4607" s="226" t="s">
        <v>492</v>
      </c>
    </row>
    <row r="4608" spans="1:4">
      <c r="A4608" s="226" t="s">
        <v>7109</v>
      </c>
      <c r="B4608" s="226">
        <v>522267</v>
      </c>
      <c r="C4608" s="226" t="s">
        <v>486</v>
      </c>
      <c r="D4608" s="226" t="s">
        <v>494</v>
      </c>
    </row>
    <row r="4609" spans="1:4">
      <c r="A4609" s="226" t="s">
        <v>7110</v>
      </c>
      <c r="B4609" s="226">
        <v>503657</v>
      </c>
      <c r="C4609" s="226" t="s">
        <v>486</v>
      </c>
      <c r="D4609" s="226" t="s">
        <v>624</v>
      </c>
    </row>
    <row r="4610" spans="1:4">
      <c r="A4610" s="226" t="s">
        <v>7111</v>
      </c>
      <c r="B4610" s="226">
        <v>542046</v>
      </c>
      <c r="C4610" s="226" t="s">
        <v>486</v>
      </c>
      <c r="D4610" s="226" t="s">
        <v>572</v>
      </c>
    </row>
    <row r="4611" spans="1:4">
      <c r="A4611" s="226" t="s">
        <v>7112</v>
      </c>
      <c r="B4611" s="226">
        <v>540252</v>
      </c>
      <c r="C4611" s="226" t="s">
        <v>486</v>
      </c>
      <c r="D4611" s="226" t="s">
        <v>599</v>
      </c>
    </row>
    <row r="4612" spans="1:4">
      <c r="A4612" s="226" t="s">
        <v>7113</v>
      </c>
      <c r="B4612" s="226">
        <v>511523</v>
      </c>
      <c r="C4612" s="226" t="s">
        <v>486</v>
      </c>
      <c r="D4612" s="226" t="s">
        <v>524</v>
      </c>
    </row>
    <row r="4613" spans="1:4">
      <c r="A4613" s="226" t="s">
        <v>7114</v>
      </c>
      <c r="B4613" s="226">
        <v>539132</v>
      </c>
      <c r="C4613" s="226" t="s">
        <v>486</v>
      </c>
      <c r="D4613" s="226" t="s">
        <v>734</v>
      </c>
    </row>
    <row r="4614" spans="1:4">
      <c r="A4614" s="226" t="s">
        <v>7115</v>
      </c>
      <c r="B4614" s="226">
        <v>526755</v>
      </c>
      <c r="C4614" s="226" t="s">
        <v>486</v>
      </c>
      <c r="D4614" s="226" t="s">
        <v>686</v>
      </c>
    </row>
    <row r="4615" spans="1:4">
      <c r="A4615" s="226" t="s">
        <v>7116</v>
      </c>
      <c r="B4615" s="226">
        <v>505232</v>
      </c>
      <c r="C4615" s="226" t="s">
        <v>486</v>
      </c>
      <c r="D4615" s="226" t="s">
        <v>840</v>
      </c>
    </row>
    <row r="4616" spans="1:4">
      <c r="A4616" s="226" t="s">
        <v>7117</v>
      </c>
      <c r="B4616" s="226">
        <v>523261</v>
      </c>
      <c r="C4616" s="226" t="s">
        <v>7118</v>
      </c>
      <c r="D4616" s="226" t="s">
        <v>546</v>
      </c>
    </row>
    <row r="4617" spans="1:4">
      <c r="A4617" s="226" t="s">
        <v>7119</v>
      </c>
      <c r="B4617" s="226">
        <v>523261</v>
      </c>
      <c r="C4617" s="226" t="s">
        <v>7118</v>
      </c>
      <c r="D4617" s="226" t="s">
        <v>546</v>
      </c>
    </row>
    <row r="4618" spans="1:4">
      <c r="A4618" s="226" t="s">
        <v>7120</v>
      </c>
      <c r="B4618" s="226">
        <v>524038</v>
      </c>
      <c r="C4618" s="226" t="s">
        <v>486</v>
      </c>
      <c r="D4618" s="226" t="s">
        <v>534</v>
      </c>
    </row>
    <row r="4619" spans="1:4">
      <c r="A4619" s="226" t="s">
        <v>7121</v>
      </c>
      <c r="B4619" s="226">
        <v>512060</v>
      </c>
      <c r="C4619" s="226" t="s">
        <v>7122</v>
      </c>
      <c r="D4619" s="226" t="s">
        <v>906</v>
      </c>
    </row>
    <row r="4620" spans="1:4">
      <c r="A4620" s="226" t="s">
        <v>7123</v>
      </c>
      <c r="B4620" s="226">
        <v>516098</v>
      </c>
      <c r="C4620" s="226" t="s">
        <v>486</v>
      </c>
      <c r="D4620" s="226" t="s">
        <v>501</v>
      </c>
    </row>
    <row r="4621" spans="1:4">
      <c r="A4621" s="226" t="s">
        <v>7124</v>
      </c>
      <c r="B4621" s="226">
        <v>526953</v>
      </c>
      <c r="C4621" s="226" t="s">
        <v>7125</v>
      </c>
      <c r="D4621" s="226" t="s">
        <v>524</v>
      </c>
    </row>
    <row r="4622" spans="1:4">
      <c r="A4622" s="226" t="s">
        <v>7126</v>
      </c>
      <c r="B4622" s="226" t="s">
        <v>486</v>
      </c>
      <c r="C4622" s="226" t="s">
        <v>7127</v>
      </c>
      <c r="D4622" s="226" t="s">
        <v>497</v>
      </c>
    </row>
    <row r="4623" spans="1:4">
      <c r="A4623" s="226" t="s">
        <v>7128</v>
      </c>
      <c r="B4623" s="226">
        <v>512229</v>
      </c>
      <c r="C4623" s="226" t="s">
        <v>486</v>
      </c>
      <c r="D4623" s="226" t="s">
        <v>508</v>
      </c>
    </row>
    <row r="4624" spans="1:4">
      <c r="A4624" s="226" t="s">
        <v>7129</v>
      </c>
      <c r="B4624" s="226">
        <v>512229</v>
      </c>
      <c r="C4624" s="226" t="s">
        <v>486</v>
      </c>
      <c r="D4624" s="226" t="s">
        <v>508</v>
      </c>
    </row>
    <row r="4625" spans="1:4">
      <c r="A4625" s="226" t="s">
        <v>7130</v>
      </c>
      <c r="B4625" s="226">
        <v>531695</v>
      </c>
      <c r="C4625" s="226" t="s">
        <v>486</v>
      </c>
      <c r="D4625" s="226" t="s">
        <v>489</v>
      </c>
    </row>
    <row r="4626" spans="1:4">
      <c r="A4626" s="226" t="s">
        <v>7131</v>
      </c>
      <c r="B4626" s="226">
        <v>531950</v>
      </c>
      <c r="C4626" s="226" t="s">
        <v>486</v>
      </c>
      <c r="D4626" s="226" t="s">
        <v>470</v>
      </c>
    </row>
    <row r="4627" spans="1:4">
      <c r="A4627" s="226" t="s">
        <v>7132</v>
      </c>
      <c r="B4627" s="226">
        <v>515099</v>
      </c>
      <c r="C4627" s="226" t="s">
        <v>486</v>
      </c>
      <c r="D4627" s="226" t="s">
        <v>1013</v>
      </c>
    </row>
    <row r="4628" spans="1:4">
      <c r="A4628" s="226" t="s">
        <v>7133</v>
      </c>
      <c r="B4628" s="226" t="s">
        <v>486</v>
      </c>
      <c r="C4628" s="226" t="s">
        <v>7134</v>
      </c>
      <c r="D4628" s="226" t="s">
        <v>497</v>
      </c>
    </row>
    <row r="4629" spans="1:4">
      <c r="A4629" s="226" t="s">
        <v>7135</v>
      </c>
      <c r="B4629" s="226">
        <v>520113</v>
      </c>
      <c r="C4629" s="226" t="s">
        <v>7136</v>
      </c>
      <c r="D4629" s="226" t="s">
        <v>670</v>
      </c>
    </row>
    <row r="4630" spans="1:4">
      <c r="A4630" s="226" t="s">
        <v>7137</v>
      </c>
      <c r="B4630" s="226">
        <v>520113</v>
      </c>
      <c r="C4630" s="226" t="s">
        <v>7136</v>
      </c>
      <c r="D4630" s="226" t="s">
        <v>670</v>
      </c>
    </row>
    <row r="4631" spans="1:4">
      <c r="A4631" s="226" t="s">
        <v>7138</v>
      </c>
      <c r="B4631" s="226">
        <v>539331</v>
      </c>
      <c r="C4631" s="226" t="s">
        <v>7139</v>
      </c>
      <c r="D4631" s="226" t="s">
        <v>783</v>
      </c>
    </row>
    <row r="4632" spans="1:4">
      <c r="A4632" s="226" t="s">
        <v>7140</v>
      </c>
      <c r="B4632" s="226">
        <v>532953</v>
      </c>
      <c r="C4632" s="226" t="s">
        <v>7141</v>
      </c>
      <c r="D4632" s="226" t="s">
        <v>783</v>
      </c>
    </row>
    <row r="4633" spans="1:4">
      <c r="A4633" s="226" t="s">
        <v>7142</v>
      </c>
      <c r="B4633" s="226">
        <v>537524</v>
      </c>
      <c r="C4633" s="226" t="s">
        <v>486</v>
      </c>
      <c r="D4633" s="226" t="s">
        <v>1529</v>
      </c>
    </row>
    <row r="4634" spans="1:4">
      <c r="A4634" s="226" t="s">
        <v>7143</v>
      </c>
      <c r="B4634" s="226">
        <v>538732</v>
      </c>
      <c r="C4634" s="226" t="s">
        <v>486</v>
      </c>
      <c r="D4634" s="226" t="s">
        <v>503</v>
      </c>
    </row>
    <row r="4635" spans="1:4">
      <c r="A4635" s="226" t="s">
        <v>7144</v>
      </c>
      <c r="B4635" s="226">
        <v>523796</v>
      </c>
      <c r="C4635" s="226" t="s">
        <v>7145</v>
      </c>
      <c r="D4635" s="226" t="s">
        <v>686</v>
      </c>
    </row>
    <row r="4636" spans="1:4">
      <c r="A4636" s="226" t="s">
        <v>7146</v>
      </c>
      <c r="B4636" s="226">
        <v>503349</v>
      </c>
      <c r="C4636" s="226" t="s">
        <v>486</v>
      </c>
      <c r="D4636" s="226" t="s">
        <v>501</v>
      </c>
    </row>
    <row r="4637" spans="1:4">
      <c r="A4637" s="226" t="s">
        <v>7147</v>
      </c>
      <c r="B4637" s="226">
        <v>531234</v>
      </c>
      <c r="C4637" s="226" t="s">
        <v>486</v>
      </c>
      <c r="D4637" s="226" t="s">
        <v>480</v>
      </c>
    </row>
    <row r="4638" spans="1:4">
      <c r="A4638" s="226" t="s">
        <v>7148</v>
      </c>
      <c r="B4638" s="226">
        <v>531234</v>
      </c>
      <c r="C4638" s="226" t="s">
        <v>486</v>
      </c>
      <c r="D4638" s="226" t="s">
        <v>480</v>
      </c>
    </row>
    <row r="4639" spans="1:4">
      <c r="A4639" s="226" t="s">
        <v>7149</v>
      </c>
      <c r="B4639" s="226">
        <v>511389</v>
      </c>
      <c r="C4639" s="226" t="s">
        <v>7150</v>
      </c>
      <c r="D4639" s="226" t="s">
        <v>854</v>
      </c>
    </row>
    <row r="4640" spans="1:4">
      <c r="A4640" s="226" t="s">
        <v>7151</v>
      </c>
      <c r="B4640" s="226">
        <v>531717</v>
      </c>
      <c r="C4640" s="226" t="s">
        <v>7152</v>
      </c>
      <c r="D4640" s="226" t="s">
        <v>645</v>
      </c>
    </row>
    <row r="4641" spans="1:4">
      <c r="A4641" s="226" t="s">
        <v>7153</v>
      </c>
      <c r="B4641" s="226">
        <v>539659</v>
      </c>
      <c r="C4641" s="226" t="s">
        <v>486</v>
      </c>
      <c r="D4641" s="226" t="s">
        <v>974</v>
      </c>
    </row>
    <row r="4642" spans="1:4">
      <c r="A4642" s="226" t="s">
        <v>7154</v>
      </c>
      <c r="B4642" s="226">
        <v>523724</v>
      </c>
      <c r="C4642" s="226" t="s">
        <v>7155</v>
      </c>
      <c r="D4642" s="226" t="s">
        <v>572</v>
      </c>
    </row>
    <row r="4643" spans="1:4">
      <c r="A4643" s="226" t="s">
        <v>7156</v>
      </c>
      <c r="B4643" s="226">
        <v>531069</v>
      </c>
      <c r="C4643" s="226" t="s">
        <v>486</v>
      </c>
      <c r="D4643" s="226" t="s">
        <v>734</v>
      </c>
    </row>
    <row r="4644" spans="1:4">
      <c r="A4644" s="226" t="s">
        <v>7157</v>
      </c>
      <c r="B4644" s="226">
        <v>530151</v>
      </c>
      <c r="C4644" s="226" t="s">
        <v>486</v>
      </c>
      <c r="D4644" s="226" t="s">
        <v>508</v>
      </c>
    </row>
    <row r="4645" spans="1:4">
      <c r="A4645" s="226" t="s">
        <v>7158</v>
      </c>
      <c r="B4645" s="226">
        <v>532401</v>
      </c>
      <c r="C4645" s="226" t="s">
        <v>7159</v>
      </c>
      <c r="D4645" s="226" t="s">
        <v>803</v>
      </c>
    </row>
    <row r="4646" spans="1:4">
      <c r="A4646" s="226" t="s">
        <v>7160</v>
      </c>
      <c r="B4646" s="226">
        <v>537820</v>
      </c>
      <c r="C4646" s="226" t="s">
        <v>7161</v>
      </c>
      <c r="D4646" s="226" t="s">
        <v>503</v>
      </c>
    </row>
    <row r="4647" spans="1:4">
      <c r="A4647" s="226" t="s">
        <v>7162</v>
      </c>
      <c r="B4647" s="226">
        <v>531334</v>
      </c>
      <c r="C4647" s="226" t="s">
        <v>486</v>
      </c>
      <c r="D4647" s="226" t="s">
        <v>906</v>
      </c>
    </row>
    <row r="4648" spans="1:4">
      <c r="A4648" s="226" t="s">
        <v>7163</v>
      </c>
      <c r="B4648" s="226">
        <v>530961</v>
      </c>
      <c r="C4648" s="226" t="s">
        <v>7164</v>
      </c>
      <c r="D4648" s="226" t="s">
        <v>645</v>
      </c>
    </row>
    <row r="4649" spans="1:4">
      <c r="A4649" s="226" t="s">
        <v>7165</v>
      </c>
      <c r="B4649" s="226">
        <v>542655</v>
      </c>
      <c r="C4649" s="226" t="s">
        <v>7166</v>
      </c>
      <c r="D4649" s="226" t="s">
        <v>851</v>
      </c>
    </row>
    <row r="4650" spans="1:4">
      <c r="A4650" s="226" t="s">
        <v>7167</v>
      </c>
      <c r="B4650" s="226">
        <v>531518</v>
      </c>
      <c r="C4650" s="226" t="s">
        <v>486</v>
      </c>
      <c r="D4650" s="226" t="s">
        <v>683</v>
      </c>
    </row>
    <row r="4651" spans="1:4">
      <c r="A4651" s="226" t="s">
        <v>7168</v>
      </c>
      <c r="B4651" s="226">
        <v>519307</v>
      </c>
      <c r="C4651" s="226" t="s">
        <v>486</v>
      </c>
      <c r="D4651" s="226" t="s">
        <v>645</v>
      </c>
    </row>
    <row r="4652" spans="1:4">
      <c r="A4652" s="226" t="s">
        <v>7169</v>
      </c>
      <c r="B4652" s="226">
        <v>530477</v>
      </c>
      <c r="C4652" s="226" t="s">
        <v>486</v>
      </c>
      <c r="D4652" s="226" t="s">
        <v>524</v>
      </c>
    </row>
    <row r="4653" spans="1:4">
      <c r="A4653" s="226" t="s">
        <v>7170</v>
      </c>
      <c r="B4653" s="226">
        <v>530477</v>
      </c>
      <c r="C4653" s="226" t="s">
        <v>486</v>
      </c>
      <c r="D4653" s="226" t="s">
        <v>524</v>
      </c>
    </row>
    <row r="4654" spans="1:4">
      <c r="A4654" s="226" t="s">
        <v>7171</v>
      </c>
      <c r="B4654" s="226">
        <v>506196</v>
      </c>
      <c r="C4654" s="226" t="s">
        <v>486</v>
      </c>
      <c r="D4654" s="226" t="s">
        <v>508</v>
      </c>
    </row>
    <row r="4655" spans="1:4">
      <c r="A4655" s="226" t="s">
        <v>7172</v>
      </c>
      <c r="B4655" s="226">
        <v>519373</v>
      </c>
      <c r="C4655" s="226" t="s">
        <v>7173</v>
      </c>
      <c r="D4655" s="226" t="s">
        <v>734</v>
      </c>
    </row>
    <row r="4656" spans="1:4">
      <c r="A4656" s="226" t="s">
        <v>7174</v>
      </c>
      <c r="B4656" s="226">
        <v>524394</v>
      </c>
      <c r="C4656" s="226" t="s">
        <v>7175</v>
      </c>
      <c r="D4656" s="226" t="s">
        <v>674</v>
      </c>
    </row>
    <row r="4657" spans="1:4">
      <c r="A4657" s="226" t="s">
        <v>7176</v>
      </c>
      <c r="B4657" s="226">
        <v>504380</v>
      </c>
      <c r="C4657" s="226" t="s">
        <v>486</v>
      </c>
      <c r="D4657" s="226" t="s">
        <v>508</v>
      </c>
    </row>
    <row r="4658" spans="1:4">
      <c r="A4658" s="226" t="s">
        <v>7177</v>
      </c>
      <c r="B4658" s="226">
        <v>524200</v>
      </c>
      <c r="C4658" s="226" t="s">
        <v>7178</v>
      </c>
      <c r="D4658" s="226" t="s">
        <v>534</v>
      </c>
    </row>
    <row r="4659" spans="1:4">
      <c r="A4659" s="226" t="s">
        <v>7179</v>
      </c>
      <c r="B4659" s="226">
        <v>534639</v>
      </c>
      <c r="C4659" s="226" t="s">
        <v>486</v>
      </c>
      <c r="D4659" s="226" t="s">
        <v>680</v>
      </c>
    </row>
    <row r="4660" spans="1:4">
      <c r="A4660" s="226" t="s">
        <v>7180</v>
      </c>
      <c r="B4660" s="226">
        <v>517015</v>
      </c>
      <c r="C4660" s="226" t="s">
        <v>7181</v>
      </c>
      <c r="D4660" s="226" t="s">
        <v>755</v>
      </c>
    </row>
    <row r="4661" spans="1:4">
      <c r="A4661" s="226" t="s">
        <v>7182</v>
      </c>
      <c r="B4661" s="226" t="s">
        <v>486</v>
      </c>
      <c r="C4661" s="226" t="s">
        <v>7183</v>
      </c>
      <c r="D4661" s="226" t="s">
        <v>497</v>
      </c>
    </row>
    <row r="4662" spans="1:4">
      <c r="A4662" s="226" t="s">
        <v>7184</v>
      </c>
      <c r="B4662" s="226">
        <v>531051</v>
      </c>
      <c r="C4662" s="226" t="s">
        <v>486</v>
      </c>
      <c r="D4662" s="226" t="s">
        <v>503</v>
      </c>
    </row>
    <row r="4663" spans="1:4">
      <c r="A4663" s="226" t="s">
        <v>7185</v>
      </c>
      <c r="B4663" s="226">
        <v>524129</v>
      </c>
      <c r="C4663" s="226" t="s">
        <v>7186</v>
      </c>
      <c r="D4663" s="226" t="s">
        <v>862</v>
      </c>
    </row>
    <row r="4664" spans="1:4">
      <c r="A4664" s="226" t="s">
        <v>7187</v>
      </c>
      <c r="B4664" s="226">
        <v>524129</v>
      </c>
      <c r="C4664" s="226" t="s">
        <v>7188</v>
      </c>
      <c r="D4664" s="226" t="s">
        <v>862</v>
      </c>
    </row>
    <row r="4665" spans="1:4">
      <c r="A4665" s="226" t="s">
        <v>7189</v>
      </c>
      <c r="B4665" s="226">
        <v>530401</v>
      </c>
      <c r="C4665" s="226" t="s">
        <v>486</v>
      </c>
      <c r="D4665" s="226" t="s">
        <v>534</v>
      </c>
    </row>
    <row r="4666" spans="1:4">
      <c r="A4666" s="226" t="s">
        <v>7190</v>
      </c>
      <c r="B4666" s="226">
        <v>532613</v>
      </c>
      <c r="C4666" s="226" t="s">
        <v>7191</v>
      </c>
      <c r="D4666" s="226" t="s">
        <v>508</v>
      </c>
    </row>
    <row r="4667" spans="1:4">
      <c r="A4667" s="226" t="s">
        <v>7192</v>
      </c>
      <c r="B4667" s="226">
        <v>507880</v>
      </c>
      <c r="C4667" s="226" t="s">
        <v>7193</v>
      </c>
      <c r="D4667" s="226" t="s">
        <v>599</v>
      </c>
    </row>
    <row r="4668" spans="1:4">
      <c r="A4668" s="226" t="s">
        <v>7194</v>
      </c>
      <c r="B4668" s="226">
        <v>514302</v>
      </c>
      <c r="C4668" s="226" t="s">
        <v>486</v>
      </c>
      <c r="D4668" s="226" t="s">
        <v>501</v>
      </c>
    </row>
    <row r="4669" spans="1:4">
      <c r="A4669" s="226" t="s">
        <v>7195</v>
      </c>
      <c r="B4669" s="226">
        <v>511726</v>
      </c>
      <c r="C4669" s="226" t="s">
        <v>7196</v>
      </c>
      <c r="D4669" s="226" t="s">
        <v>572</v>
      </c>
    </row>
    <row r="4670" spans="1:4">
      <c r="A4670" s="226" t="s">
        <v>7197</v>
      </c>
      <c r="B4670" s="226">
        <v>530627</v>
      </c>
      <c r="C4670" s="226" t="s">
        <v>486</v>
      </c>
      <c r="D4670" s="226" t="s">
        <v>645</v>
      </c>
    </row>
    <row r="4671" spans="1:4">
      <c r="A4671" s="226" t="s">
        <v>7198</v>
      </c>
      <c r="B4671" s="226">
        <v>519457</v>
      </c>
      <c r="C4671" s="226" t="s">
        <v>486</v>
      </c>
      <c r="D4671" s="226" t="s">
        <v>546</v>
      </c>
    </row>
    <row r="4672" spans="1:4">
      <c r="A4672" s="226" t="s">
        <v>7199</v>
      </c>
      <c r="B4672" s="226">
        <v>530521</v>
      </c>
      <c r="C4672" s="226" t="s">
        <v>486</v>
      </c>
      <c r="D4672" s="226" t="s">
        <v>599</v>
      </c>
    </row>
    <row r="4673" spans="1:4">
      <c r="A4673" s="226" t="s">
        <v>7200</v>
      </c>
      <c r="B4673" s="226">
        <v>539167</v>
      </c>
      <c r="C4673" s="226" t="s">
        <v>486</v>
      </c>
      <c r="D4673" s="226" t="s">
        <v>503</v>
      </c>
    </row>
    <row r="4674" spans="1:4">
      <c r="A4674" s="226" t="s">
        <v>7201</v>
      </c>
      <c r="B4674" s="226">
        <v>532354</v>
      </c>
      <c r="C4674" s="226" t="s">
        <v>486</v>
      </c>
      <c r="D4674" s="226" t="s">
        <v>579</v>
      </c>
    </row>
    <row r="4675" spans="1:4">
      <c r="A4675" s="226" t="s">
        <v>7202</v>
      </c>
      <c r="B4675" s="226">
        <v>532372</v>
      </c>
      <c r="C4675" s="226" t="s">
        <v>486</v>
      </c>
      <c r="D4675" s="226" t="s">
        <v>579</v>
      </c>
    </row>
    <row r="4676" spans="1:4">
      <c r="A4676" s="226" t="s">
        <v>7203</v>
      </c>
      <c r="B4676" s="226">
        <v>534741</v>
      </c>
      <c r="C4676" s="226" t="s">
        <v>486</v>
      </c>
      <c r="D4676" s="226" t="s">
        <v>349</v>
      </c>
    </row>
    <row r="4677" spans="1:4">
      <c r="A4677" s="226" t="s">
        <v>7204</v>
      </c>
      <c r="B4677" s="226">
        <v>531126</v>
      </c>
      <c r="C4677" s="226" t="s">
        <v>486</v>
      </c>
      <c r="D4677" s="226" t="s">
        <v>579</v>
      </c>
    </row>
    <row r="4678" spans="1:4">
      <c r="A4678" s="226" t="s">
        <v>7205</v>
      </c>
      <c r="B4678" s="226">
        <v>532721</v>
      </c>
      <c r="C4678" s="226" t="s">
        <v>7206</v>
      </c>
      <c r="D4678" s="226" t="s">
        <v>518</v>
      </c>
    </row>
    <row r="4679" spans="1:4">
      <c r="A4679" s="226" t="s">
        <v>7207</v>
      </c>
      <c r="B4679" s="226">
        <v>531025</v>
      </c>
      <c r="C4679" s="226" t="s">
        <v>486</v>
      </c>
      <c r="D4679" s="226" t="s">
        <v>470</v>
      </c>
    </row>
    <row r="4680" spans="1:4">
      <c r="A4680" s="226" t="s">
        <v>7208</v>
      </c>
      <c r="B4680" s="226">
        <v>506146</v>
      </c>
      <c r="C4680" s="226" t="s">
        <v>7209</v>
      </c>
      <c r="D4680" s="226" t="s">
        <v>501</v>
      </c>
    </row>
    <row r="4681" spans="1:4">
      <c r="A4681" s="226" t="s">
        <v>7210</v>
      </c>
      <c r="B4681" s="226">
        <v>509055</v>
      </c>
      <c r="C4681" s="226" t="s">
        <v>7211</v>
      </c>
      <c r="D4681" s="226" t="s">
        <v>499</v>
      </c>
    </row>
    <row r="4682" spans="1:4">
      <c r="A4682" s="226" t="s">
        <v>7212</v>
      </c>
      <c r="B4682" s="226">
        <v>540097</v>
      </c>
      <c r="C4682" s="226" t="s">
        <v>486</v>
      </c>
      <c r="D4682" s="226" t="s">
        <v>470</v>
      </c>
    </row>
    <row r="4683" spans="1:4">
      <c r="A4683" s="226" t="s">
        <v>7213</v>
      </c>
      <c r="B4683" s="226">
        <v>532411</v>
      </c>
      <c r="C4683" s="226" t="s">
        <v>7214</v>
      </c>
      <c r="D4683" s="226" t="s">
        <v>579</v>
      </c>
    </row>
    <row r="4684" spans="1:4">
      <c r="A4684" s="226" t="s">
        <v>7215</v>
      </c>
      <c r="B4684" s="226">
        <v>539398</v>
      </c>
      <c r="C4684" s="226" t="s">
        <v>486</v>
      </c>
      <c r="D4684" s="226" t="s">
        <v>494</v>
      </c>
    </row>
    <row r="4685" spans="1:4">
      <c r="A4685" s="226" t="s">
        <v>7216</v>
      </c>
      <c r="B4685" s="226">
        <v>538598</v>
      </c>
      <c r="C4685" s="226" t="s">
        <v>486</v>
      </c>
      <c r="D4685" s="226" t="s">
        <v>501</v>
      </c>
    </row>
    <row r="4686" spans="1:4">
      <c r="A4686" s="226" t="s">
        <v>7217</v>
      </c>
      <c r="B4686" s="226">
        <v>516072</v>
      </c>
      <c r="C4686" s="226" t="s">
        <v>7218</v>
      </c>
      <c r="D4686" s="226" t="s">
        <v>534</v>
      </c>
    </row>
    <row r="4687" spans="1:4">
      <c r="A4687" s="226" t="s">
        <v>7219</v>
      </c>
      <c r="B4687" s="226">
        <v>512064</v>
      </c>
      <c r="C4687" s="226" t="s">
        <v>7220</v>
      </c>
      <c r="D4687" s="226" t="s">
        <v>906</v>
      </c>
    </row>
    <row r="4688" spans="1:4">
      <c r="A4688" s="226" t="s">
        <v>7221</v>
      </c>
      <c r="B4688" s="226">
        <v>526441</v>
      </c>
      <c r="C4688" s="226" t="s">
        <v>486</v>
      </c>
      <c r="D4688" s="226" t="s">
        <v>2086</v>
      </c>
    </row>
    <row r="4689" spans="1:4">
      <c r="A4689" s="226" t="s">
        <v>7222</v>
      </c>
      <c r="B4689" s="226">
        <v>531668</v>
      </c>
      <c r="C4689" s="226" t="s">
        <v>486</v>
      </c>
      <c r="D4689" s="226" t="s">
        <v>489</v>
      </c>
    </row>
    <row r="4690" spans="1:4">
      <c r="A4690" s="226" t="s">
        <v>7223</v>
      </c>
      <c r="B4690" s="226">
        <v>524711</v>
      </c>
      <c r="C4690" s="226" t="s">
        <v>486</v>
      </c>
      <c r="D4690" s="226" t="s">
        <v>524</v>
      </c>
    </row>
    <row r="4691" spans="1:4">
      <c r="A4691" s="226" t="s">
        <v>7224</v>
      </c>
      <c r="B4691" s="226">
        <v>538565</v>
      </c>
      <c r="C4691" s="226" t="s">
        <v>486</v>
      </c>
      <c r="D4691" s="226" t="s">
        <v>503</v>
      </c>
    </row>
    <row r="4692" spans="1:4">
      <c r="A4692" s="226" t="s">
        <v>7225</v>
      </c>
      <c r="B4692" s="226">
        <v>540823</v>
      </c>
      <c r="C4692" s="226" t="s">
        <v>486</v>
      </c>
      <c r="D4692" s="226" t="s">
        <v>508</v>
      </c>
    </row>
    <row r="4693" spans="1:4">
      <c r="A4693" s="226" t="s">
        <v>7226</v>
      </c>
      <c r="B4693" s="226">
        <v>541735</v>
      </c>
      <c r="C4693" s="226" t="s">
        <v>486</v>
      </c>
      <c r="D4693" s="226" t="s">
        <v>883</v>
      </c>
    </row>
    <row r="4694" spans="1:4">
      <c r="A4694" s="226" t="s">
        <v>7227</v>
      </c>
      <c r="B4694" s="226">
        <v>530057</v>
      </c>
      <c r="C4694" s="226" t="s">
        <v>486</v>
      </c>
      <c r="D4694" s="226" t="s">
        <v>524</v>
      </c>
    </row>
    <row r="4695" spans="1:4">
      <c r="A4695" s="226" t="s">
        <v>7228</v>
      </c>
      <c r="B4695" s="226">
        <v>524576</v>
      </c>
      <c r="C4695" s="226" t="s">
        <v>486</v>
      </c>
      <c r="D4695" s="226" t="s">
        <v>534</v>
      </c>
    </row>
    <row r="4696" spans="1:4">
      <c r="A4696" s="226" t="s">
        <v>7229</v>
      </c>
      <c r="B4696" s="226">
        <v>532660</v>
      </c>
      <c r="C4696" s="226" t="s">
        <v>7230</v>
      </c>
      <c r="D4696" s="226" t="s">
        <v>524</v>
      </c>
    </row>
    <row r="4697" spans="1:4">
      <c r="A4697" s="226" t="s">
        <v>7231</v>
      </c>
      <c r="B4697" s="226">
        <v>511509</v>
      </c>
      <c r="C4697" s="226" t="s">
        <v>486</v>
      </c>
      <c r="D4697" s="226" t="s">
        <v>823</v>
      </c>
    </row>
    <row r="4698" spans="1:4">
      <c r="A4698" s="226" t="s">
        <v>7232</v>
      </c>
      <c r="B4698" s="226">
        <v>509026</v>
      </c>
      <c r="C4698" s="226" t="s">
        <v>486</v>
      </c>
      <c r="D4698" s="226" t="s">
        <v>349</v>
      </c>
    </row>
    <row r="4699" spans="1:4">
      <c r="A4699" s="226" t="s">
        <v>7233</v>
      </c>
      <c r="B4699" s="226">
        <v>536128</v>
      </c>
      <c r="C4699" s="226" t="s">
        <v>486</v>
      </c>
      <c r="D4699" s="226" t="s">
        <v>883</v>
      </c>
    </row>
    <row r="4700" spans="1:4">
      <c r="A4700" s="226" t="s">
        <v>7234</v>
      </c>
      <c r="B4700" s="226">
        <v>511333</v>
      </c>
      <c r="C4700" s="226" t="s">
        <v>7235</v>
      </c>
      <c r="D4700" s="226" t="s">
        <v>470</v>
      </c>
    </row>
    <row r="4701" spans="1:4">
      <c r="A4701" s="226" t="s">
        <v>7236</v>
      </c>
      <c r="B4701" s="226">
        <v>534976</v>
      </c>
      <c r="C4701" s="226" t="s">
        <v>7237</v>
      </c>
      <c r="D4701" s="226" t="s">
        <v>654</v>
      </c>
    </row>
    <row r="4702" spans="1:4">
      <c r="A4702" s="226" t="s">
        <v>7238</v>
      </c>
      <c r="B4702" s="226">
        <v>533427</v>
      </c>
      <c r="C4702" s="226" t="s">
        <v>486</v>
      </c>
      <c r="D4702" s="226" t="s">
        <v>621</v>
      </c>
    </row>
    <row r="4703" spans="1:4">
      <c r="A4703" s="226" t="s">
        <v>7239</v>
      </c>
      <c r="B4703" s="226">
        <v>539222</v>
      </c>
      <c r="C4703" s="226" t="s">
        <v>486</v>
      </c>
      <c r="D4703" s="226" t="s">
        <v>1486</v>
      </c>
    </row>
    <row r="4704" spans="1:4">
      <c r="A4704" s="226" t="s">
        <v>7240</v>
      </c>
      <c r="B4704" s="226">
        <v>532822</v>
      </c>
      <c r="C4704" s="226" t="s">
        <v>7241</v>
      </c>
      <c r="D4704" s="226" t="s">
        <v>1427</v>
      </c>
    </row>
    <row r="4705" spans="1:4">
      <c r="A4705" s="226" t="s">
        <v>7242</v>
      </c>
      <c r="B4705" s="226">
        <v>522122</v>
      </c>
      <c r="C4705" s="226" t="s">
        <v>486</v>
      </c>
      <c r="D4705" s="226" t="s">
        <v>501</v>
      </c>
    </row>
    <row r="4706" spans="1:4">
      <c r="A4706" s="226" t="s">
        <v>7243</v>
      </c>
      <c r="B4706" s="226">
        <v>522122</v>
      </c>
      <c r="C4706" s="226" t="s">
        <v>486</v>
      </c>
      <c r="D4706" s="226" t="s">
        <v>501</v>
      </c>
    </row>
    <row r="4707" spans="1:4">
      <c r="A4707" s="226" t="s">
        <v>7244</v>
      </c>
      <c r="B4707" s="226">
        <v>509038</v>
      </c>
      <c r="C4707" s="226" t="s">
        <v>486</v>
      </c>
      <c r="D4707" s="226" t="s">
        <v>503</v>
      </c>
    </row>
    <row r="4708" spans="1:4">
      <c r="A4708" s="226" t="s">
        <v>7245</v>
      </c>
      <c r="B4708" s="226">
        <v>532757</v>
      </c>
      <c r="C4708" s="226" t="s">
        <v>7246</v>
      </c>
      <c r="D4708" s="226" t="s">
        <v>529</v>
      </c>
    </row>
    <row r="4709" spans="1:4">
      <c r="A4709" s="226" t="s">
        <v>7247</v>
      </c>
      <c r="B4709" s="226">
        <v>500575</v>
      </c>
      <c r="C4709" s="226" t="s">
        <v>7248</v>
      </c>
      <c r="D4709" s="226" t="s">
        <v>854</v>
      </c>
    </row>
    <row r="4710" spans="1:4">
      <c r="A4710" s="226" t="s">
        <v>7249</v>
      </c>
      <c r="B4710" s="226">
        <v>512215</v>
      </c>
      <c r="C4710" s="226" t="s">
        <v>486</v>
      </c>
      <c r="D4710" s="226" t="s">
        <v>470</v>
      </c>
    </row>
    <row r="4711" spans="1:4">
      <c r="A4711" s="226" t="s">
        <v>7250</v>
      </c>
      <c r="B4711" s="226">
        <v>539118</v>
      </c>
      <c r="C4711" s="226" t="s">
        <v>7251</v>
      </c>
      <c r="D4711" s="226" t="s">
        <v>806</v>
      </c>
    </row>
    <row r="4712" spans="1:4">
      <c r="A4712" s="226" t="s">
        <v>7252</v>
      </c>
      <c r="B4712" s="226">
        <v>519331</v>
      </c>
      <c r="C4712" s="226" t="s">
        <v>486</v>
      </c>
      <c r="D4712" s="226" t="s">
        <v>883</v>
      </c>
    </row>
    <row r="4713" spans="1:4">
      <c r="A4713" s="226" t="s">
        <v>7253</v>
      </c>
      <c r="B4713" s="226">
        <v>509966</v>
      </c>
      <c r="C4713" s="226" t="s">
        <v>7254</v>
      </c>
      <c r="D4713" s="226" t="s">
        <v>2653</v>
      </c>
    </row>
    <row r="4714" spans="1:4">
      <c r="A4714" s="226" t="s">
        <v>7255</v>
      </c>
      <c r="B4714" s="226">
        <v>532893</v>
      </c>
      <c r="C4714" s="226" t="s">
        <v>486</v>
      </c>
      <c r="D4714" s="226" t="s">
        <v>501</v>
      </c>
    </row>
    <row r="4715" spans="1:4">
      <c r="A4715" s="226" t="s">
        <v>7256</v>
      </c>
      <c r="B4715" s="226">
        <v>517399</v>
      </c>
      <c r="C4715" s="226" t="s">
        <v>7257</v>
      </c>
      <c r="D4715" s="226" t="s">
        <v>854</v>
      </c>
    </row>
    <row r="4716" spans="1:4">
      <c r="A4716" s="226" t="s">
        <v>7258</v>
      </c>
      <c r="B4716" s="226">
        <v>506142</v>
      </c>
      <c r="C4716" s="226" t="s">
        <v>486</v>
      </c>
      <c r="D4716" s="226" t="s">
        <v>470</v>
      </c>
    </row>
    <row r="4717" spans="1:4">
      <c r="A4717" s="226" t="s">
        <v>7259</v>
      </c>
      <c r="B4717" s="226">
        <v>501391</v>
      </c>
      <c r="C4717" s="226" t="s">
        <v>486</v>
      </c>
      <c r="D4717" s="226" t="s">
        <v>508</v>
      </c>
    </row>
    <row r="4718" spans="1:4">
      <c r="A4718" s="226" t="s">
        <v>7260</v>
      </c>
      <c r="B4718" s="226">
        <v>504220</v>
      </c>
      <c r="C4718" s="226" t="s">
        <v>486</v>
      </c>
      <c r="D4718" s="226" t="s">
        <v>494</v>
      </c>
    </row>
    <row r="4719" spans="1:4">
      <c r="A4719" s="226" t="s">
        <v>7261</v>
      </c>
      <c r="B4719" s="226" t="s">
        <v>486</v>
      </c>
      <c r="C4719" s="226" t="s">
        <v>7262</v>
      </c>
      <c r="D4719" s="226" t="s">
        <v>577</v>
      </c>
    </row>
    <row r="4720" spans="1:4">
      <c r="A4720" s="226" t="s">
        <v>7263</v>
      </c>
      <c r="B4720" s="226">
        <v>504220</v>
      </c>
      <c r="C4720" s="226" t="s">
        <v>486</v>
      </c>
      <c r="D4720" s="226" t="s">
        <v>494</v>
      </c>
    </row>
    <row r="4721" spans="1:4">
      <c r="A4721" s="226" t="s">
        <v>7264</v>
      </c>
      <c r="B4721" s="226">
        <v>505583</v>
      </c>
      <c r="C4721" s="226" t="s">
        <v>486</v>
      </c>
      <c r="D4721" s="226" t="s">
        <v>572</v>
      </c>
    </row>
    <row r="4722" spans="1:4">
      <c r="A4722" s="226" t="s">
        <v>7265</v>
      </c>
      <c r="B4722" s="226">
        <v>541445</v>
      </c>
      <c r="C4722" s="226" t="s">
        <v>486</v>
      </c>
      <c r="D4722" s="226" t="s">
        <v>783</v>
      </c>
    </row>
    <row r="4723" spans="1:4">
      <c r="A4723" s="226" t="s">
        <v>7266</v>
      </c>
      <c r="B4723" s="226">
        <v>533023</v>
      </c>
      <c r="C4723" s="226" t="s">
        <v>7267</v>
      </c>
      <c r="D4723" s="226" t="s">
        <v>840</v>
      </c>
    </row>
    <row r="4724" spans="1:4">
      <c r="A4724" s="226" t="s">
        <v>7268</v>
      </c>
      <c r="B4724" s="226">
        <v>533023</v>
      </c>
      <c r="C4724" s="226" t="s">
        <v>7269</v>
      </c>
      <c r="D4724" s="226" t="s">
        <v>840</v>
      </c>
    </row>
    <row r="4725" spans="1:4">
      <c r="A4725" s="226" t="s">
        <v>7270</v>
      </c>
      <c r="B4725" s="226">
        <v>503675</v>
      </c>
      <c r="C4725" s="226" t="s">
        <v>486</v>
      </c>
      <c r="D4725" s="226" t="s">
        <v>906</v>
      </c>
    </row>
    <row r="4726" spans="1:4">
      <c r="A4726" s="226" t="s">
        <v>7271</v>
      </c>
      <c r="B4726" s="226">
        <v>501370</v>
      </c>
      <c r="C4726" s="226" t="s">
        <v>486</v>
      </c>
      <c r="D4726" s="226" t="s">
        <v>570</v>
      </c>
    </row>
    <row r="4727" spans="1:4">
      <c r="A4727" s="226" t="s">
        <v>7272</v>
      </c>
      <c r="B4727" s="226">
        <v>507410</v>
      </c>
      <c r="C4727" s="226" t="s">
        <v>7273</v>
      </c>
      <c r="D4727" s="226" t="s">
        <v>346</v>
      </c>
    </row>
    <row r="4728" spans="1:4">
      <c r="A4728" s="226" t="s">
        <v>7274</v>
      </c>
      <c r="B4728" s="226">
        <v>511147</v>
      </c>
      <c r="C4728" s="226" t="s">
        <v>486</v>
      </c>
      <c r="D4728" s="226" t="s">
        <v>503</v>
      </c>
    </row>
    <row r="4729" spans="1:4">
      <c r="A4729" s="226" t="s">
        <v>7275</v>
      </c>
      <c r="B4729" s="226">
        <v>532053</v>
      </c>
      <c r="C4729" s="226" t="s">
        <v>486</v>
      </c>
      <c r="D4729" s="226" t="s">
        <v>470</v>
      </c>
    </row>
    <row r="4730" spans="1:4">
      <c r="A4730" s="226" t="s">
        <v>7276</v>
      </c>
      <c r="B4730" s="226">
        <v>524212</v>
      </c>
      <c r="C4730" s="226" t="s">
        <v>7277</v>
      </c>
      <c r="D4730" s="226" t="s">
        <v>524</v>
      </c>
    </row>
    <row r="4731" spans="1:4">
      <c r="A4731" s="226" t="s">
        <v>7278</v>
      </c>
      <c r="B4731" s="226">
        <v>511690</v>
      </c>
      <c r="C4731" s="226" t="s">
        <v>486</v>
      </c>
      <c r="D4731" s="226" t="s">
        <v>503</v>
      </c>
    </row>
    <row r="4732" spans="1:4">
      <c r="A4732" s="226" t="s">
        <v>7279</v>
      </c>
      <c r="B4732" s="226">
        <v>508494</v>
      </c>
      <c r="C4732" s="226" t="s">
        <v>486</v>
      </c>
      <c r="D4732" s="226" t="s">
        <v>892</v>
      </c>
    </row>
    <row r="4733" spans="1:4">
      <c r="A4733" s="226" t="s">
        <v>7280</v>
      </c>
      <c r="B4733" s="226">
        <v>523660</v>
      </c>
      <c r="C4733" s="226" t="s">
        <v>486</v>
      </c>
      <c r="D4733" s="226" t="s">
        <v>566</v>
      </c>
    </row>
    <row r="4734" spans="1:4">
      <c r="A4734" s="226" t="s">
        <v>7281</v>
      </c>
      <c r="B4734" s="226" t="s">
        <v>486</v>
      </c>
      <c r="C4734" s="226" t="s">
        <v>7282</v>
      </c>
      <c r="D4734" s="226" t="s">
        <v>497</v>
      </c>
    </row>
    <row r="4735" spans="1:4">
      <c r="A4735" s="226" t="s">
        <v>7283</v>
      </c>
      <c r="B4735" s="226">
        <v>780016</v>
      </c>
      <c r="C4735" s="226" t="s">
        <v>486</v>
      </c>
      <c r="D4735" s="226" t="s">
        <v>577</v>
      </c>
    </row>
    <row r="4736" spans="1:4">
      <c r="A4736" s="226" t="s">
        <v>7284</v>
      </c>
      <c r="B4736" s="226">
        <v>517498</v>
      </c>
      <c r="C4736" s="226" t="s">
        <v>7285</v>
      </c>
      <c r="D4736" s="226" t="s">
        <v>783</v>
      </c>
    </row>
    <row r="4737" spans="1:4">
      <c r="A4737" s="226" t="s">
        <v>7286</v>
      </c>
      <c r="B4737" s="226">
        <v>511074</v>
      </c>
      <c r="C4737" s="226" t="s">
        <v>486</v>
      </c>
      <c r="D4737" s="226" t="s">
        <v>503</v>
      </c>
    </row>
    <row r="4738" spans="1:4">
      <c r="A4738" s="226" t="s">
        <v>7287</v>
      </c>
      <c r="B4738" s="226">
        <v>533452</v>
      </c>
      <c r="C4738" s="226" t="s">
        <v>7288</v>
      </c>
      <c r="D4738" s="226" t="s">
        <v>470</v>
      </c>
    </row>
    <row r="4739" spans="1:4">
      <c r="A4739" s="226" t="s">
        <v>7289</v>
      </c>
      <c r="B4739" s="226">
        <v>523011</v>
      </c>
      <c r="C4739" s="226" t="s">
        <v>7290</v>
      </c>
      <c r="D4739" s="226" t="s">
        <v>508</v>
      </c>
    </row>
    <row r="4740" spans="1:4">
      <c r="A4740" s="226" t="s">
        <v>7291</v>
      </c>
      <c r="B4740" s="226">
        <v>504988</v>
      </c>
      <c r="C4740" s="226" t="s">
        <v>486</v>
      </c>
      <c r="D4740" s="226" t="s">
        <v>1403</v>
      </c>
    </row>
    <row r="4741" spans="1:4">
      <c r="A4741" s="226" t="s">
        <v>7292</v>
      </c>
      <c r="B4741" s="226">
        <v>524661</v>
      </c>
      <c r="C4741" s="226" t="s">
        <v>486</v>
      </c>
      <c r="D4741" s="226" t="s">
        <v>524</v>
      </c>
    </row>
    <row r="4742" spans="1:4">
      <c r="A4742" s="226" t="s">
        <v>7293</v>
      </c>
      <c r="B4742" s="226">
        <v>532016</v>
      </c>
      <c r="C4742" s="226" t="s">
        <v>486</v>
      </c>
      <c r="D4742" s="226" t="s">
        <v>572</v>
      </c>
    </row>
    <row r="4743" spans="1:4">
      <c r="A4743" s="226" t="s">
        <v>7294</v>
      </c>
      <c r="B4743" s="226">
        <v>531211</v>
      </c>
      <c r="C4743" s="226" t="s">
        <v>486</v>
      </c>
      <c r="D4743" s="226" t="s">
        <v>470</v>
      </c>
    </row>
    <row r="4744" spans="1:4">
      <c r="A4744" s="226" t="s">
        <v>7295</v>
      </c>
      <c r="B4744" s="226">
        <v>514162</v>
      </c>
      <c r="C4744" s="226" t="s">
        <v>7296</v>
      </c>
      <c r="D4744" s="226" t="s">
        <v>501</v>
      </c>
    </row>
    <row r="4745" spans="1:4">
      <c r="A4745" s="226" t="s">
        <v>7297</v>
      </c>
      <c r="B4745" s="226">
        <v>532144</v>
      </c>
      <c r="C4745" s="226" t="s">
        <v>7298</v>
      </c>
      <c r="D4745" s="226" t="s">
        <v>883</v>
      </c>
    </row>
    <row r="4746" spans="1:4">
      <c r="A4746" s="226" t="s">
        <v>7299</v>
      </c>
      <c r="B4746" s="226">
        <v>532553</v>
      </c>
      <c r="C4746" s="226" t="s">
        <v>7300</v>
      </c>
      <c r="D4746" s="226" t="s">
        <v>883</v>
      </c>
    </row>
    <row r="4747" spans="1:4">
      <c r="A4747" s="226" t="s">
        <v>7301</v>
      </c>
      <c r="B4747" s="226">
        <v>514162</v>
      </c>
      <c r="C4747" s="226" t="s">
        <v>7296</v>
      </c>
      <c r="D4747" s="226" t="s">
        <v>501</v>
      </c>
    </row>
    <row r="4748" spans="1:4">
      <c r="A4748" s="226" t="s">
        <v>7302</v>
      </c>
      <c r="B4748" s="226">
        <v>533252</v>
      </c>
      <c r="C4748" s="226" t="s">
        <v>7303</v>
      </c>
      <c r="D4748" s="226" t="s">
        <v>470</v>
      </c>
    </row>
    <row r="4749" spans="1:4">
      <c r="A4749" s="226" t="s">
        <v>7304</v>
      </c>
      <c r="B4749" s="226">
        <v>526431</v>
      </c>
      <c r="C4749" s="226" t="s">
        <v>486</v>
      </c>
      <c r="D4749" s="226" t="s">
        <v>911</v>
      </c>
    </row>
    <row r="4750" spans="1:4">
      <c r="A4750" s="226" t="s">
        <v>7305</v>
      </c>
      <c r="B4750" s="226">
        <v>505412</v>
      </c>
      <c r="C4750" s="226" t="s">
        <v>7306</v>
      </c>
      <c r="D4750" s="226" t="s">
        <v>494</v>
      </c>
    </row>
    <row r="4751" spans="1:4">
      <c r="A4751" s="226" t="s">
        <v>7307</v>
      </c>
      <c r="B4751" s="226">
        <v>505412</v>
      </c>
      <c r="C4751" s="226" t="s">
        <v>7306</v>
      </c>
      <c r="D4751" s="226" t="s">
        <v>494</v>
      </c>
    </row>
    <row r="4752" spans="1:4">
      <c r="A4752" s="226" t="s">
        <v>7308</v>
      </c>
      <c r="B4752" s="226">
        <v>532373</v>
      </c>
      <c r="C4752" s="226" t="s">
        <v>486</v>
      </c>
      <c r="D4752" s="226" t="s">
        <v>508</v>
      </c>
    </row>
    <row r="4753" spans="1:4">
      <c r="A4753" s="226" t="s">
        <v>7309</v>
      </c>
      <c r="B4753" s="226">
        <v>500444</v>
      </c>
      <c r="C4753" s="226" t="s">
        <v>7310</v>
      </c>
      <c r="D4753" s="226" t="s">
        <v>480</v>
      </c>
    </row>
    <row r="4754" spans="1:4">
      <c r="A4754" s="226" t="s">
        <v>7311</v>
      </c>
      <c r="B4754" s="226">
        <v>538382</v>
      </c>
      <c r="C4754" s="226" t="s">
        <v>486</v>
      </c>
      <c r="D4754" s="226" t="s">
        <v>508</v>
      </c>
    </row>
    <row r="4755" spans="1:4">
      <c r="A4755" s="226" t="s">
        <v>7312</v>
      </c>
      <c r="B4755" s="226">
        <v>504998</v>
      </c>
      <c r="C4755" s="226" t="s">
        <v>486</v>
      </c>
      <c r="D4755" s="226" t="s">
        <v>518</v>
      </c>
    </row>
    <row r="4756" spans="1:4">
      <c r="A4756" s="226" t="s">
        <v>7313</v>
      </c>
      <c r="B4756" s="226">
        <v>505533</v>
      </c>
      <c r="C4756" s="226" t="s">
        <v>486</v>
      </c>
      <c r="D4756" s="226" t="s">
        <v>974</v>
      </c>
    </row>
    <row r="4757" spans="1:4">
      <c r="A4757" s="226" t="s">
        <v>7314</v>
      </c>
      <c r="B4757" s="226">
        <v>590073</v>
      </c>
      <c r="C4757" s="226" t="s">
        <v>7315</v>
      </c>
      <c r="D4757" s="226" t="s">
        <v>840</v>
      </c>
    </row>
    <row r="4758" spans="1:4">
      <c r="A4758" s="226" t="s">
        <v>7316</v>
      </c>
      <c r="B4758" s="226">
        <v>590073</v>
      </c>
      <c r="C4758" s="226" t="s">
        <v>7315</v>
      </c>
      <c r="D4758" s="226" t="s">
        <v>840</v>
      </c>
    </row>
    <row r="4759" spans="1:4">
      <c r="A4759" s="226" t="s">
        <v>7317</v>
      </c>
      <c r="B4759" s="226">
        <v>500238</v>
      </c>
      <c r="C4759" s="226" t="s">
        <v>7318</v>
      </c>
      <c r="D4759" s="226" t="s">
        <v>854</v>
      </c>
    </row>
    <row r="4760" spans="1:4">
      <c r="A4760" s="226" t="s">
        <v>7319</v>
      </c>
      <c r="B4760" s="226">
        <v>500238</v>
      </c>
      <c r="C4760" s="226" t="s">
        <v>7318</v>
      </c>
      <c r="D4760" s="226" t="s">
        <v>854</v>
      </c>
    </row>
    <row r="4761" spans="1:4">
      <c r="A4761" s="226" t="s">
        <v>7320</v>
      </c>
      <c r="B4761" s="226">
        <v>513713</v>
      </c>
      <c r="C4761" s="226" t="s">
        <v>486</v>
      </c>
      <c r="D4761" s="226" t="s">
        <v>599</v>
      </c>
    </row>
    <row r="4762" spans="1:4">
      <c r="A4762" s="226" t="s">
        <v>7321</v>
      </c>
      <c r="B4762" s="226">
        <v>542667</v>
      </c>
      <c r="C4762" s="226" t="s">
        <v>7322</v>
      </c>
      <c r="D4762" s="226" t="s">
        <v>851</v>
      </c>
    </row>
    <row r="4763" spans="1:4">
      <c r="A4763" s="226" t="s">
        <v>7323</v>
      </c>
      <c r="B4763" s="226">
        <v>519214</v>
      </c>
      <c r="C4763" s="226" t="s">
        <v>486</v>
      </c>
      <c r="D4763" s="226" t="s">
        <v>503</v>
      </c>
    </row>
    <row r="4764" spans="1:4">
      <c r="A4764" s="226" t="s">
        <v>7324</v>
      </c>
      <c r="B4764" s="226">
        <v>519224</v>
      </c>
      <c r="C4764" s="226" t="s">
        <v>7325</v>
      </c>
      <c r="D4764" s="226" t="s">
        <v>508</v>
      </c>
    </row>
    <row r="4765" spans="1:4">
      <c r="A4765" s="226" t="s">
        <v>7326</v>
      </c>
      <c r="B4765" s="226">
        <v>526586</v>
      </c>
      <c r="C4765" s="226" t="s">
        <v>486</v>
      </c>
      <c r="D4765" s="226" t="s">
        <v>605</v>
      </c>
    </row>
    <row r="4766" spans="1:4">
      <c r="A4766" s="226" t="s">
        <v>7327</v>
      </c>
      <c r="B4766" s="226">
        <v>522029</v>
      </c>
      <c r="C4766" s="226" t="s">
        <v>7328</v>
      </c>
      <c r="D4766" s="226" t="s">
        <v>494</v>
      </c>
    </row>
    <row r="4767" spans="1:4">
      <c r="A4767" s="226" t="s">
        <v>7329</v>
      </c>
      <c r="B4767" s="226">
        <v>512022</v>
      </c>
      <c r="C4767" s="226" t="s">
        <v>486</v>
      </c>
      <c r="D4767" s="226" t="s">
        <v>470</v>
      </c>
    </row>
    <row r="4768" spans="1:4">
      <c r="A4768" s="226" t="s">
        <v>7330</v>
      </c>
      <c r="B4768" s="226">
        <v>512022</v>
      </c>
      <c r="C4768" s="226" t="s">
        <v>486</v>
      </c>
      <c r="D4768" s="226" t="s">
        <v>470</v>
      </c>
    </row>
    <row r="4769" spans="1:4">
      <c r="A4769" s="226" t="s">
        <v>7331</v>
      </c>
      <c r="B4769" s="226">
        <v>526471</v>
      </c>
      <c r="C4769" s="226" t="s">
        <v>486</v>
      </c>
      <c r="D4769" s="226" t="s">
        <v>1117</v>
      </c>
    </row>
    <row r="4770" spans="1:4">
      <c r="A4770" s="226" t="s">
        <v>7332</v>
      </c>
      <c r="B4770" s="226">
        <v>514470</v>
      </c>
      <c r="C4770" s="226" t="s">
        <v>486</v>
      </c>
      <c r="D4770" s="226" t="s">
        <v>501</v>
      </c>
    </row>
    <row r="4771" spans="1:4">
      <c r="A4771" s="226" t="s">
        <v>7333</v>
      </c>
      <c r="B4771" s="226">
        <v>514348</v>
      </c>
      <c r="C4771" s="226" t="s">
        <v>7334</v>
      </c>
      <c r="D4771" s="226" t="s">
        <v>501</v>
      </c>
    </row>
    <row r="4772" spans="1:4">
      <c r="A4772" s="226" t="s">
        <v>7335</v>
      </c>
      <c r="B4772" s="226">
        <v>524758</v>
      </c>
      <c r="C4772" s="226" t="s">
        <v>486</v>
      </c>
      <c r="D4772" s="226" t="s">
        <v>524</v>
      </c>
    </row>
    <row r="4773" spans="1:4">
      <c r="A4773" s="226" t="s">
        <v>7336</v>
      </c>
      <c r="B4773" s="226">
        <v>538873</v>
      </c>
      <c r="C4773" s="226" t="s">
        <v>486</v>
      </c>
      <c r="D4773" s="226" t="s">
        <v>503</v>
      </c>
    </row>
    <row r="4774" spans="1:4">
      <c r="A4774" s="226" t="s">
        <v>7337</v>
      </c>
      <c r="B4774" s="226">
        <v>507685</v>
      </c>
      <c r="C4774" s="226" t="s">
        <v>7338</v>
      </c>
      <c r="D4774" s="226" t="s">
        <v>473</v>
      </c>
    </row>
    <row r="4775" spans="1:4">
      <c r="A4775" s="226" t="s">
        <v>7339</v>
      </c>
      <c r="B4775" s="226">
        <v>507817</v>
      </c>
      <c r="C4775" s="226" t="s">
        <v>486</v>
      </c>
      <c r="D4775" s="226" t="s">
        <v>501</v>
      </c>
    </row>
    <row r="4776" spans="1:4">
      <c r="A4776" s="226" t="s">
        <v>7340</v>
      </c>
      <c r="B4776" s="226">
        <v>511642</v>
      </c>
      <c r="C4776" s="226" t="s">
        <v>486</v>
      </c>
      <c r="D4776" s="226" t="s">
        <v>503</v>
      </c>
    </row>
    <row r="4777" spans="1:4">
      <c r="A4777" s="226" t="s">
        <v>7341</v>
      </c>
      <c r="B4777" s="226">
        <v>532300</v>
      </c>
      <c r="C4777" s="226" t="s">
        <v>7342</v>
      </c>
      <c r="D4777" s="226" t="s">
        <v>524</v>
      </c>
    </row>
    <row r="4778" spans="1:4">
      <c r="A4778" s="226" t="s">
        <v>7343</v>
      </c>
      <c r="B4778" s="226">
        <v>531396</v>
      </c>
      <c r="C4778" s="226" t="s">
        <v>486</v>
      </c>
      <c r="D4778" s="226" t="s">
        <v>579</v>
      </c>
    </row>
    <row r="4779" spans="1:4">
      <c r="A4779" s="226" t="s">
        <v>7344</v>
      </c>
      <c r="B4779" s="226">
        <v>538128</v>
      </c>
      <c r="C4779" s="226" t="s">
        <v>486</v>
      </c>
      <c r="D4779" s="226" t="s">
        <v>599</v>
      </c>
    </row>
    <row r="4780" spans="1:4">
      <c r="A4780" s="226" t="s">
        <v>7345</v>
      </c>
      <c r="B4780" s="226">
        <v>538268</v>
      </c>
      <c r="C4780" s="226" t="s">
        <v>7346</v>
      </c>
      <c r="D4780" s="226" t="s">
        <v>663</v>
      </c>
    </row>
    <row r="4781" spans="1:4">
      <c r="A4781" s="226" t="s">
        <v>7347</v>
      </c>
      <c r="B4781" s="226">
        <v>526959</v>
      </c>
      <c r="C4781" s="226" t="s">
        <v>486</v>
      </c>
      <c r="D4781" s="226" t="s">
        <v>686</v>
      </c>
    </row>
    <row r="4782" spans="1:4">
      <c r="A4782" s="226" t="s">
        <v>7348</v>
      </c>
      <c r="B4782" s="226">
        <v>526525</v>
      </c>
      <c r="C4782" s="226" t="s">
        <v>486</v>
      </c>
      <c r="D4782" s="226" t="s">
        <v>599</v>
      </c>
    </row>
    <row r="4783" spans="1:4">
      <c r="A4783" s="226" t="s">
        <v>7349</v>
      </c>
      <c r="B4783" s="226">
        <v>538451</v>
      </c>
      <c r="C4783" s="226" t="s">
        <v>486</v>
      </c>
      <c r="D4783" s="226" t="s">
        <v>506</v>
      </c>
    </row>
    <row r="4784" spans="1:4">
      <c r="A4784" s="226" t="s">
        <v>7350</v>
      </c>
      <c r="B4784" s="226" t="s">
        <v>486</v>
      </c>
      <c r="C4784" s="226" t="s">
        <v>7351</v>
      </c>
      <c r="D4784" s="226" t="s">
        <v>497</v>
      </c>
    </row>
    <row r="4785" spans="1:4">
      <c r="A4785" s="226" t="s">
        <v>7352</v>
      </c>
      <c r="B4785" s="226">
        <v>505872</v>
      </c>
      <c r="C4785" s="226" t="s">
        <v>486</v>
      </c>
      <c r="D4785" s="226" t="s">
        <v>494</v>
      </c>
    </row>
    <row r="4786" spans="1:4">
      <c r="A4786" s="226" t="s">
        <v>7353</v>
      </c>
      <c r="B4786" s="226">
        <v>532616</v>
      </c>
      <c r="C4786" s="226" t="s">
        <v>7354</v>
      </c>
      <c r="D4786" s="226" t="s">
        <v>815</v>
      </c>
    </row>
    <row r="4787" spans="1:4">
      <c r="A4787" s="226" t="s">
        <v>7355</v>
      </c>
      <c r="B4787" s="226">
        <v>542367</v>
      </c>
      <c r="C4787" s="226" t="s">
        <v>7356</v>
      </c>
      <c r="D4787" s="226" t="s">
        <v>5607</v>
      </c>
    </row>
    <row r="4788" spans="1:4">
      <c r="A4788" s="226" t="s">
        <v>7357</v>
      </c>
      <c r="B4788" s="226">
        <v>532788</v>
      </c>
      <c r="C4788" s="226" t="s">
        <v>7358</v>
      </c>
      <c r="D4788" s="226" t="s">
        <v>631</v>
      </c>
    </row>
    <row r="4789" spans="1:4">
      <c r="A4789" s="226" t="s">
        <v>7359</v>
      </c>
      <c r="B4789" s="226">
        <v>590013</v>
      </c>
      <c r="C4789" s="226" t="s">
        <v>7360</v>
      </c>
      <c r="D4789" s="226" t="s">
        <v>534</v>
      </c>
    </row>
    <row r="4790" spans="1:4">
      <c r="A4790" s="226" t="s">
        <v>7361</v>
      </c>
      <c r="B4790" s="226">
        <v>590013</v>
      </c>
      <c r="C4790" s="226" t="s">
        <v>7362</v>
      </c>
      <c r="D4790" s="226" t="s">
        <v>534</v>
      </c>
    </row>
    <row r="4791" spans="1:4">
      <c r="A4791" s="226" t="s">
        <v>7363</v>
      </c>
      <c r="B4791" s="226">
        <v>511012</v>
      </c>
      <c r="C4791" s="226" t="s">
        <v>486</v>
      </c>
      <c r="D4791" s="226" t="s">
        <v>506</v>
      </c>
    </row>
    <row r="4792" spans="1:4">
      <c r="A4792" s="226" t="s">
        <v>7364</v>
      </c>
      <c r="B4792" s="226">
        <v>514378</v>
      </c>
      <c r="C4792" s="226" t="s">
        <v>486</v>
      </c>
      <c r="D4792" s="226" t="s">
        <v>508</v>
      </c>
    </row>
    <row r="4793" spans="1:4">
      <c r="A4793" s="226" t="s">
        <v>7365</v>
      </c>
      <c r="B4793" s="226">
        <v>539939</v>
      </c>
      <c r="C4793" s="226" t="s">
        <v>486</v>
      </c>
      <c r="D4793" s="226" t="s">
        <v>645</v>
      </c>
    </row>
    <row r="4794" spans="1:4">
      <c r="A4794" s="226" t="s">
        <v>7366</v>
      </c>
      <c r="B4794" s="226">
        <v>511601</v>
      </c>
      <c r="C4794" s="226" t="s">
        <v>486</v>
      </c>
      <c r="D4794" s="226" t="s">
        <v>508</v>
      </c>
    </row>
    <row r="4795" spans="1:4">
      <c r="A4795" s="226" t="s">
        <v>7367</v>
      </c>
      <c r="B4795" s="226">
        <v>516030</v>
      </c>
      <c r="C4795" s="226" t="s">
        <v>486</v>
      </c>
      <c r="D4795" s="226" t="s">
        <v>480</v>
      </c>
    </row>
    <row r="4796" spans="1:4">
      <c r="A4796" s="226" t="s">
        <v>7368</v>
      </c>
      <c r="B4796" s="226">
        <v>541167</v>
      </c>
      <c r="C4796" s="226" t="s">
        <v>486</v>
      </c>
      <c r="D4796" s="226" t="s">
        <v>645</v>
      </c>
    </row>
    <row r="4797" spans="1:4">
      <c r="A4797" s="226" t="s">
        <v>7369</v>
      </c>
      <c r="B4797" s="226">
        <v>530063</v>
      </c>
      <c r="C4797" s="226" t="s">
        <v>486</v>
      </c>
      <c r="D4797" s="226" t="s">
        <v>680</v>
      </c>
    </row>
    <row r="4798" spans="1:4">
      <c r="A4798" s="226" t="s">
        <v>7370</v>
      </c>
      <c r="B4798" s="226">
        <v>532648</v>
      </c>
      <c r="C4798" s="226" t="s">
        <v>7371</v>
      </c>
      <c r="D4798" s="226" t="s">
        <v>803</v>
      </c>
    </row>
    <row r="4799" spans="1:4">
      <c r="A4799" s="226" t="s">
        <v>7372</v>
      </c>
      <c r="B4799" s="226">
        <v>531260</v>
      </c>
      <c r="C4799" s="226" t="s">
        <v>486</v>
      </c>
      <c r="D4799" s="226" t="s">
        <v>546</v>
      </c>
    </row>
    <row r="4800" spans="1:4">
      <c r="A4800" s="226" t="s">
        <v>7373</v>
      </c>
      <c r="B4800" s="226">
        <v>522209</v>
      </c>
      <c r="C4800" s="226" t="s">
        <v>486</v>
      </c>
      <c r="D4800" s="226" t="s">
        <v>470</v>
      </c>
    </row>
    <row r="4801" spans="1:4">
      <c r="A4801" s="226" t="s">
        <v>7374</v>
      </c>
      <c r="B4801" s="226">
        <v>522209</v>
      </c>
      <c r="C4801" s="226" t="s">
        <v>486</v>
      </c>
      <c r="D4801" s="226" t="s">
        <v>470</v>
      </c>
    </row>
    <row r="4802" spans="1:4">
      <c r="A4802" s="226" t="s">
        <v>7375</v>
      </c>
      <c r="B4802" s="226">
        <v>539097</v>
      </c>
      <c r="C4802" s="226" t="s">
        <v>486</v>
      </c>
      <c r="D4802" s="226" t="s">
        <v>508</v>
      </c>
    </row>
    <row r="4803" spans="1:4">
      <c r="A4803" s="226" t="s">
        <v>7376</v>
      </c>
      <c r="B4803" s="226">
        <v>530675</v>
      </c>
      <c r="C4803" s="226" t="s">
        <v>486</v>
      </c>
      <c r="D4803" s="226" t="s">
        <v>599</v>
      </c>
    </row>
    <row r="4804" spans="1:4">
      <c r="A4804" s="226" t="s">
        <v>7377</v>
      </c>
      <c r="B4804" s="226">
        <v>540550</v>
      </c>
      <c r="C4804" s="226" t="s">
        <v>486</v>
      </c>
      <c r="D4804" s="226" t="s">
        <v>645</v>
      </c>
    </row>
    <row r="4805" spans="1:4">
      <c r="A4805" s="226" t="s">
        <v>7378</v>
      </c>
      <c r="B4805" s="226">
        <v>522108</v>
      </c>
      <c r="C4805" s="226" t="s">
        <v>486</v>
      </c>
      <c r="D4805" s="226" t="s">
        <v>840</v>
      </c>
    </row>
    <row r="4806" spans="1:4">
      <c r="A4806" s="226" t="s">
        <v>7379</v>
      </c>
      <c r="B4806" s="226">
        <v>522108</v>
      </c>
      <c r="C4806" s="226" t="s">
        <v>486</v>
      </c>
      <c r="D4806" s="226" t="s">
        <v>840</v>
      </c>
    </row>
    <row r="4807" spans="1:4">
      <c r="A4807" s="226" t="s">
        <v>7380</v>
      </c>
      <c r="B4807" s="226">
        <v>536846</v>
      </c>
      <c r="C4807" s="226" t="s">
        <v>486</v>
      </c>
      <c r="D4807" s="226" t="s">
        <v>883</v>
      </c>
    </row>
    <row r="4808" spans="1:4">
      <c r="A4808" s="226" t="s">
        <v>7381</v>
      </c>
      <c r="B4808" s="226">
        <v>531663</v>
      </c>
      <c r="C4808" s="226" t="s">
        <v>7382</v>
      </c>
      <c r="D4808" s="226" t="s">
        <v>368</v>
      </c>
    </row>
    <row r="4809" spans="1:4">
      <c r="A4809" s="226" t="s">
        <v>7383</v>
      </c>
      <c r="B4809" s="226">
        <v>505163</v>
      </c>
      <c r="C4809" s="226" t="s">
        <v>486</v>
      </c>
      <c r="D4809" s="226" t="s">
        <v>840</v>
      </c>
    </row>
    <row r="4810" spans="1:4">
      <c r="A4810" s="226" t="s">
        <v>7384</v>
      </c>
      <c r="B4810" s="226">
        <v>505163</v>
      </c>
      <c r="C4810" s="226" t="s">
        <v>486</v>
      </c>
      <c r="D4810" s="226" t="s">
        <v>840</v>
      </c>
    </row>
    <row r="4811" spans="1:4">
      <c r="A4811" s="226" t="s">
        <v>7385</v>
      </c>
      <c r="B4811" s="226">
        <v>539963</v>
      </c>
      <c r="C4811" s="226" t="s">
        <v>486</v>
      </c>
      <c r="D4811" s="226" t="s">
        <v>566</v>
      </c>
    </row>
    <row r="4812" spans="1:4">
      <c r="A4812" s="226" t="s">
        <v>7386</v>
      </c>
      <c r="B4812" s="226">
        <v>505537</v>
      </c>
      <c r="C4812" s="226" t="s">
        <v>7387</v>
      </c>
      <c r="D4812" s="226" t="s">
        <v>1222</v>
      </c>
    </row>
    <row r="4813" spans="1:4">
      <c r="A4813" s="226" t="s">
        <v>7388</v>
      </c>
      <c r="B4813" s="226">
        <v>533287</v>
      </c>
      <c r="C4813" s="226" t="s">
        <v>7389</v>
      </c>
      <c r="D4813" s="226" t="s">
        <v>349</v>
      </c>
    </row>
    <row r="4814" spans="1:4">
      <c r="A4814" s="226" t="s">
        <v>7390</v>
      </c>
      <c r="B4814" s="226">
        <v>532794</v>
      </c>
      <c r="C4814" s="226" t="s">
        <v>7391</v>
      </c>
      <c r="D4814" s="226" t="s">
        <v>1222</v>
      </c>
    </row>
    <row r="4815" spans="1:4">
      <c r="A4815" s="226" t="s">
        <v>7392</v>
      </c>
      <c r="B4815" s="226">
        <v>533339</v>
      </c>
      <c r="C4815" s="226" t="s">
        <v>7393</v>
      </c>
      <c r="D4815" s="226" t="s">
        <v>579</v>
      </c>
    </row>
    <row r="4816" spans="1:4">
      <c r="A4816" s="226" t="s">
        <v>7394</v>
      </c>
      <c r="B4816" s="226">
        <v>531845</v>
      </c>
      <c r="C4816" s="226" t="s">
        <v>7395</v>
      </c>
      <c r="D4816" s="226" t="s">
        <v>883</v>
      </c>
    </row>
    <row r="4817" spans="1:4">
      <c r="A4817" s="226" t="s">
        <v>7396</v>
      </c>
      <c r="B4817" s="226">
        <v>531845</v>
      </c>
      <c r="C4817" s="226" t="s">
        <v>7395</v>
      </c>
      <c r="D4817" s="226" t="s">
        <v>883</v>
      </c>
    </row>
    <row r="4818" spans="1:4">
      <c r="A4818" s="226" t="s">
        <v>7397</v>
      </c>
      <c r="B4818" s="226">
        <v>512553</v>
      </c>
      <c r="C4818" s="226" t="s">
        <v>7398</v>
      </c>
      <c r="D4818" s="226" t="s">
        <v>501</v>
      </c>
    </row>
    <row r="4819" spans="1:4">
      <c r="A4819" s="226" t="s">
        <v>7399</v>
      </c>
      <c r="B4819" s="226">
        <v>514266</v>
      </c>
      <c r="C4819" s="226" t="s">
        <v>486</v>
      </c>
      <c r="D4819" s="226" t="s">
        <v>501</v>
      </c>
    </row>
    <row r="4820" spans="1:4">
      <c r="A4820" s="226" t="s">
        <v>7400</v>
      </c>
      <c r="B4820" s="226">
        <v>530665</v>
      </c>
      <c r="C4820" s="226" t="s">
        <v>486</v>
      </c>
      <c r="D4820" s="226" t="s">
        <v>524</v>
      </c>
    </row>
    <row r="4821" spans="1:4">
      <c r="A4821" s="226" t="s">
        <v>7401</v>
      </c>
      <c r="B4821" s="226">
        <v>530697</v>
      </c>
      <c r="C4821" s="226" t="s">
        <v>486</v>
      </c>
      <c r="D4821" s="226" t="s">
        <v>906</v>
      </c>
    </row>
    <row r="4822" spans="1:4">
      <c r="A4822" s="226" t="s">
        <v>7402</v>
      </c>
      <c r="B4822" s="226">
        <v>532039</v>
      </c>
      <c r="C4822" s="226" t="s">
        <v>486</v>
      </c>
      <c r="D4822" s="226" t="s">
        <v>524</v>
      </c>
    </row>
    <row r="4823" spans="1:4">
      <c r="A4823" s="226" t="s">
        <v>7403</v>
      </c>
      <c r="B4823" s="226">
        <v>504067</v>
      </c>
      <c r="C4823" s="226" t="s">
        <v>7404</v>
      </c>
      <c r="D4823" s="226" t="s">
        <v>473</v>
      </c>
    </row>
    <row r="4824" spans="1:4">
      <c r="A4824" s="226" t="s">
        <v>7405</v>
      </c>
      <c r="B4824" s="226">
        <v>531404</v>
      </c>
      <c r="C4824" s="226" t="s">
        <v>7406</v>
      </c>
      <c r="D4824" s="226" t="s">
        <v>1027</v>
      </c>
    </row>
    <row r="4825" spans="1:4">
      <c r="A4825" s="226" t="s">
        <v>7407</v>
      </c>
      <c r="B4825" s="226">
        <v>541400</v>
      </c>
      <c r="C4825" s="226" t="s">
        <v>486</v>
      </c>
      <c r="D4825" s="226" t="s">
        <v>524</v>
      </c>
    </row>
    <row r="4826" spans="1:4">
      <c r="A4826" s="226" t="s">
        <v>7408</v>
      </c>
      <c r="B4826" s="226">
        <v>521163</v>
      </c>
      <c r="C4826" s="226" t="s">
        <v>7409</v>
      </c>
      <c r="D4826" s="226" t="s">
        <v>599</v>
      </c>
    </row>
    <row r="4827" spans="1:4">
      <c r="A4827" s="226" t="s">
        <v>7410</v>
      </c>
      <c r="B4827" s="226" t="s">
        <v>486</v>
      </c>
      <c r="C4827" s="226" t="s">
        <v>7411</v>
      </c>
      <c r="D4827" s="226" t="s">
        <v>497</v>
      </c>
    </row>
    <row r="4828" spans="1:4">
      <c r="A4828" s="226" t="s">
        <v>7412</v>
      </c>
      <c r="B4828" s="226">
        <v>512587</v>
      </c>
      <c r="C4828" s="226" t="s">
        <v>7413</v>
      </c>
      <c r="D4828" s="226" t="s">
        <v>599</v>
      </c>
    </row>
    <row r="4829" spans="1:4">
      <c r="A4829" s="226" t="s">
        <v>7414</v>
      </c>
      <c r="B4829" s="226">
        <v>503641</v>
      </c>
      <c r="C4829" s="226" t="s">
        <v>7415</v>
      </c>
      <c r="D4829" s="226" t="s">
        <v>570</v>
      </c>
    </row>
    <row r="4830" spans="1:4">
      <c r="A4830" s="226" t="s">
        <v>7416</v>
      </c>
      <c r="B4830" s="226" t="s">
        <v>486</v>
      </c>
      <c r="C4830" s="226" t="s">
        <v>7417</v>
      </c>
      <c r="D4830" s="226" t="s">
        <v>497</v>
      </c>
    </row>
    <row r="4831" spans="1:4">
      <c r="A4831" s="226" t="s">
        <v>7418</v>
      </c>
      <c r="B4831" s="226">
        <v>534742</v>
      </c>
      <c r="C4831" s="226" t="s">
        <v>7419</v>
      </c>
      <c r="D4831" s="226" t="s">
        <v>993</v>
      </c>
    </row>
    <row r="4832" spans="1:4">
      <c r="A4832" s="226" t="s">
        <v>7420</v>
      </c>
      <c r="B4832" s="226">
        <v>500780</v>
      </c>
      <c r="C4832" s="226" t="s">
        <v>7421</v>
      </c>
      <c r="D4832" s="226" t="s">
        <v>993</v>
      </c>
    </row>
    <row r="4833" spans="1:4">
      <c r="A4833" s="226" t="s">
        <v>7422</v>
      </c>
      <c r="B4833" s="226">
        <v>531335</v>
      </c>
      <c r="C4833" s="226" t="s">
        <v>7423</v>
      </c>
      <c r="D4833" s="226" t="s">
        <v>546</v>
      </c>
    </row>
    <row r="4834" spans="1:4">
      <c r="A4834" s="226" t="s">
        <v>7424</v>
      </c>
      <c r="B4834" s="226">
        <v>532883</v>
      </c>
      <c r="C4834" s="226" t="s">
        <v>7425</v>
      </c>
      <c r="D4834" s="226" t="s">
        <v>579</v>
      </c>
    </row>
    <row r="4835" spans="1:4">
      <c r="A4835" s="226" t="s">
        <v>7426</v>
      </c>
      <c r="B4835" s="226">
        <v>500202</v>
      </c>
      <c r="C4835" s="226" t="s">
        <v>7427</v>
      </c>
      <c r="D4835" s="226" t="s">
        <v>503</v>
      </c>
    </row>
    <row r="4836" spans="1:4">
      <c r="A4836" s="226" t="s">
        <v>7428</v>
      </c>
      <c r="B4836" s="226">
        <v>500458</v>
      </c>
      <c r="C4836" s="226" t="s">
        <v>7429</v>
      </c>
      <c r="D4836" s="226" t="s">
        <v>566</v>
      </c>
    </row>
    <row r="4837" spans="1:4">
      <c r="A4837" s="226" t="s">
        <v>7430</v>
      </c>
      <c r="B4837" s="226">
        <v>501111</v>
      </c>
      <c r="C4837" s="226" t="s">
        <v>7431</v>
      </c>
      <c r="D4837" s="226" t="s">
        <v>508</v>
      </c>
    </row>
    <row r="4838" spans="1:4">
      <c r="A4838" s="226" t="s">
        <v>7432</v>
      </c>
      <c r="B4838" s="226">
        <v>501151</v>
      </c>
      <c r="C4838" s="226" t="s">
        <v>7433</v>
      </c>
      <c r="D4838" s="226" t="s">
        <v>470</v>
      </c>
    </row>
    <row r="4839" spans="1:4">
      <c r="A4839" s="226" t="s">
        <v>7434</v>
      </c>
      <c r="B4839" s="226">
        <v>501311</v>
      </c>
      <c r="C4839" s="226" t="s">
        <v>7435</v>
      </c>
      <c r="D4839" s="226" t="s">
        <v>503</v>
      </c>
    </row>
    <row r="4840" spans="1:4">
      <c r="A4840" s="226" t="s">
        <v>7436</v>
      </c>
      <c r="B4840" s="226">
        <v>501622</v>
      </c>
      <c r="C4840" s="226" t="s">
        <v>7437</v>
      </c>
      <c r="D4840" s="226" t="s">
        <v>7438</v>
      </c>
    </row>
    <row r="4841" spans="1:4">
      <c r="A4841" s="226" t="s">
        <v>7439</v>
      </c>
      <c r="B4841" s="226">
        <v>502850</v>
      </c>
      <c r="C4841" s="226" t="s">
        <v>7440</v>
      </c>
      <c r="D4841" s="226" t="s">
        <v>501</v>
      </c>
    </row>
    <row r="4842" spans="1:4">
      <c r="A4842" s="226" t="s">
        <v>7441</v>
      </c>
      <c r="B4842" s="226">
        <v>503669</v>
      </c>
      <c r="C4842" s="226" t="s">
        <v>7442</v>
      </c>
      <c r="D4842" s="226" t="s">
        <v>7438</v>
      </c>
    </row>
    <row r="4843" spans="1:4">
      <c r="A4843" s="226" t="s">
        <v>7443</v>
      </c>
      <c r="B4843" s="226">
        <v>506975</v>
      </c>
      <c r="C4843" s="226" t="s">
        <v>7444</v>
      </c>
      <c r="D4843" s="226" t="s">
        <v>501</v>
      </c>
    </row>
    <row r="4844" spans="1:4">
      <c r="A4844" s="226" t="s">
        <v>7445</v>
      </c>
      <c r="B4844" s="226">
        <v>508924</v>
      </c>
      <c r="C4844" s="226" t="s">
        <v>7446</v>
      </c>
      <c r="D4844" s="226" t="s">
        <v>7438</v>
      </c>
    </row>
    <row r="4845" spans="1:4">
      <c r="A4845" s="226" t="s">
        <v>7447</v>
      </c>
      <c r="B4845" s="226">
        <v>511260</v>
      </c>
      <c r="C4845" s="226" t="s">
        <v>7448</v>
      </c>
      <c r="D4845" s="226" t="s">
        <v>470</v>
      </c>
    </row>
    <row r="4846" spans="1:4">
      <c r="A4846" s="226" t="s">
        <v>7449</v>
      </c>
      <c r="B4846" s="226">
        <v>511730</v>
      </c>
      <c r="C4846" s="226" t="s">
        <v>7450</v>
      </c>
      <c r="D4846" s="226" t="s">
        <v>503</v>
      </c>
    </row>
    <row r="4847" spans="1:4">
      <c r="A4847" s="226" t="s">
        <v>7451</v>
      </c>
      <c r="B4847" s="226">
        <v>512221</v>
      </c>
      <c r="C4847" s="226" t="s">
        <v>7452</v>
      </c>
      <c r="D4847" s="226" t="s">
        <v>503</v>
      </c>
    </row>
    <row r="4848" spans="1:4">
      <c r="A4848" s="226" t="s">
        <v>7453</v>
      </c>
      <c r="B4848" s="226">
        <v>512344</v>
      </c>
      <c r="C4848" s="226" t="s">
        <v>7454</v>
      </c>
      <c r="D4848" s="226" t="s">
        <v>508</v>
      </c>
    </row>
    <row r="4849" spans="1:4">
      <c r="A4849" s="226" t="s">
        <v>7455</v>
      </c>
      <c r="B4849" s="226">
        <v>512345</v>
      </c>
      <c r="C4849" s="226" t="s">
        <v>7456</v>
      </c>
      <c r="D4849" s="226" t="s">
        <v>470</v>
      </c>
    </row>
    <row r="4850" spans="1:4">
      <c r="A4850" s="226" t="s">
        <v>7457</v>
      </c>
      <c r="B4850" s="226">
        <v>512479</v>
      </c>
      <c r="C4850" s="226" t="s">
        <v>7458</v>
      </c>
      <c r="D4850" s="226" t="s">
        <v>572</v>
      </c>
    </row>
    <row r="4851" spans="1:4">
      <c r="A4851" s="226" t="s">
        <v>7459</v>
      </c>
      <c r="B4851" s="226">
        <v>513343</v>
      </c>
      <c r="C4851" s="226" t="s">
        <v>7460</v>
      </c>
      <c r="D4851" s="226" t="s">
        <v>808</v>
      </c>
    </row>
    <row r="4852" spans="1:4">
      <c r="A4852" s="226" t="s">
        <v>7461</v>
      </c>
      <c r="B4852" s="226">
        <v>513418</v>
      </c>
      <c r="C4852" s="226" t="s">
        <v>7462</v>
      </c>
      <c r="D4852" s="226" t="s">
        <v>1403</v>
      </c>
    </row>
    <row r="4853" spans="1:4">
      <c r="A4853" s="226" t="s">
        <v>7463</v>
      </c>
      <c r="B4853" s="226">
        <v>515008</v>
      </c>
      <c r="C4853" s="226" t="s">
        <v>7464</v>
      </c>
      <c r="D4853" s="226" t="s">
        <v>783</v>
      </c>
    </row>
    <row r="4854" spans="1:4">
      <c r="A4854" s="226" t="s">
        <v>7465</v>
      </c>
      <c r="B4854" s="226">
        <v>517273</v>
      </c>
      <c r="C4854" s="226" t="s">
        <v>7466</v>
      </c>
      <c r="D4854" s="226" t="s">
        <v>783</v>
      </c>
    </row>
    <row r="4855" spans="1:4">
      <c r="A4855" s="226" t="s">
        <v>7467</v>
      </c>
      <c r="B4855" s="226">
        <v>517360</v>
      </c>
      <c r="C4855" s="226" t="s">
        <v>7468</v>
      </c>
      <c r="D4855" s="226" t="s">
        <v>508</v>
      </c>
    </row>
    <row r="4856" spans="1:4">
      <c r="A4856" s="226" t="s">
        <v>7469</v>
      </c>
      <c r="B4856" s="226">
        <v>517393</v>
      </c>
      <c r="C4856" s="226" t="s">
        <v>7470</v>
      </c>
      <c r="D4856" s="226" t="s">
        <v>810</v>
      </c>
    </row>
    <row r="4857" spans="1:4">
      <c r="A4857" s="226" t="s">
        <v>7471</v>
      </c>
      <c r="B4857" s="226">
        <v>519397</v>
      </c>
      <c r="C4857" s="226" t="s">
        <v>7472</v>
      </c>
      <c r="D4857" s="226" t="s">
        <v>546</v>
      </c>
    </row>
    <row r="4858" spans="1:4">
      <c r="A4858" s="226" t="s">
        <v>7473</v>
      </c>
      <c r="B4858" s="226">
        <v>519500</v>
      </c>
      <c r="C4858" s="226" t="s">
        <v>7474</v>
      </c>
      <c r="D4858" s="226" t="s">
        <v>546</v>
      </c>
    </row>
    <row r="4859" spans="1:4">
      <c r="A4859" s="226" t="s">
        <v>7475</v>
      </c>
      <c r="B4859" s="226">
        <v>522171</v>
      </c>
      <c r="C4859" s="226" t="s">
        <v>7476</v>
      </c>
      <c r="D4859" s="226" t="s">
        <v>494</v>
      </c>
    </row>
    <row r="4860" spans="1:4">
      <c r="A4860" s="226" t="s">
        <v>7477</v>
      </c>
      <c r="B4860" s="226">
        <v>524572</v>
      </c>
      <c r="C4860" s="226" t="s">
        <v>7478</v>
      </c>
      <c r="D4860" s="226" t="s">
        <v>524</v>
      </c>
    </row>
    <row r="4861" spans="1:4">
      <c r="A4861" s="226" t="s">
        <v>7479</v>
      </c>
      <c r="B4861" s="226">
        <v>526211</v>
      </c>
      <c r="C4861" s="226" t="s">
        <v>7480</v>
      </c>
      <c r="D4861" s="226" t="s">
        <v>734</v>
      </c>
    </row>
    <row r="4862" spans="1:4">
      <c r="A4862" s="226" t="s">
        <v>7481</v>
      </c>
      <c r="B4862" s="226">
        <v>526638</v>
      </c>
      <c r="C4862" s="226" t="s">
        <v>7482</v>
      </c>
      <c r="D4862" s="226" t="s">
        <v>605</v>
      </c>
    </row>
    <row r="4863" spans="1:4">
      <c r="A4863" s="226" t="s">
        <v>7483</v>
      </c>
      <c r="B4863" s="226">
        <v>530291</v>
      </c>
      <c r="C4863" s="226" t="s">
        <v>7484</v>
      </c>
      <c r="D4863" s="226" t="s">
        <v>734</v>
      </c>
    </row>
    <row r="4864" spans="1:4">
      <c r="A4864" s="226" t="s">
        <v>7485</v>
      </c>
      <c r="B4864" s="226">
        <v>530439</v>
      </c>
      <c r="C4864" s="226" t="s">
        <v>7486</v>
      </c>
      <c r="D4864" s="226" t="s">
        <v>503</v>
      </c>
    </row>
    <row r="4865" spans="1:4">
      <c r="A4865" s="226" t="s">
        <v>7487</v>
      </c>
      <c r="B4865" s="226">
        <v>530443</v>
      </c>
      <c r="C4865" s="226" t="s">
        <v>7488</v>
      </c>
      <c r="D4865" s="226" t="s">
        <v>501</v>
      </c>
    </row>
    <row r="4866" spans="1:4">
      <c r="A4866" s="226" t="s">
        <v>7489</v>
      </c>
      <c r="B4866" s="226">
        <v>531205</v>
      </c>
      <c r="C4866" s="226" t="s">
        <v>7490</v>
      </c>
      <c r="D4866" s="226" t="s">
        <v>508</v>
      </c>
    </row>
    <row r="4867" spans="1:4">
      <c r="A4867" s="226" t="s">
        <v>7491</v>
      </c>
      <c r="B4867" s="226">
        <v>531225</v>
      </c>
      <c r="C4867" s="226" t="s">
        <v>7492</v>
      </c>
      <c r="D4867" s="226" t="s">
        <v>579</v>
      </c>
    </row>
    <row r="4868" spans="1:4">
      <c r="A4868" s="226" t="s">
        <v>7493</v>
      </c>
      <c r="B4868" s="226">
        <v>531436</v>
      </c>
      <c r="C4868" s="226" t="s">
        <v>7494</v>
      </c>
      <c r="D4868" s="226" t="s">
        <v>480</v>
      </c>
    </row>
    <row r="4869" spans="1:4">
      <c r="A4869" s="226" t="s">
        <v>7495</v>
      </c>
      <c r="B4869" s="226">
        <v>531621</v>
      </c>
      <c r="C4869" s="226" t="s">
        <v>7496</v>
      </c>
      <c r="D4869" s="226" t="s">
        <v>492</v>
      </c>
    </row>
    <row r="4870" spans="1:4">
      <c r="A4870" s="226" t="s">
        <v>7497</v>
      </c>
      <c r="B4870" s="226">
        <v>531944</v>
      </c>
      <c r="C4870" s="226" t="s">
        <v>7498</v>
      </c>
      <c r="D4870" s="226" t="s">
        <v>494</v>
      </c>
    </row>
    <row r="4871" spans="1:4">
      <c r="A4871" s="226" t="s">
        <v>7499</v>
      </c>
      <c r="B4871" s="226">
        <v>532138</v>
      </c>
      <c r="C4871" s="226" t="s">
        <v>7500</v>
      </c>
      <c r="D4871" s="226" t="s">
        <v>503</v>
      </c>
    </row>
    <row r="4872" spans="1:4">
      <c r="A4872" s="226" t="s">
        <v>7501</v>
      </c>
      <c r="B4872" s="226">
        <v>533093</v>
      </c>
      <c r="C4872" s="226" t="s">
        <v>7502</v>
      </c>
      <c r="D4872" s="226" t="s">
        <v>734</v>
      </c>
    </row>
    <row r="4873" spans="1:4">
      <c r="A4873" s="226" t="s">
        <v>7503</v>
      </c>
      <c r="B4873" s="226">
        <v>533570</v>
      </c>
      <c r="C4873" s="226" t="s">
        <v>7504</v>
      </c>
      <c r="D4873" s="226" t="s">
        <v>7505</v>
      </c>
    </row>
    <row r="4874" spans="1:4">
      <c r="A4874" s="226" t="s">
        <v>7506</v>
      </c>
      <c r="B4874" s="226">
        <v>533719</v>
      </c>
      <c r="C4874" s="226" t="s">
        <v>7507</v>
      </c>
      <c r="D4874" s="226" t="s">
        <v>7505</v>
      </c>
    </row>
    <row r="4875" spans="1:4">
      <c r="A4875" s="226" t="s">
        <v>7508</v>
      </c>
      <c r="B4875" s="226">
        <v>535276</v>
      </c>
      <c r="C4875" s="226" t="s">
        <v>7509</v>
      </c>
      <c r="D4875" s="226" t="s">
        <v>7505</v>
      </c>
    </row>
    <row r="4876" spans="1:4">
      <c r="A4876" s="226" t="s">
        <v>7510</v>
      </c>
      <c r="B4876" s="226">
        <v>536960</v>
      </c>
      <c r="C4876" s="226" t="s">
        <v>7511</v>
      </c>
      <c r="D4876" s="226" t="s">
        <v>7505</v>
      </c>
    </row>
    <row r="4877" spans="1:4">
      <c r="A4877" s="226" t="s">
        <v>7512</v>
      </c>
      <c r="B4877" s="226">
        <v>537007</v>
      </c>
      <c r="C4877" s="226" t="s">
        <v>7513</v>
      </c>
      <c r="D4877" s="226" t="s">
        <v>7505</v>
      </c>
    </row>
    <row r="4878" spans="1:4">
      <c r="A4878" s="226" t="s">
        <v>7514</v>
      </c>
      <c r="B4878" s="226">
        <v>537008</v>
      </c>
      <c r="C4878" s="226" t="s">
        <v>7515</v>
      </c>
      <c r="D4878" s="226" t="s">
        <v>7505</v>
      </c>
    </row>
    <row r="4879" spans="1:4">
      <c r="A4879" s="226" t="s">
        <v>7516</v>
      </c>
      <c r="B4879" s="226">
        <v>537483</v>
      </c>
      <c r="C4879" s="226" t="s">
        <v>7517</v>
      </c>
      <c r="D4879" s="226" t="s">
        <v>7505</v>
      </c>
    </row>
    <row r="4880" spans="1:4">
      <c r="A4880" s="226" t="s">
        <v>7518</v>
      </c>
      <c r="B4880" s="226">
        <v>537708</v>
      </c>
      <c r="C4880" s="226" t="s">
        <v>7519</v>
      </c>
      <c r="D4880" s="226" t="s">
        <v>7505</v>
      </c>
    </row>
    <row r="4881" spans="1:4">
      <c r="A4881" s="226" t="s">
        <v>7520</v>
      </c>
      <c r="B4881" s="226">
        <v>538057</v>
      </c>
      <c r="C4881" s="226" t="s">
        <v>7521</v>
      </c>
      <c r="D4881" s="226" t="s">
        <v>7505</v>
      </c>
    </row>
    <row r="4882" spans="1:4">
      <c r="A4882" s="226" t="s">
        <v>7522</v>
      </c>
      <c r="B4882" s="226">
        <v>538273</v>
      </c>
      <c r="C4882" s="226" t="s">
        <v>7523</v>
      </c>
      <c r="D4882" s="226" t="s">
        <v>579</v>
      </c>
    </row>
    <row r="4883" spans="1:4">
      <c r="A4883" s="226" t="s">
        <v>7524</v>
      </c>
      <c r="B4883" s="226">
        <v>538452</v>
      </c>
      <c r="C4883" s="226" t="s">
        <v>7525</v>
      </c>
      <c r="D4883" s="226" t="s">
        <v>508</v>
      </c>
    </row>
    <row r="4884" spans="1:4">
      <c r="A4884" s="226" t="s">
        <v>7526</v>
      </c>
      <c r="B4884" s="226">
        <v>538501</v>
      </c>
      <c r="C4884" s="226" t="s">
        <v>7527</v>
      </c>
      <c r="D4884" s="226" t="s">
        <v>7505</v>
      </c>
    </row>
    <row r="4885" spans="1:4">
      <c r="A4885" s="226" t="s">
        <v>7528</v>
      </c>
      <c r="B4885" s="226">
        <v>538502</v>
      </c>
      <c r="C4885" s="226" t="s">
        <v>7529</v>
      </c>
      <c r="D4885" s="226" t="s">
        <v>7505</v>
      </c>
    </row>
    <row r="4886" spans="1:4">
      <c r="A4886" s="226" t="s">
        <v>7530</v>
      </c>
      <c r="B4886" s="226">
        <v>538577</v>
      </c>
      <c r="C4886" s="226" t="s">
        <v>7531</v>
      </c>
      <c r="D4886" s="226" t="s">
        <v>7505</v>
      </c>
    </row>
    <row r="4887" spans="1:4">
      <c r="A4887" s="226" t="s">
        <v>7532</v>
      </c>
      <c r="B4887" s="226">
        <v>538578</v>
      </c>
      <c r="C4887" s="226" t="s">
        <v>7533</v>
      </c>
      <c r="D4887" s="226" t="s">
        <v>7505</v>
      </c>
    </row>
    <row r="4888" spans="1:4">
      <c r="A4888" s="226" t="s">
        <v>7534</v>
      </c>
      <c r="B4888" s="226">
        <v>538646</v>
      </c>
      <c r="C4888" s="226" t="s">
        <v>7535</v>
      </c>
      <c r="D4888" s="226" t="s">
        <v>503</v>
      </c>
    </row>
    <row r="4889" spans="1:4">
      <c r="A4889" s="226" t="s">
        <v>7536</v>
      </c>
      <c r="B4889" s="226">
        <v>538683</v>
      </c>
      <c r="C4889" s="226" t="s">
        <v>7537</v>
      </c>
      <c r="D4889" s="226" t="s">
        <v>7505</v>
      </c>
    </row>
    <row r="4890" spans="1:4">
      <c r="A4890" s="226" t="s">
        <v>7538</v>
      </c>
      <c r="B4890" s="226">
        <v>538728</v>
      </c>
      <c r="C4890" s="226" t="s">
        <v>7539</v>
      </c>
      <c r="D4890" s="226" t="s">
        <v>7505</v>
      </c>
    </row>
    <row r="4891" spans="1:4">
      <c r="A4891" s="226" t="s">
        <v>7540</v>
      </c>
      <c r="B4891" s="226">
        <v>538729</v>
      </c>
      <c r="C4891" s="226" t="s">
        <v>7541</v>
      </c>
      <c r="D4891" s="226" t="s">
        <v>7505</v>
      </c>
    </row>
    <row r="4892" spans="1:4">
      <c r="A4892" s="226" t="s">
        <v>7542</v>
      </c>
      <c r="B4892" s="226">
        <v>538808</v>
      </c>
      <c r="C4892" s="226" t="s">
        <v>7543</v>
      </c>
      <c r="D4892" s="226" t="s">
        <v>7505</v>
      </c>
    </row>
    <row r="4893" spans="1:4">
      <c r="A4893" s="226" t="s">
        <v>7544</v>
      </c>
      <c r="B4893" s="226">
        <v>538809</v>
      </c>
      <c r="C4893" s="226" t="s">
        <v>7545</v>
      </c>
      <c r="D4893" s="226" t="s">
        <v>7505</v>
      </c>
    </row>
    <row r="4894" spans="1:4">
      <c r="A4894" s="226" t="s">
        <v>7546</v>
      </c>
      <c r="B4894" s="226">
        <v>538810</v>
      </c>
      <c r="C4894" s="226" t="s">
        <v>7547</v>
      </c>
      <c r="D4894" s="226" t="s">
        <v>7505</v>
      </c>
    </row>
    <row r="4895" spans="1:4">
      <c r="A4895" s="226" t="s">
        <v>7548</v>
      </c>
      <c r="B4895" s="226">
        <v>538811</v>
      </c>
      <c r="C4895" s="226" t="s">
        <v>7549</v>
      </c>
      <c r="D4895" s="226" t="s">
        <v>7505</v>
      </c>
    </row>
    <row r="4896" spans="1:4">
      <c r="A4896" s="226" t="s">
        <v>7550</v>
      </c>
      <c r="B4896" s="226">
        <v>539031</v>
      </c>
      <c r="C4896" s="226" t="s">
        <v>7551</v>
      </c>
      <c r="D4896" s="226" t="s">
        <v>7505</v>
      </c>
    </row>
    <row r="4897" spans="1:4">
      <c r="A4897" s="226" t="s">
        <v>7552</v>
      </c>
      <c r="B4897" s="226">
        <v>539090</v>
      </c>
      <c r="C4897" s="226" t="s">
        <v>7553</v>
      </c>
      <c r="D4897" s="226" t="s">
        <v>503</v>
      </c>
    </row>
    <row r="4898" spans="1:4">
      <c r="A4898" s="226" t="s">
        <v>7554</v>
      </c>
      <c r="B4898" s="226">
        <v>539142</v>
      </c>
      <c r="C4898" s="226" t="s">
        <v>7555</v>
      </c>
      <c r="D4898" s="226" t="s">
        <v>7505</v>
      </c>
    </row>
    <row r="4899" spans="1:4">
      <c r="A4899" s="226" t="s">
        <v>7556</v>
      </c>
      <c r="B4899" s="226">
        <v>539274</v>
      </c>
      <c r="C4899" s="226" t="s">
        <v>7557</v>
      </c>
      <c r="D4899" s="226" t="s">
        <v>503</v>
      </c>
    </row>
    <row r="4900" spans="1:4">
      <c r="A4900" s="226" t="s">
        <v>7558</v>
      </c>
      <c r="B4900" s="226">
        <v>539312</v>
      </c>
      <c r="C4900" s="226" t="s">
        <v>7559</v>
      </c>
      <c r="D4900" s="226" t="s">
        <v>7505</v>
      </c>
    </row>
    <row r="4901" spans="1:4">
      <c r="A4901" s="226" t="s">
        <v>7560</v>
      </c>
      <c r="B4901" s="226">
        <v>539313</v>
      </c>
      <c r="C4901" s="226" t="s">
        <v>7561</v>
      </c>
      <c r="D4901" s="226" t="s">
        <v>7505</v>
      </c>
    </row>
    <row r="4902" spans="1:4">
      <c r="A4902" s="226" t="s">
        <v>7562</v>
      </c>
      <c r="B4902" s="226">
        <v>539480</v>
      </c>
      <c r="C4902" s="226" t="s">
        <v>7563</v>
      </c>
      <c r="D4902" s="226" t="s">
        <v>7505</v>
      </c>
    </row>
    <row r="4903" spans="1:4">
      <c r="A4903" s="226" t="s">
        <v>7564</v>
      </c>
      <c r="B4903" s="226">
        <v>539487</v>
      </c>
      <c r="C4903" s="226" t="s">
        <v>7565</v>
      </c>
      <c r="D4903" s="226" t="s">
        <v>7505</v>
      </c>
    </row>
    <row r="4904" spans="1:4">
      <c r="A4904" s="226" t="s">
        <v>7566</v>
      </c>
      <c r="B4904" s="226">
        <v>539516</v>
      </c>
      <c r="C4904" s="226" t="s">
        <v>7567</v>
      </c>
      <c r="D4904" s="226" t="s">
        <v>7505</v>
      </c>
    </row>
    <row r="4905" spans="1:4">
      <c r="A4905" s="226" t="s">
        <v>7568</v>
      </c>
      <c r="B4905" s="226">
        <v>539517</v>
      </c>
      <c r="C4905" s="226" t="s">
        <v>7569</v>
      </c>
      <c r="D4905" s="226" t="s">
        <v>7505</v>
      </c>
    </row>
    <row r="4906" spans="1:4">
      <c r="A4906" s="226" t="s">
        <v>7570</v>
      </c>
      <c r="B4906" s="226">
        <v>539561</v>
      </c>
      <c r="C4906" s="226" t="s">
        <v>7571</v>
      </c>
      <c r="D4906" s="226" t="s">
        <v>508</v>
      </c>
    </row>
    <row r="4907" spans="1:4">
      <c r="A4907" s="226" t="s">
        <v>7572</v>
      </c>
      <c r="B4907" s="226">
        <v>539784</v>
      </c>
      <c r="C4907" s="226" t="s">
        <v>7573</v>
      </c>
      <c r="D4907" s="226" t="s">
        <v>7505</v>
      </c>
    </row>
    <row r="4908" spans="1:4">
      <c r="A4908" s="226" t="s">
        <v>7574</v>
      </c>
      <c r="B4908" s="226">
        <v>539945</v>
      </c>
      <c r="C4908" s="226" t="s">
        <v>7575</v>
      </c>
      <c r="D4908" s="226" t="s">
        <v>7505</v>
      </c>
    </row>
    <row r="4909" spans="1:4">
      <c r="A4909" s="226" t="s">
        <v>7576</v>
      </c>
      <c r="B4909" s="226">
        <v>539980</v>
      </c>
      <c r="C4909" s="226" t="s">
        <v>7577</v>
      </c>
      <c r="D4909" s="226" t="s">
        <v>7505</v>
      </c>
    </row>
    <row r="4910" spans="1:4">
      <c r="A4910" s="226" t="s">
        <v>7578</v>
      </c>
      <c r="B4910" s="226">
        <v>540008</v>
      </c>
      <c r="C4910" s="226" t="s">
        <v>7579</v>
      </c>
      <c r="D4910" s="226" t="s">
        <v>7505</v>
      </c>
    </row>
    <row r="4911" spans="1:4">
      <c r="A4911" s="226" t="s">
        <v>7580</v>
      </c>
      <c r="B4911" s="226">
        <v>540154</v>
      </c>
      <c r="C4911" s="226" t="s">
        <v>7581</v>
      </c>
      <c r="D4911" s="226" t="s">
        <v>7505</v>
      </c>
    </row>
    <row r="4912" spans="1:4">
      <c r="A4912" s="226" t="s">
        <v>7582</v>
      </c>
      <c r="B4912" s="226">
        <v>540333</v>
      </c>
      <c r="C4912" s="226" t="s">
        <v>7583</v>
      </c>
      <c r="D4912" s="226" t="s">
        <v>7505</v>
      </c>
    </row>
    <row r="4913" spans="1:4">
      <c r="A4913" s="226" t="s">
        <v>7584</v>
      </c>
      <c r="B4913" s="226">
        <v>540334</v>
      </c>
      <c r="C4913" s="226" t="s">
        <v>7585</v>
      </c>
      <c r="D4913" s="226" t="s">
        <v>7505</v>
      </c>
    </row>
    <row r="4914" spans="1:4">
      <c r="A4914" s="226" t="s">
        <v>7586</v>
      </c>
      <c r="B4914" s="226">
        <v>540335</v>
      </c>
      <c r="C4914" s="226" t="s">
        <v>7587</v>
      </c>
      <c r="D4914" s="226" t="s">
        <v>7505</v>
      </c>
    </row>
    <row r="4915" spans="1:4">
      <c r="A4915" s="226" t="s">
        <v>7588</v>
      </c>
      <c r="B4915" s="226">
        <v>540336</v>
      </c>
      <c r="C4915" s="226" t="s">
        <v>7589</v>
      </c>
      <c r="D4915" s="226" t="s">
        <v>7505</v>
      </c>
    </row>
    <row r="4916" spans="1:4">
      <c r="A4916" s="226" t="s">
        <v>7590</v>
      </c>
      <c r="B4916" s="226">
        <v>540469</v>
      </c>
      <c r="C4916" s="226" t="s">
        <v>7591</v>
      </c>
      <c r="D4916" s="226" t="s">
        <v>7505</v>
      </c>
    </row>
    <row r="4917" spans="1:4">
      <c r="A4917" s="226" t="s">
        <v>7592</v>
      </c>
      <c r="B4917" s="226">
        <v>540470</v>
      </c>
      <c r="C4917" s="226" t="s">
        <v>7593</v>
      </c>
      <c r="D4917" s="226" t="s">
        <v>7505</v>
      </c>
    </row>
    <row r="4918" spans="1:4">
      <c r="A4918" s="226" t="s">
        <v>7594</v>
      </c>
      <c r="B4918" s="226">
        <v>540538</v>
      </c>
      <c r="C4918" s="226" t="s">
        <v>7595</v>
      </c>
      <c r="D4918" s="226" t="s">
        <v>7505</v>
      </c>
    </row>
    <row r="4919" spans="1:4">
      <c r="A4919" s="226" t="s">
        <v>7596</v>
      </c>
      <c r="B4919" s="226">
        <v>540539</v>
      </c>
      <c r="C4919" s="226" t="s">
        <v>7597</v>
      </c>
      <c r="D4919" s="226" t="s">
        <v>7505</v>
      </c>
    </row>
    <row r="4920" spans="1:4">
      <c r="A4920" s="226" t="s">
        <v>7598</v>
      </c>
      <c r="B4920" s="226">
        <v>540551</v>
      </c>
      <c r="C4920" s="226" t="s">
        <v>7599</v>
      </c>
      <c r="D4920" s="226" t="s">
        <v>7505</v>
      </c>
    </row>
    <row r="4921" spans="1:4">
      <c r="A4921" s="226" t="s">
        <v>7600</v>
      </c>
      <c r="B4921" s="226">
        <v>540552</v>
      </c>
      <c r="C4921" s="226" t="s">
        <v>7601</v>
      </c>
      <c r="D4921" s="226" t="s">
        <v>7505</v>
      </c>
    </row>
    <row r="4922" spans="1:4">
      <c r="A4922" s="226" t="s">
        <v>7602</v>
      </c>
      <c r="B4922" s="226">
        <v>540586</v>
      </c>
      <c r="C4922" s="226" t="s">
        <v>7603</v>
      </c>
      <c r="D4922" s="226" t="s">
        <v>7505</v>
      </c>
    </row>
    <row r="4923" spans="1:4">
      <c r="A4923" s="226" t="s">
        <v>7604</v>
      </c>
      <c r="B4923" s="226">
        <v>540587</v>
      </c>
      <c r="C4923" s="226" t="s">
        <v>7605</v>
      </c>
      <c r="D4923" s="226" t="s">
        <v>7505</v>
      </c>
    </row>
    <row r="4924" spans="1:4">
      <c r="A4924" s="226" t="s">
        <v>7606</v>
      </c>
      <c r="B4924" s="226">
        <v>540588</v>
      </c>
      <c r="C4924" s="226" t="s">
        <v>7607</v>
      </c>
      <c r="D4924" s="226" t="s">
        <v>7505</v>
      </c>
    </row>
    <row r="4925" spans="1:4">
      <c r="A4925" s="226" t="s">
        <v>7608</v>
      </c>
      <c r="B4925" s="226">
        <v>540589</v>
      </c>
      <c r="C4925" s="226" t="s">
        <v>7609</v>
      </c>
      <c r="D4925" s="226" t="s">
        <v>7505</v>
      </c>
    </row>
    <row r="4926" spans="1:4">
      <c r="A4926" s="226" t="s">
        <v>7610</v>
      </c>
      <c r="B4926" s="226">
        <v>540591</v>
      </c>
      <c r="C4926" s="226" t="s">
        <v>7611</v>
      </c>
      <c r="D4926" s="226" t="s">
        <v>7505</v>
      </c>
    </row>
    <row r="4927" spans="1:4">
      <c r="A4927" s="226" t="s">
        <v>7612</v>
      </c>
      <c r="B4927" s="226">
        <v>540592</v>
      </c>
      <c r="C4927" s="226" t="s">
        <v>7613</v>
      </c>
      <c r="D4927" s="226" t="s">
        <v>7505</v>
      </c>
    </row>
    <row r="4928" spans="1:4">
      <c r="A4928" s="226" t="s">
        <v>7614</v>
      </c>
      <c r="B4928" s="226">
        <v>540593</v>
      </c>
      <c r="C4928" s="226" t="s">
        <v>7615</v>
      </c>
      <c r="D4928" s="226" t="s">
        <v>7505</v>
      </c>
    </row>
    <row r="4929" spans="1:4">
      <c r="A4929" s="226" t="s">
        <v>7616</v>
      </c>
      <c r="B4929" s="226">
        <v>540594</v>
      </c>
      <c r="C4929" s="226" t="s">
        <v>7617</v>
      </c>
      <c r="D4929" s="226" t="s">
        <v>7505</v>
      </c>
    </row>
    <row r="4930" spans="1:4">
      <c r="A4930" s="226" t="s">
        <v>7618</v>
      </c>
      <c r="B4930" s="226">
        <v>540612</v>
      </c>
      <c r="C4930" s="226" t="s">
        <v>7619</v>
      </c>
      <c r="D4930" s="226" t="s">
        <v>7505</v>
      </c>
    </row>
    <row r="4931" spans="1:4">
      <c r="A4931" s="226" t="s">
        <v>7620</v>
      </c>
      <c r="B4931" s="226">
        <v>540617</v>
      </c>
      <c r="C4931" s="226" t="s">
        <v>7621</v>
      </c>
      <c r="D4931" s="226" t="s">
        <v>7505</v>
      </c>
    </row>
    <row r="4932" spans="1:4">
      <c r="A4932" s="226" t="s">
        <v>7622</v>
      </c>
      <c r="B4932" s="226">
        <v>540618</v>
      </c>
      <c r="C4932" s="226" t="s">
        <v>7623</v>
      </c>
      <c r="D4932" s="226" t="s">
        <v>7505</v>
      </c>
    </row>
    <row r="4933" spans="1:4">
      <c r="A4933" s="226" t="s">
        <v>7624</v>
      </c>
      <c r="B4933" s="226">
        <v>540619</v>
      </c>
      <c r="C4933" s="226" t="s">
        <v>7625</v>
      </c>
      <c r="D4933" s="226" t="s">
        <v>7505</v>
      </c>
    </row>
    <row r="4934" spans="1:4">
      <c r="A4934" s="226" t="s">
        <v>7626</v>
      </c>
      <c r="B4934" s="226">
        <v>540620</v>
      </c>
      <c r="C4934" s="226" t="s">
        <v>7627</v>
      </c>
      <c r="D4934" s="226" t="s">
        <v>7505</v>
      </c>
    </row>
    <row r="4935" spans="1:4">
      <c r="A4935" s="226" t="s">
        <v>7628</v>
      </c>
      <c r="B4935" s="226">
        <v>540626</v>
      </c>
      <c r="C4935" s="226" t="s">
        <v>7629</v>
      </c>
      <c r="D4935" s="226" t="s">
        <v>7505</v>
      </c>
    </row>
    <row r="4936" spans="1:4">
      <c r="A4936" s="226" t="s">
        <v>7630</v>
      </c>
      <c r="B4936" s="226">
        <v>540627</v>
      </c>
      <c r="C4936" s="226" t="s">
        <v>7631</v>
      </c>
      <c r="D4936" s="226" t="s">
        <v>7505</v>
      </c>
    </row>
    <row r="4937" spans="1:4">
      <c r="A4937" s="226" t="s">
        <v>7632</v>
      </c>
      <c r="B4937" s="226">
        <v>540629</v>
      </c>
      <c r="C4937" s="226" t="s">
        <v>7633</v>
      </c>
      <c r="D4937" s="226" t="s">
        <v>7505</v>
      </c>
    </row>
    <row r="4938" spans="1:4">
      <c r="A4938" s="226" t="s">
        <v>7634</v>
      </c>
      <c r="B4938" s="226">
        <v>540631</v>
      </c>
      <c r="C4938" s="226" t="s">
        <v>7635</v>
      </c>
      <c r="D4938" s="226" t="s">
        <v>7505</v>
      </c>
    </row>
    <row r="4939" spans="1:4">
      <c r="A4939" s="226" t="s">
        <v>7636</v>
      </c>
      <c r="B4939" s="226">
        <v>540634</v>
      </c>
      <c r="C4939" s="226" t="s">
        <v>7637</v>
      </c>
      <c r="D4939" s="226" t="s">
        <v>7505</v>
      </c>
    </row>
    <row r="4940" spans="1:4">
      <c r="A4940" s="226" t="s">
        <v>7638</v>
      </c>
      <c r="B4940" s="226">
        <v>540635</v>
      </c>
      <c r="C4940" s="226" t="s">
        <v>7639</v>
      </c>
      <c r="D4940" s="226" t="s">
        <v>7505</v>
      </c>
    </row>
    <row r="4941" spans="1:4">
      <c r="A4941" s="226" t="s">
        <v>7640</v>
      </c>
      <c r="B4941" s="226">
        <v>540636</v>
      </c>
      <c r="C4941" s="226" t="s">
        <v>7641</v>
      </c>
      <c r="D4941" s="226" t="s">
        <v>7505</v>
      </c>
    </row>
    <row r="4942" spans="1:4">
      <c r="A4942" s="226" t="s">
        <v>7642</v>
      </c>
      <c r="B4942" s="226">
        <v>540637</v>
      </c>
      <c r="C4942" s="226" t="s">
        <v>7643</v>
      </c>
      <c r="D4942" s="226" t="s">
        <v>7505</v>
      </c>
    </row>
    <row r="4943" spans="1:4">
      <c r="A4943" s="226" t="s">
        <v>7644</v>
      </c>
      <c r="B4943" s="226">
        <v>540669</v>
      </c>
      <c r="C4943" s="226" t="s">
        <v>7645</v>
      </c>
      <c r="D4943" s="226" t="s">
        <v>7505</v>
      </c>
    </row>
    <row r="4944" spans="1:4">
      <c r="A4944" s="226" t="s">
        <v>7646</v>
      </c>
      <c r="B4944" s="226">
        <v>540671</v>
      </c>
      <c r="C4944" s="226" t="s">
        <v>7647</v>
      </c>
      <c r="D4944" s="226" t="s">
        <v>7505</v>
      </c>
    </row>
    <row r="4945" spans="1:4">
      <c r="A4945" s="226" t="s">
        <v>7648</v>
      </c>
      <c r="B4945" s="226">
        <v>540672</v>
      </c>
      <c r="C4945" s="226" t="s">
        <v>7649</v>
      </c>
      <c r="D4945" s="226" t="s">
        <v>7505</v>
      </c>
    </row>
    <row r="4946" spans="1:4">
      <c r="A4946" s="226" t="s">
        <v>7650</v>
      </c>
      <c r="B4946" s="226">
        <v>540682</v>
      </c>
      <c r="C4946" s="226" t="s">
        <v>7651</v>
      </c>
      <c r="D4946" s="226" t="s">
        <v>7505</v>
      </c>
    </row>
    <row r="4947" spans="1:4">
      <c r="A4947" s="226" t="s">
        <v>7652</v>
      </c>
      <c r="B4947" s="226">
        <v>540683</v>
      </c>
      <c r="C4947" s="226" t="s">
        <v>7653</v>
      </c>
      <c r="D4947" s="226" t="s">
        <v>7505</v>
      </c>
    </row>
    <row r="4948" spans="1:4">
      <c r="A4948" s="226" t="s">
        <v>7654</v>
      </c>
      <c r="B4948" s="226">
        <v>540684</v>
      </c>
      <c r="C4948" s="226" t="s">
        <v>7655</v>
      </c>
      <c r="D4948" s="226" t="s">
        <v>7505</v>
      </c>
    </row>
    <row r="4949" spans="1:4">
      <c r="A4949" s="226" t="s">
        <v>7656</v>
      </c>
      <c r="B4949" s="226">
        <v>540685</v>
      </c>
      <c r="C4949" s="226" t="s">
        <v>7657</v>
      </c>
      <c r="D4949" s="226" t="s">
        <v>7505</v>
      </c>
    </row>
    <row r="4950" spans="1:4">
      <c r="A4950" s="226" t="s">
        <v>7658</v>
      </c>
      <c r="B4950" s="226">
        <v>540711</v>
      </c>
      <c r="C4950" s="226" t="s">
        <v>7659</v>
      </c>
      <c r="D4950" s="226" t="s">
        <v>7505</v>
      </c>
    </row>
    <row r="4951" spans="1:4">
      <c r="A4951" s="226" t="s">
        <v>7660</v>
      </c>
      <c r="B4951" s="226">
        <v>540712</v>
      </c>
      <c r="C4951" s="226" t="s">
        <v>7661</v>
      </c>
      <c r="D4951" s="226" t="s">
        <v>7505</v>
      </c>
    </row>
    <row r="4952" spans="1:4">
      <c r="A4952" s="226" t="s">
        <v>7662</v>
      </c>
      <c r="B4952" s="226">
        <v>540713</v>
      </c>
      <c r="C4952" s="226" t="s">
        <v>7663</v>
      </c>
      <c r="D4952" s="226" t="s">
        <v>7505</v>
      </c>
    </row>
    <row r="4953" spans="1:4">
      <c r="A4953" s="226" t="s">
        <v>7664</v>
      </c>
      <c r="B4953" s="226">
        <v>540714</v>
      </c>
      <c r="C4953" s="226" t="s">
        <v>7665</v>
      </c>
      <c r="D4953" s="226" t="s">
        <v>7505</v>
      </c>
    </row>
    <row r="4954" spans="1:4">
      <c r="A4954" s="226" t="s">
        <v>7666</v>
      </c>
      <c r="B4954" s="226">
        <v>540739</v>
      </c>
      <c r="C4954" s="226" t="s">
        <v>7667</v>
      </c>
      <c r="D4954" s="226" t="s">
        <v>7505</v>
      </c>
    </row>
    <row r="4955" spans="1:4">
      <c r="A4955" s="226" t="s">
        <v>7668</v>
      </c>
      <c r="B4955" s="226">
        <v>540740</v>
      </c>
      <c r="C4955" s="226" t="s">
        <v>7669</v>
      </c>
      <c r="D4955" s="226" t="s">
        <v>7505</v>
      </c>
    </row>
    <row r="4956" spans="1:4">
      <c r="A4956" s="226" t="s">
        <v>7670</v>
      </c>
      <c r="B4956" s="226">
        <v>540741</v>
      </c>
      <c r="C4956" s="226" t="s">
        <v>7671</v>
      </c>
      <c r="D4956" s="226" t="s">
        <v>7505</v>
      </c>
    </row>
    <row r="4957" spans="1:4">
      <c r="A4957" s="226" t="s">
        <v>7672</v>
      </c>
      <c r="B4957" s="226">
        <v>540742</v>
      </c>
      <c r="C4957" s="226" t="s">
        <v>7673</v>
      </c>
      <c r="D4957" s="226" t="s">
        <v>7505</v>
      </c>
    </row>
    <row r="4958" spans="1:4">
      <c r="A4958" s="226" t="s">
        <v>7674</v>
      </c>
      <c r="B4958" s="226">
        <v>540763</v>
      </c>
      <c r="C4958" s="226" t="s">
        <v>7675</v>
      </c>
      <c r="D4958" s="226" t="s">
        <v>7505</v>
      </c>
    </row>
    <row r="4959" spans="1:4">
      <c r="A4959" s="226" t="s">
        <v>7676</v>
      </c>
      <c r="B4959" s="226">
        <v>540764</v>
      </c>
      <c r="C4959" s="226" t="s">
        <v>7677</v>
      </c>
      <c r="D4959" s="226" t="s">
        <v>7505</v>
      </c>
    </row>
    <row r="4960" spans="1:4">
      <c r="A4960" s="226" t="s">
        <v>7678</v>
      </c>
      <c r="B4960" s="226">
        <v>540765</v>
      </c>
      <c r="C4960" s="226" t="s">
        <v>7679</v>
      </c>
      <c r="D4960" s="226" t="s">
        <v>7505</v>
      </c>
    </row>
    <row r="4961" spans="1:4">
      <c r="A4961" s="226" t="s">
        <v>7680</v>
      </c>
      <c r="B4961" s="226">
        <v>540766</v>
      </c>
      <c r="C4961" s="226" t="s">
        <v>7681</v>
      </c>
      <c r="D4961" s="226" t="s">
        <v>7505</v>
      </c>
    </row>
    <row r="4962" spans="1:4">
      <c r="A4962" s="226" t="s">
        <v>7682</v>
      </c>
      <c r="B4962" s="226">
        <v>540778</v>
      </c>
      <c r="C4962" s="226" t="s">
        <v>7683</v>
      </c>
      <c r="D4962" s="226" t="s">
        <v>7505</v>
      </c>
    </row>
    <row r="4963" spans="1:4">
      <c r="A4963" s="226" t="s">
        <v>7684</v>
      </c>
      <c r="B4963" s="226">
        <v>540779</v>
      </c>
      <c r="C4963" s="226" t="s">
        <v>7685</v>
      </c>
      <c r="D4963" s="226" t="s">
        <v>7505</v>
      </c>
    </row>
    <row r="4964" spans="1:4">
      <c r="A4964" s="226" t="s">
        <v>7686</v>
      </c>
      <c r="B4964" s="226">
        <v>540780</v>
      </c>
      <c r="C4964" s="226" t="s">
        <v>7687</v>
      </c>
      <c r="D4964" s="226" t="s">
        <v>7505</v>
      </c>
    </row>
    <row r="4965" spans="1:4">
      <c r="A4965" s="226" t="s">
        <v>7688</v>
      </c>
      <c r="B4965" s="226">
        <v>540781</v>
      </c>
      <c r="C4965" s="226" t="s">
        <v>7689</v>
      </c>
      <c r="D4965" s="226" t="s">
        <v>7505</v>
      </c>
    </row>
    <row r="4966" spans="1:4">
      <c r="A4966" s="226" t="s">
        <v>7690</v>
      </c>
      <c r="B4966" s="226">
        <v>540787</v>
      </c>
      <c r="C4966" s="226" t="s">
        <v>7691</v>
      </c>
      <c r="D4966" s="226" t="s">
        <v>7505</v>
      </c>
    </row>
    <row r="4967" spans="1:4">
      <c r="A4967" s="226" t="s">
        <v>7692</v>
      </c>
      <c r="B4967" s="226">
        <v>540791</v>
      </c>
      <c r="C4967" s="226" t="s">
        <v>7693</v>
      </c>
      <c r="D4967" s="226" t="s">
        <v>7505</v>
      </c>
    </row>
    <row r="4968" spans="1:4">
      <c r="A4968" s="226" t="s">
        <v>7694</v>
      </c>
      <c r="B4968" s="226">
        <v>540792</v>
      </c>
      <c r="C4968" s="226" t="s">
        <v>7695</v>
      </c>
      <c r="D4968" s="226" t="s">
        <v>7505</v>
      </c>
    </row>
    <row r="4969" spans="1:4">
      <c r="A4969" s="226" t="s">
        <v>7696</v>
      </c>
      <c r="B4969" s="226">
        <v>540793</v>
      </c>
      <c r="C4969" s="226" t="s">
        <v>7697</v>
      </c>
      <c r="D4969" s="226" t="s">
        <v>7505</v>
      </c>
    </row>
    <row r="4970" spans="1:4">
      <c r="A4970" s="226" t="s">
        <v>7698</v>
      </c>
      <c r="B4970" s="226">
        <v>540794</v>
      </c>
      <c r="C4970" s="226" t="s">
        <v>7699</v>
      </c>
      <c r="D4970" s="226" t="s">
        <v>7505</v>
      </c>
    </row>
    <row r="4971" spans="1:4">
      <c r="A4971" s="226" t="s">
        <v>7700</v>
      </c>
      <c r="B4971" s="226">
        <v>540799</v>
      </c>
      <c r="C4971" s="226" t="s">
        <v>7701</v>
      </c>
      <c r="D4971" s="226" t="s">
        <v>7505</v>
      </c>
    </row>
    <row r="4972" spans="1:4">
      <c r="A4972" s="226" t="s">
        <v>7702</v>
      </c>
      <c r="B4972" s="226">
        <v>540800</v>
      </c>
      <c r="C4972" s="226" t="s">
        <v>7703</v>
      </c>
      <c r="D4972" s="226" t="s">
        <v>7505</v>
      </c>
    </row>
    <row r="4973" spans="1:4">
      <c r="A4973" s="226" t="s">
        <v>7704</v>
      </c>
      <c r="B4973" s="226">
        <v>540801</v>
      </c>
      <c r="C4973" s="226" t="s">
        <v>7705</v>
      </c>
      <c r="D4973" s="226" t="s">
        <v>7505</v>
      </c>
    </row>
    <row r="4974" spans="1:4">
      <c r="A4974" s="226" t="s">
        <v>7706</v>
      </c>
      <c r="B4974" s="226">
        <v>540802</v>
      </c>
      <c r="C4974" s="226" t="s">
        <v>7707</v>
      </c>
      <c r="D4974" s="226" t="s">
        <v>7505</v>
      </c>
    </row>
    <row r="4975" spans="1:4">
      <c r="A4975" s="226" t="s">
        <v>7708</v>
      </c>
      <c r="B4975" s="226">
        <v>540825</v>
      </c>
      <c r="C4975" s="226" t="s">
        <v>7709</v>
      </c>
      <c r="D4975" s="226" t="s">
        <v>7505</v>
      </c>
    </row>
    <row r="4976" spans="1:4">
      <c r="A4976" s="226" t="s">
        <v>7710</v>
      </c>
      <c r="B4976" s="226">
        <v>540826</v>
      </c>
      <c r="C4976" s="226" t="s">
        <v>7711</v>
      </c>
      <c r="D4976" s="226" t="s">
        <v>7505</v>
      </c>
    </row>
    <row r="4977" spans="1:4">
      <c r="A4977" s="226" t="s">
        <v>7712</v>
      </c>
      <c r="B4977" s="226">
        <v>540827</v>
      </c>
      <c r="C4977" s="226" t="s">
        <v>7713</v>
      </c>
      <c r="D4977" s="226" t="s">
        <v>7505</v>
      </c>
    </row>
    <row r="4978" spans="1:4">
      <c r="A4978" s="226" t="s">
        <v>7714</v>
      </c>
      <c r="B4978" s="226">
        <v>540828</v>
      </c>
      <c r="C4978" s="226" t="s">
        <v>7715</v>
      </c>
      <c r="D4978" s="226" t="s">
        <v>7505</v>
      </c>
    </row>
    <row r="4979" spans="1:4">
      <c r="A4979" s="226" t="s">
        <v>7716</v>
      </c>
      <c r="B4979" s="226">
        <v>540861</v>
      </c>
      <c r="C4979" s="226" t="s">
        <v>7717</v>
      </c>
      <c r="D4979" s="226" t="s">
        <v>7505</v>
      </c>
    </row>
    <row r="4980" spans="1:4">
      <c r="A4980" s="226" t="s">
        <v>7718</v>
      </c>
      <c r="B4980" s="226">
        <v>540862</v>
      </c>
      <c r="C4980" s="226" t="s">
        <v>7719</v>
      </c>
      <c r="D4980" s="226" t="s">
        <v>7505</v>
      </c>
    </row>
    <row r="4981" spans="1:4">
      <c r="A4981" s="226" t="s">
        <v>7720</v>
      </c>
      <c r="B4981" s="226">
        <v>540863</v>
      </c>
      <c r="C4981" s="226" t="s">
        <v>7721</v>
      </c>
      <c r="D4981" s="226" t="s">
        <v>7505</v>
      </c>
    </row>
    <row r="4982" spans="1:4">
      <c r="A4982" s="226" t="s">
        <v>7722</v>
      </c>
      <c r="B4982" s="226">
        <v>540864</v>
      </c>
      <c r="C4982" s="226" t="s">
        <v>7723</v>
      </c>
      <c r="D4982" s="226" t="s">
        <v>7505</v>
      </c>
    </row>
    <row r="4983" spans="1:4">
      <c r="A4983" s="226" t="s">
        <v>7724</v>
      </c>
      <c r="B4983" s="226">
        <v>540896</v>
      </c>
      <c r="C4983" s="226" t="s">
        <v>7725</v>
      </c>
      <c r="D4983" s="226" t="s">
        <v>7505</v>
      </c>
    </row>
    <row r="4984" spans="1:4">
      <c r="A4984" s="226" t="s">
        <v>7726</v>
      </c>
      <c r="B4984" s="226">
        <v>540897</v>
      </c>
      <c r="C4984" s="226" t="s">
        <v>7727</v>
      </c>
      <c r="D4984" s="226" t="s">
        <v>7505</v>
      </c>
    </row>
    <row r="4985" spans="1:4">
      <c r="A4985" s="226" t="s">
        <v>7728</v>
      </c>
      <c r="B4985" s="226">
        <v>540898</v>
      </c>
      <c r="C4985" s="226" t="s">
        <v>7729</v>
      </c>
      <c r="D4985" s="226" t="s">
        <v>7505</v>
      </c>
    </row>
    <row r="4986" spans="1:4">
      <c r="A4986" s="226" t="s">
        <v>7730</v>
      </c>
      <c r="B4986" s="226">
        <v>540899</v>
      </c>
      <c r="C4986" s="226" t="s">
        <v>7731</v>
      </c>
      <c r="D4986" s="226" t="s">
        <v>7505</v>
      </c>
    </row>
    <row r="4987" spans="1:4">
      <c r="A4987" s="226" t="s">
        <v>7732</v>
      </c>
      <c r="B4987" s="226">
        <v>540947</v>
      </c>
      <c r="C4987" s="226" t="s">
        <v>7733</v>
      </c>
      <c r="D4987" s="226" t="s">
        <v>7505</v>
      </c>
    </row>
    <row r="4988" spans="1:4">
      <c r="A4988" s="226" t="s">
        <v>7734</v>
      </c>
      <c r="B4988" s="226">
        <v>540949</v>
      </c>
      <c r="C4988" s="226" t="s">
        <v>7735</v>
      </c>
      <c r="D4988" s="226" t="s">
        <v>7505</v>
      </c>
    </row>
    <row r="4989" spans="1:4">
      <c r="A4989" s="226" t="s">
        <v>7736</v>
      </c>
      <c r="B4989" s="226">
        <v>540950</v>
      </c>
      <c r="C4989" s="226" t="s">
        <v>7737</v>
      </c>
      <c r="D4989" s="226" t="s">
        <v>7505</v>
      </c>
    </row>
    <row r="4990" spans="1:4">
      <c r="A4990" s="226" t="s">
        <v>7738</v>
      </c>
      <c r="B4990" s="226">
        <v>540951</v>
      </c>
      <c r="C4990" s="226" t="s">
        <v>7739</v>
      </c>
      <c r="D4990" s="226" t="s">
        <v>7505</v>
      </c>
    </row>
    <row r="4991" spans="1:4">
      <c r="A4991" s="226" t="s">
        <v>7740</v>
      </c>
      <c r="B4991" s="226">
        <v>540981</v>
      </c>
      <c r="C4991" s="226" t="s">
        <v>7741</v>
      </c>
      <c r="D4991" s="226" t="s">
        <v>7505</v>
      </c>
    </row>
    <row r="4992" spans="1:4">
      <c r="A4992" s="226" t="s">
        <v>7742</v>
      </c>
      <c r="B4992" s="226">
        <v>540982</v>
      </c>
      <c r="C4992" s="226" t="s">
        <v>7743</v>
      </c>
      <c r="D4992" s="226" t="s">
        <v>7505</v>
      </c>
    </row>
    <row r="4993" spans="1:4">
      <c r="A4993" s="226" t="s">
        <v>7744</v>
      </c>
      <c r="B4993" s="226">
        <v>540983</v>
      </c>
      <c r="C4993" s="226" t="s">
        <v>7745</v>
      </c>
      <c r="D4993" s="226" t="s">
        <v>7505</v>
      </c>
    </row>
    <row r="4994" spans="1:4">
      <c r="A4994" s="226" t="s">
        <v>7746</v>
      </c>
      <c r="B4994" s="226">
        <v>540984</v>
      </c>
      <c r="C4994" s="226" t="s">
        <v>7747</v>
      </c>
      <c r="D4994" s="226" t="s">
        <v>7505</v>
      </c>
    </row>
    <row r="4995" spans="1:4">
      <c r="A4995" s="226" t="s">
        <v>7748</v>
      </c>
      <c r="B4995" s="226">
        <v>541068</v>
      </c>
      <c r="C4995" s="226" t="s">
        <v>7749</v>
      </c>
      <c r="D4995" s="226" t="s">
        <v>7505</v>
      </c>
    </row>
    <row r="4996" spans="1:4">
      <c r="A4996" s="226" t="s">
        <v>7750</v>
      </c>
      <c r="B4996" s="226">
        <v>541069</v>
      </c>
      <c r="C4996" s="226" t="s">
        <v>7751</v>
      </c>
      <c r="D4996" s="226" t="s">
        <v>7505</v>
      </c>
    </row>
    <row r="4997" spans="1:4">
      <c r="A4997" s="226" t="s">
        <v>7752</v>
      </c>
      <c r="B4997" s="226">
        <v>541070</v>
      </c>
      <c r="C4997" s="226" t="s">
        <v>7753</v>
      </c>
      <c r="D4997" s="226" t="s">
        <v>7505</v>
      </c>
    </row>
    <row r="4998" spans="1:4">
      <c r="A4998" s="226" t="s">
        <v>7754</v>
      </c>
      <c r="B4998" s="226">
        <v>541071</v>
      </c>
      <c r="C4998" s="226" t="s">
        <v>7755</v>
      </c>
      <c r="D4998" s="226" t="s">
        <v>7505</v>
      </c>
    </row>
    <row r="4999" spans="1:4">
      <c r="A4999" s="226" t="s">
        <v>7756</v>
      </c>
      <c r="B4999" s="226">
        <v>541084</v>
      </c>
      <c r="C4999" s="226" t="s">
        <v>7757</v>
      </c>
      <c r="D4999" s="226" t="s">
        <v>7505</v>
      </c>
    </row>
    <row r="5000" spans="1:4">
      <c r="A5000" s="226" t="s">
        <v>7758</v>
      </c>
      <c r="B5000" s="226">
        <v>541085</v>
      </c>
      <c r="C5000" s="226" t="s">
        <v>7759</v>
      </c>
      <c r="D5000" s="226" t="s">
        <v>7505</v>
      </c>
    </row>
    <row r="5001" spans="1:4">
      <c r="A5001" s="226" t="s">
        <v>7760</v>
      </c>
      <c r="B5001" s="226">
        <v>541086</v>
      </c>
      <c r="C5001" s="226" t="s">
        <v>7761</v>
      </c>
      <c r="D5001" s="226" t="s">
        <v>7505</v>
      </c>
    </row>
    <row r="5002" spans="1:4">
      <c r="A5002" s="226" t="s">
        <v>7762</v>
      </c>
      <c r="B5002" s="226">
        <v>541087</v>
      </c>
      <c r="C5002" s="226" t="s">
        <v>7763</v>
      </c>
      <c r="D5002" s="226" t="s">
        <v>7505</v>
      </c>
    </row>
    <row r="5003" spans="1:4">
      <c r="A5003" s="226" t="s">
        <v>7764</v>
      </c>
      <c r="B5003" s="226">
        <v>541092</v>
      </c>
      <c r="C5003" s="226" t="s">
        <v>7765</v>
      </c>
      <c r="D5003" s="226" t="s">
        <v>7505</v>
      </c>
    </row>
    <row r="5004" spans="1:4">
      <c r="A5004" s="226" t="s">
        <v>7766</v>
      </c>
      <c r="B5004" s="226">
        <v>541093</v>
      </c>
      <c r="C5004" s="226" t="s">
        <v>7767</v>
      </c>
      <c r="D5004" s="226" t="s">
        <v>7505</v>
      </c>
    </row>
    <row r="5005" spans="1:4">
      <c r="A5005" s="226" t="s">
        <v>7768</v>
      </c>
      <c r="B5005" s="226">
        <v>541094</v>
      </c>
      <c r="C5005" s="226" t="s">
        <v>7769</v>
      </c>
      <c r="D5005" s="226" t="s">
        <v>7505</v>
      </c>
    </row>
    <row r="5006" spans="1:4">
      <c r="A5006" s="226" t="s">
        <v>7770</v>
      </c>
      <c r="B5006" s="226">
        <v>541095</v>
      </c>
      <c r="C5006" s="226" t="s">
        <v>7771</v>
      </c>
      <c r="D5006" s="226" t="s">
        <v>7505</v>
      </c>
    </row>
    <row r="5007" spans="1:4">
      <c r="A5007" s="226" t="s">
        <v>7772</v>
      </c>
      <c r="B5007" s="226">
        <v>541252</v>
      </c>
      <c r="C5007" s="226" t="s">
        <v>7773</v>
      </c>
      <c r="D5007" s="226" t="s">
        <v>7505</v>
      </c>
    </row>
    <row r="5008" spans="1:4">
      <c r="A5008" s="226" t="s">
        <v>7774</v>
      </c>
      <c r="B5008" s="226">
        <v>541253</v>
      </c>
      <c r="C5008" s="226" t="s">
        <v>7775</v>
      </c>
      <c r="D5008" s="226" t="s">
        <v>7505</v>
      </c>
    </row>
    <row r="5009" spans="1:4">
      <c r="A5009" s="226" t="s">
        <v>7776</v>
      </c>
      <c r="B5009" s="226">
        <v>541254</v>
      </c>
      <c r="C5009" s="226" t="s">
        <v>7777</v>
      </c>
      <c r="D5009" s="226" t="s">
        <v>7505</v>
      </c>
    </row>
    <row r="5010" spans="1:4">
      <c r="A5010" s="226" t="s">
        <v>7778</v>
      </c>
      <c r="B5010" s="226">
        <v>541255</v>
      </c>
      <c r="C5010" s="226" t="s">
        <v>7779</v>
      </c>
      <c r="D5010" s="226" t="s">
        <v>7505</v>
      </c>
    </row>
    <row r="5011" spans="1:4">
      <c r="A5011" s="226" t="s">
        <v>7780</v>
      </c>
      <c r="B5011" s="226">
        <v>541300</v>
      </c>
      <c r="C5011" s="226" t="s">
        <v>7781</v>
      </c>
      <c r="D5011" s="226" t="s">
        <v>7505</v>
      </c>
    </row>
    <row r="5012" spans="1:4">
      <c r="A5012" s="226" t="s">
        <v>7782</v>
      </c>
      <c r="B5012" s="226">
        <v>541309</v>
      </c>
      <c r="C5012" s="226" t="s">
        <v>7783</v>
      </c>
      <c r="D5012" s="226" t="s">
        <v>7505</v>
      </c>
    </row>
    <row r="5013" spans="1:4">
      <c r="A5013" s="226" t="s">
        <v>7784</v>
      </c>
      <c r="B5013" s="226">
        <v>541310</v>
      </c>
      <c r="C5013" s="226" t="s">
        <v>7785</v>
      </c>
      <c r="D5013" s="226" t="s">
        <v>7505</v>
      </c>
    </row>
    <row r="5014" spans="1:4">
      <c r="A5014" s="226" t="s">
        <v>7786</v>
      </c>
      <c r="B5014" s="226">
        <v>541311</v>
      </c>
      <c r="C5014" s="226" t="s">
        <v>7787</v>
      </c>
      <c r="D5014" s="226" t="s">
        <v>7505</v>
      </c>
    </row>
    <row r="5015" spans="1:4">
      <c r="A5015" s="226" t="s">
        <v>7788</v>
      </c>
      <c r="B5015" s="226">
        <v>541312</v>
      </c>
      <c r="C5015" s="226" t="s">
        <v>7789</v>
      </c>
      <c r="D5015" s="226" t="s">
        <v>7505</v>
      </c>
    </row>
    <row r="5016" spans="1:4">
      <c r="A5016" s="226" t="s">
        <v>7790</v>
      </c>
      <c r="B5016" s="226">
        <v>541313</v>
      </c>
      <c r="C5016" s="226" t="s">
        <v>7791</v>
      </c>
      <c r="D5016" s="226" t="s">
        <v>7505</v>
      </c>
    </row>
    <row r="5017" spans="1:4">
      <c r="A5017" s="226" t="s">
        <v>7792</v>
      </c>
      <c r="B5017" s="226">
        <v>541341</v>
      </c>
      <c r="C5017" s="226" t="s">
        <v>7793</v>
      </c>
      <c r="D5017" s="226" t="s">
        <v>7505</v>
      </c>
    </row>
    <row r="5018" spans="1:4">
      <c r="A5018" s="226" t="s">
        <v>7794</v>
      </c>
      <c r="B5018" s="226">
        <v>541343</v>
      </c>
      <c r="C5018" s="226" t="s">
        <v>7795</v>
      </c>
      <c r="D5018" s="226" t="s">
        <v>7505</v>
      </c>
    </row>
    <row r="5019" spans="1:4">
      <c r="A5019" s="226" t="s">
        <v>7796</v>
      </c>
      <c r="B5019" s="226">
        <v>541345</v>
      </c>
      <c r="C5019" s="226" t="s">
        <v>7797</v>
      </c>
      <c r="D5019" s="226" t="s">
        <v>7505</v>
      </c>
    </row>
    <row r="5020" spans="1:4">
      <c r="A5020" s="226" t="s">
        <v>7798</v>
      </c>
      <c r="B5020" s="226">
        <v>541346</v>
      </c>
      <c r="C5020" s="226" t="s">
        <v>7799</v>
      </c>
      <c r="D5020" s="226" t="s">
        <v>7505</v>
      </c>
    </row>
    <row r="5021" spans="1:4">
      <c r="A5021" s="226" t="s">
        <v>7800</v>
      </c>
      <c r="B5021" s="226">
        <v>541672</v>
      </c>
      <c r="C5021" s="226" t="s">
        <v>7801</v>
      </c>
      <c r="D5021" s="226" t="s">
        <v>7505</v>
      </c>
    </row>
    <row r="5022" spans="1:4">
      <c r="A5022" s="226" t="s">
        <v>7802</v>
      </c>
      <c r="B5022" s="226">
        <v>541673</v>
      </c>
      <c r="C5022" s="226" t="s">
        <v>7803</v>
      </c>
      <c r="D5022" s="226" t="s">
        <v>7505</v>
      </c>
    </row>
    <row r="5023" spans="1:4">
      <c r="A5023" s="226" t="s">
        <v>7804</v>
      </c>
      <c r="B5023" s="226">
        <v>541674</v>
      </c>
      <c r="C5023" s="226" t="s">
        <v>7805</v>
      </c>
      <c r="D5023" s="226" t="s">
        <v>7505</v>
      </c>
    </row>
    <row r="5024" spans="1:4">
      <c r="A5024" s="226" t="s">
        <v>7806</v>
      </c>
      <c r="B5024" s="226">
        <v>541675</v>
      </c>
      <c r="C5024" s="226" t="s">
        <v>7807</v>
      </c>
      <c r="D5024" s="226" t="s">
        <v>7505</v>
      </c>
    </row>
    <row r="5025" spans="1:4">
      <c r="A5025" s="226" t="s">
        <v>7808</v>
      </c>
      <c r="B5025" s="226">
        <v>541676</v>
      </c>
      <c r="C5025" s="226" t="s">
        <v>7809</v>
      </c>
      <c r="D5025" s="226" t="s">
        <v>7505</v>
      </c>
    </row>
    <row r="5026" spans="1:4">
      <c r="A5026" s="226" t="s">
        <v>7810</v>
      </c>
      <c r="B5026" s="226">
        <v>541677</v>
      </c>
      <c r="C5026" s="226" t="s">
        <v>7811</v>
      </c>
      <c r="D5026" s="226" t="s">
        <v>7505</v>
      </c>
    </row>
    <row r="5027" spans="1:4">
      <c r="A5027" s="226" t="s">
        <v>7812</v>
      </c>
      <c r="B5027" s="226">
        <v>541678</v>
      </c>
      <c r="C5027" s="226" t="s">
        <v>7813</v>
      </c>
      <c r="D5027" s="226" t="s">
        <v>7505</v>
      </c>
    </row>
    <row r="5028" spans="1:4">
      <c r="A5028" s="226" t="s">
        <v>7814</v>
      </c>
      <c r="B5028" s="226">
        <v>541679</v>
      </c>
      <c r="C5028" s="226" t="s">
        <v>7815</v>
      </c>
      <c r="D5028" s="226" t="s">
        <v>7505</v>
      </c>
    </row>
    <row r="5029" spans="1:4">
      <c r="A5029" s="226" t="s">
        <v>7816</v>
      </c>
      <c r="B5029" s="226">
        <v>541725</v>
      </c>
      <c r="C5029" s="226" t="s">
        <v>7817</v>
      </c>
      <c r="D5029" s="226" t="s">
        <v>7505</v>
      </c>
    </row>
    <row r="5030" spans="1:4">
      <c r="A5030" s="226" t="s">
        <v>7818</v>
      </c>
      <c r="B5030" s="226">
        <v>541726</v>
      </c>
      <c r="C5030" s="226" t="s">
        <v>7819</v>
      </c>
      <c r="D5030" s="226" t="s">
        <v>7505</v>
      </c>
    </row>
    <row r="5031" spans="1:4">
      <c r="A5031" s="226" t="s">
        <v>7820</v>
      </c>
      <c r="B5031" s="226">
        <v>541727</v>
      </c>
      <c r="C5031" s="226" t="s">
        <v>7821</v>
      </c>
      <c r="D5031" s="226" t="s">
        <v>7505</v>
      </c>
    </row>
    <row r="5032" spans="1:4">
      <c r="A5032" s="226" t="s">
        <v>7822</v>
      </c>
      <c r="B5032" s="226">
        <v>541728</v>
      </c>
      <c r="C5032" s="226" t="s">
        <v>7823</v>
      </c>
      <c r="D5032" s="226" t="s">
        <v>7505</v>
      </c>
    </row>
    <row r="5033" spans="1:4">
      <c r="A5033" s="226" t="s">
        <v>7824</v>
      </c>
      <c r="B5033" s="226">
        <v>541742</v>
      </c>
      <c r="C5033" s="226" t="s">
        <v>7825</v>
      </c>
      <c r="D5033" s="226" t="s">
        <v>7505</v>
      </c>
    </row>
    <row r="5034" spans="1:4">
      <c r="A5034" s="226" t="s">
        <v>7826</v>
      </c>
      <c r="B5034" s="226">
        <v>541743</v>
      </c>
      <c r="C5034" s="226" t="s">
        <v>7827</v>
      </c>
      <c r="D5034" s="226" t="s">
        <v>7505</v>
      </c>
    </row>
    <row r="5035" spans="1:4">
      <c r="A5035" s="226" t="s">
        <v>7828</v>
      </c>
      <c r="B5035" s="226">
        <v>541744</v>
      </c>
      <c r="C5035" s="226" t="s">
        <v>7829</v>
      </c>
      <c r="D5035" s="226" t="s">
        <v>7505</v>
      </c>
    </row>
    <row r="5036" spans="1:4">
      <c r="A5036" s="226" t="s">
        <v>7830</v>
      </c>
      <c r="B5036" s="226">
        <v>541745</v>
      </c>
      <c r="C5036" s="226" t="s">
        <v>7831</v>
      </c>
      <c r="D5036" s="226" t="s">
        <v>7505</v>
      </c>
    </row>
    <row r="5037" spans="1:4">
      <c r="A5037" s="226" t="s">
        <v>7832</v>
      </c>
      <c r="B5037" s="226">
        <v>541804</v>
      </c>
      <c r="C5037" s="226" t="s">
        <v>7833</v>
      </c>
      <c r="D5037" s="226" t="s">
        <v>7505</v>
      </c>
    </row>
    <row r="5038" spans="1:4">
      <c r="A5038" s="226" t="s">
        <v>7834</v>
      </c>
      <c r="B5038" s="226">
        <v>541805</v>
      </c>
      <c r="C5038" s="226" t="s">
        <v>7835</v>
      </c>
      <c r="D5038" s="226" t="s">
        <v>7505</v>
      </c>
    </row>
    <row r="5039" spans="1:4">
      <c r="A5039" s="226" t="s">
        <v>7836</v>
      </c>
      <c r="B5039" s="226">
        <v>541806</v>
      </c>
      <c r="C5039" s="226" t="s">
        <v>7837</v>
      </c>
      <c r="D5039" s="226" t="s">
        <v>7505</v>
      </c>
    </row>
    <row r="5040" spans="1:4">
      <c r="A5040" s="226" t="s">
        <v>7838</v>
      </c>
      <c r="B5040" s="226">
        <v>541807</v>
      </c>
      <c r="C5040" s="226" t="s">
        <v>7839</v>
      </c>
      <c r="D5040" s="226" t="s">
        <v>7505</v>
      </c>
    </row>
    <row r="5041" spans="1:4">
      <c r="A5041" s="226" t="s">
        <v>7840</v>
      </c>
      <c r="B5041" s="226">
        <v>541809</v>
      </c>
      <c r="C5041" s="226" t="s">
        <v>7841</v>
      </c>
      <c r="D5041" s="226" t="s">
        <v>7505</v>
      </c>
    </row>
    <row r="5042" spans="1:4">
      <c r="A5042" s="226" t="s">
        <v>7842</v>
      </c>
      <c r="B5042" s="226">
        <v>541879</v>
      </c>
      <c r="C5042" s="226" t="s">
        <v>7843</v>
      </c>
      <c r="D5042" s="226" t="s">
        <v>7505</v>
      </c>
    </row>
    <row r="5043" spans="1:4">
      <c r="A5043" s="226" t="s">
        <v>7844</v>
      </c>
      <c r="B5043" s="226">
        <v>541881</v>
      </c>
      <c r="C5043" s="226" t="s">
        <v>7845</v>
      </c>
      <c r="D5043" s="226" t="s">
        <v>7505</v>
      </c>
    </row>
    <row r="5044" spans="1:4">
      <c r="A5044" s="226" t="s">
        <v>7846</v>
      </c>
      <c r="B5044" s="226">
        <v>541882</v>
      </c>
      <c r="C5044" s="226" t="s">
        <v>7847</v>
      </c>
      <c r="D5044" s="226" t="s">
        <v>7505</v>
      </c>
    </row>
    <row r="5045" spans="1:4">
      <c r="A5045" s="226" t="s">
        <v>7848</v>
      </c>
      <c r="B5045" s="226">
        <v>541884</v>
      </c>
      <c r="C5045" s="226" t="s">
        <v>7849</v>
      </c>
      <c r="D5045" s="226" t="s">
        <v>7505</v>
      </c>
    </row>
    <row r="5046" spans="1:4">
      <c r="A5046" s="226" t="s">
        <v>7850</v>
      </c>
      <c r="B5046" s="226">
        <v>541972</v>
      </c>
      <c r="C5046" s="226" t="s">
        <v>7851</v>
      </c>
      <c r="D5046" s="226" t="s">
        <v>7505</v>
      </c>
    </row>
    <row r="5047" spans="1:4">
      <c r="A5047" s="226" t="s">
        <v>7852</v>
      </c>
      <c r="B5047" s="226">
        <v>541984</v>
      </c>
      <c r="C5047" s="226" t="s">
        <v>7853</v>
      </c>
      <c r="D5047" s="226" t="s">
        <v>7505</v>
      </c>
    </row>
    <row r="5048" spans="1:4">
      <c r="A5048" s="226" t="s">
        <v>7854</v>
      </c>
      <c r="B5048" s="226">
        <v>541985</v>
      </c>
      <c r="C5048" s="226" t="s">
        <v>7855</v>
      </c>
      <c r="D5048" s="226" t="s">
        <v>7505</v>
      </c>
    </row>
    <row r="5049" spans="1:4">
      <c r="A5049" s="226" t="s">
        <v>7856</v>
      </c>
      <c r="B5049" s="226">
        <v>541986</v>
      </c>
      <c r="C5049" s="226" t="s">
        <v>7857</v>
      </c>
      <c r="D5049" s="226" t="s">
        <v>7505</v>
      </c>
    </row>
    <row r="5050" spans="1:4">
      <c r="A5050" s="226" t="s">
        <v>7858</v>
      </c>
      <c r="B5050" s="226">
        <v>541987</v>
      </c>
      <c r="C5050" s="226" t="s">
        <v>7859</v>
      </c>
      <c r="D5050" s="226" t="s">
        <v>7505</v>
      </c>
    </row>
    <row r="5051" spans="1:4">
      <c r="A5051" s="226" t="s">
        <v>7860</v>
      </c>
      <c r="B5051" s="226">
        <v>542131</v>
      </c>
      <c r="C5051" s="226" t="s">
        <v>7861</v>
      </c>
      <c r="D5051" s="226" t="s">
        <v>7505</v>
      </c>
    </row>
    <row r="5052" spans="1:4">
      <c r="A5052" s="226" t="s">
        <v>7862</v>
      </c>
      <c r="B5052" s="226">
        <v>542156</v>
      </c>
      <c r="C5052" s="226" t="s">
        <v>7863</v>
      </c>
      <c r="D5052" s="226" t="s">
        <v>7505</v>
      </c>
    </row>
    <row r="5053" spans="1:4">
      <c r="A5053" s="226" t="s">
        <v>7864</v>
      </c>
      <c r="B5053" s="226">
        <v>542158</v>
      </c>
      <c r="C5053" s="226" t="s">
        <v>7865</v>
      </c>
      <c r="D5053" s="226" t="s">
        <v>7505</v>
      </c>
    </row>
    <row r="5054" spans="1:4">
      <c r="A5054" s="226" t="s">
        <v>7866</v>
      </c>
      <c r="B5054" s="226">
        <v>542160</v>
      </c>
      <c r="C5054" s="226" t="s">
        <v>7867</v>
      </c>
      <c r="D5054" s="226" t="s">
        <v>7505</v>
      </c>
    </row>
    <row r="5055" spans="1:4">
      <c r="A5055" s="226" t="s">
        <v>7868</v>
      </c>
      <c r="B5055" s="226">
        <v>542163</v>
      </c>
      <c r="C5055" s="226" t="s">
        <v>7869</v>
      </c>
      <c r="D5055" s="226" t="s">
        <v>7505</v>
      </c>
    </row>
    <row r="5056" spans="1:4">
      <c r="A5056" s="226" t="s">
        <v>7870</v>
      </c>
      <c r="B5056" s="226">
        <v>542230</v>
      </c>
      <c r="C5056" s="226" t="s">
        <v>7871</v>
      </c>
      <c r="D5056" s="226" t="s">
        <v>7505</v>
      </c>
    </row>
    <row r="5057" spans="1:4">
      <c r="A5057" s="226" t="s">
        <v>7872</v>
      </c>
      <c r="B5057" s="226">
        <v>542244</v>
      </c>
      <c r="C5057" s="226" t="s">
        <v>7873</v>
      </c>
      <c r="D5057" s="226" t="s">
        <v>7505</v>
      </c>
    </row>
    <row r="5058" spans="1:4">
      <c r="A5058" s="226" t="s">
        <v>7874</v>
      </c>
      <c r="B5058" s="226">
        <v>542245</v>
      </c>
      <c r="C5058" s="226" t="s">
        <v>7875</v>
      </c>
      <c r="D5058" s="226" t="s">
        <v>7505</v>
      </c>
    </row>
    <row r="5059" spans="1:4">
      <c r="A5059" s="226" t="s">
        <v>7876</v>
      </c>
      <c r="B5059" s="226">
        <v>542246</v>
      </c>
      <c r="C5059" s="226" t="s">
        <v>7877</v>
      </c>
      <c r="D5059" s="226" t="s">
        <v>7505</v>
      </c>
    </row>
    <row r="5060" spans="1:4">
      <c r="A5060" s="226" t="s">
        <v>7878</v>
      </c>
      <c r="B5060" s="226">
        <v>542247</v>
      </c>
      <c r="C5060" s="226" t="s">
        <v>7879</v>
      </c>
      <c r="D5060" s="226" t="s">
        <v>7505</v>
      </c>
    </row>
    <row r="5061" spans="1:4">
      <c r="A5061" s="226" t="s">
        <v>7880</v>
      </c>
      <c r="B5061" s="226">
        <v>542513</v>
      </c>
      <c r="C5061" s="226" t="s">
        <v>7881</v>
      </c>
      <c r="D5061" s="226" t="s">
        <v>7505</v>
      </c>
    </row>
    <row r="5062" spans="1:4">
      <c r="A5062" s="226" t="s">
        <v>7882</v>
      </c>
      <c r="B5062" s="226">
        <v>542543</v>
      </c>
      <c r="C5062" s="226" t="s">
        <v>7883</v>
      </c>
      <c r="D5062" s="226" t="s">
        <v>7505</v>
      </c>
    </row>
    <row r="5063" spans="1:4">
      <c r="A5063" s="226" t="s">
        <v>7884</v>
      </c>
      <c r="B5063" s="226">
        <v>542694</v>
      </c>
      <c r="C5063" s="226" t="s">
        <v>7885</v>
      </c>
      <c r="D5063" s="226" t="s">
        <v>508</v>
      </c>
    </row>
    <row r="5064" spans="1:4">
      <c r="A5064" s="226" t="s">
        <v>7886</v>
      </c>
      <c r="B5064" s="226">
        <v>542721</v>
      </c>
      <c r="C5064" s="226" t="s">
        <v>7887</v>
      </c>
      <c r="D5064" s="226" t="s">
        <v>508</v>
      </c>
    </row>
    <row r="5065" spans="1:4">
      <c r="A5065" s="226" t="s">
        <v>7888</v>
      </c>
      <c r="B5065" s="226">
        <v>542724</v>
      </c>
      <c r="C5065" s="226" t="s">
        <v>7889</v>
      </c>
      <c r="D5065" s="226" t="s">
        <v>524</v>
      </c>
    </row>
    <row r="5066" spans="1:4">
      <c r="A5066" s="226" t="s">
        <v>7890</v>
      </c>
      <c r="B5066" s="226">
        <v>542725</v>
      </c>
      <c r="C5066" s="226" t="s">
        <v>7891</v>
      </c>
      <c r="D5066" s="226" t="s">
        <v>599</v>
      </c>
    </row>
    <row r="5067" spans="1:4">
      <c r="A5067" s="226" t="s">
        <v>7892</v>
      </c>
      <c r="B5067" s="226">
        <v>542726</v>
      </c>
      <c r="C5067" s="226" t="s">
        <v>7893</v>
      </c>
      <c r="D5067" s="226" t="s">
        <v>492</v>
      </c>
    </row>
    <row r="5068" spans="1:4">
      <c r="A5068" s="226" t="s">
        <v>7894</v>
      </c>
      <c r="B5068" s="226">
        <v>542727</v>
      </c>
      <c r="C5068" s="226" t="s">
        <v>7895</v>
      </c>
      <c r="D5068" s="226" t="s">
        <v>487</v>
      </c>
    </row>
    <row r="5069" spans="1:4">
      <c r="A5069" s="226" t="s">
        <v>7896</v>
      </c>
      <c r="B5069" s="226">
        <v>542728</v>
      </c>
      <c r="C5069" s="226" t="s">
        <v>7897</v>
      </c>
      <c r="D5069" s="226" t="s">
        <v>599</v>
      </c>
    </row>
    <row r="5070" spans="1:4">
      <c r="A5070" s="226" t="s">
        <v>7898</v>
      </c>
      <c r="B5070" s="226">
        <v>542729</v>
      </c>
      <c r="C5070" s="226" t="s">
        <v>7899</v>
      </c>
      <c r="D5070" s="226" t="s">
        <v>501</v>
      </c>
    </row>
    <row r="5071" spans="1:4">
      <c r="A5071" s="226" t="s">
        <v>7900</v>
      </c>
      <c r="B5071" s="226">
        <v>542730</v>
      </c>
      <c r="C5071" s="226" t="s">
        <v>7901</v>
      </c>
      <c r="D5071" s="226" t="s">
        <v>7505</v>
      </c>
    </row>
    <row r="5072" spans="1:4">
      <c r="A5072" s="226" t="s">
        <v>7902</v>
      </c>
      <c r="B5072" s="226">
        <v>542747</v>
      </c>
      <c r="C5072" s="226" t="s">
        <v>7903</v>
      </c>
      <c r="D5072" s="226" t="s">
        <v>7505</v>
      </c>
    </row>
    <row r="5073" spans="1:4">
      <c r="A5073" s="226" t="s">
        <v>7904</v>
      </c>
      <c r="B5073" s="226">
        <v>542752</v>
      </c>
      <c r="C5073" s="226" t="s">
        <v>7905</v>
      </c>
      <c r="D5073" s="226" t="s">
        <v>2086</v>
      </c>
    </row>
    <row r="5074" spans="1:4">
      <c r="A5074" s="226" t="s">
        <v>7906</v>
      </c>
      <c r="B5074" s="226">
        <v>542753</v>
      </c>
      <c r="C5074" s="226" t="s">
        <v>7907</v>
      </c>
      <c r="D5074" s="226" t="s">
        <v>520</v>
      </c>
    </row>
    <row r="5075" spans="1:4">
      <c r="A5075" s="226" t="s">
        <v>7908</v>
      </c>
      <c r="B5075" s="226">
        <v>542758</v>
      </c>
      <c r="C5075" s="226" t="s">
        <v>7909</v>
      </c>
      <c r="D5075" s="226" t="s">
        <v>7505</v>
      </c>
    </row>
    <row r="5076" spans="1:4">
      <c r="A5076" s="226" t="s">
        <v>7910</v>
      </c>
      <c r="B5076" s="226">
        <v>542759</v>
      </c>
      <c r="C5076" s="226" t="s">
        <v>7911</v>
      </c>
      <c r="D5076" s="226" t="s">
        <v>503</v>
      </c>
    </row>
    <row r="5077" spans="1:4">
      <c r="A5077" s="226" t="s">
        <v>7912</v>
      </c>
      <c r="B5077" s="226">
        <v>542760</v>
      </c>
      <c r="C5077" s="226" t="s">
        <v>7913</v>
      </c>
      <c r="D5077" s="226" t="s">
        <v>529</v>
      </c>
    </row>
    <row r="5078" spans="1:4">
      <c r="A5078" s="226" t="s">
        <v>7914</v>
      </c>
      <c r="B5078" s="226">
        <v>542765</v>
      </c>
      <c r="C5078" s="226" t="s">
        <v>7915</v>
      </c>
      <c r="D5078" s="226" t="s">
        <v>1650</v>
      </c>
    </row>
    <row r="5079" spans="1:4">
      <c r="A5079" s="226" t="s">
        <v>7916</v>
      </c>
      <c r="B5079" s="226">
        <v>542770</v>
      </c>
      <c r="C5079" s="226" t="s">
        <v>7917</v>
      </c>
      <c r="D5079" s="226" t="s">
        <v>473</v>
      </c>
    </row>
    <row r="5080" spans="1:4">
      <c r="A5080" s="226" t="s">
        <v>7918</v>
      </c>
      <c r="B5080" s="226">
        <v>542771</v>
      </c>
      <c r="C5080" s="226" t="s">
        <v>7919</v>
      </c>
      <c r="D5080" s="226" t="s">
        <v>667</v>
      </c>
    </row>
    <row r="5081" spans="1:4">
      <c r="A5081" s="226" t="s">
        <v>7920</v>
      </c>
      <c r="B5081" s="226">
        <v>542772</v>
      </c>
      <c r="C5081" s="226" t="s">
        <v>7921</v>
      </c>
      <c r="D5081" s="226" t="s">
        <v>470</v>
      </c>
    </row>
    <row r="5082" spans="1:4">
      <c r="A5082" s="226" t="s">
        <v>7922</v>
      </c>
      <c r="B5082" s="226">
        <v>542773</v>
      </c>
      <c r="C5082" s="226" t="s">
        <v>7923</v>
      </c>
      <c r="D5082" s="226" t="s">
        <v>470</v>
      </c>
    </row>
    <row r="5083" spans="1:4">
      <c r="A5083" s="226" t="s">
        <v>7924</v>
      </c>
      <c r="B5083" s="226">
        <v>542774</v>
      </c>
      <c r="C5083" s="226" t="s">
        <v>7925</v>
      </c>
      <c r="D5083" s="226" t="s">
        <v>503</v>
      </c>
    </row>
    <row r="5084" spans="1:4">
      <c r="A5084" s="226" t="s">
        <v>7926</v>
      </c>
      <c r="B5084" s="226">
        <v>542801</v>
      </c>
      <c r="C5084" s="226" t="s">
        <v>7927</v>
      </c>
      <c r="D5084" s="226" t="s">
        <v>494</v>
      </c>
    </row>
    <row r="5085" spans="1:4">
      <c r="A5085" s="226" t="s">
        <v>7928</v>
      </c>
      <c r="B5085" s="226">
        <v>542802</v>
      </c>
      <c r="C5085" s="226" t="s">
        <v>7929</v>
      </c>
      <c r="D5085" s="226" t="s">
        <v>470</v>
      </c>
    </row>
    <row r="5086" spans="1:4">
      <c r="A5086" s="226" t="s">
        <v>7930</v>
      </c>
      <c r="B5086" s="226">
        <v>542803</v>
      </c>
      <c r="C5086" s="226" t="s">
        <v>7931</v>
      </c>
      <c r="D5086" s="226" t="s">
        <v>508</v>
      </c>
    </row>
    <row r="5087" spans="1:4">
      <c r="A5087" s="226" t="s">
        <v>7932</v>
      </c>
      <c r="B5087" s="226">
        <v>542804</v>
      </c>
      <c r="C5087" s="226" t="s">
        <v>7933</v>
      </c>
      <c r="D5087" s="226" t="s">
        <v>7505</v>
      </c>
    </row>
    <row r="5088" spans="1:4">
      <c r="A5088" s="226" t="s">
        <v>7934</v>
      </c>
      <c r="B5088" s="226">
        <v>542805</v>
      </c>
      <c r="C5088" s="226" t="s">
        <v>7935</v>
      </c>
      <c r="D5088" s="226" t="s">
        <v>7505</v>
      </c>
    </row>
    <row r="5089" spans="1:4">
      <c r="A5089" s="226" t="s">
        <v>7936</v>
      </c>
      <c r="B5089" s="226">
        <v>542806</v>
      </c>
      <c r="C5089" s="226" t="s">
        <v>7937</v>
      </c>
      <c r="D5089" s="226" t="s">
        <v>7505</v>
      </c>
    </row>
    <row r="5090" spans="1:4">
      <c r="A5090" s="226" t="s">
        <v>7938</v>
      </c>
      <c r="B5090" s="226">
        <v>542807</v>
      </c>
      <c r="C5090" s="226" t="s">
        <v>7939</v>
      </c>
      <c r="D5090" s="226" t="s">
        <v>7505</v>
      </c>
    </row>
    <row r="5091" spans="1:4">
      <c r="A5091" s="226" t="s">
        <v>7940</v>
      </c>
      <c r="B5091" s="226">
        <v>542808</v>
      </c>
      <c r="C5091" s="226" t="s">
        <v>7941</v>
      </c>
      <c r="D5091" s="226" t="s">
        <v>7505</v>
      </c>
    </row>
    <row r="5092" spans="1:4">
      <c r="A5092" s="226" t="s">
        <v>7942</v>
      </c>
      <c r="B5092" s="226">
        <v>542809</v>
      </c>
      <c r="C5092" s="226" t="s">
        <v>7943</v>
      </c>
      <c r="D5092" s="226" t="s">
        <v>7505</v>
      </c>
    </row>
    <row r="5093" spans="1:4">
      <c r="A5093" s="226" t="s">
        <v>7944</v>
      </c>
      <c r="B5093" s="226">
        <v>542810</v>
      </c>
      <c r="C5093" s="226" t="s">
        <v>7945</v>
      </c>
      <c r="D5093" s="226" t="s">
        <v>7505</v>
      </c>
    </row>
    <row r="5094" spans="1:4">
      <c r="A5094" s="226" t="s">
        <v>7946</v>
      </c>
      <c r="B5094" s="226">
        <v>542811</v>
      </c>
      <c r="C5094" s="226" t="s">
        <v>7947</v>
      </c>
      <c r="D5094" s="226" t="s">
        <v>7505</v>
      </c>
    </row>
    <row r="5095" spans="1:4">
      <c r="A5095" s="226" t="s">
        <v>7948</v>
      </c>
      <c r="B5095" s="226">
        <v>542812</v>
      </c>
      <c r="C5095" s="226" t="s">
        <v>7949</v>
      </c>
      <c r="D5095" s="226" t="s">
        <v>645</v>
      </c>
    </row>
    <row r="5096" spans="1:4">
      <c r="A5096" s="226" t="s">
        <v>7950</v>
      </c>
      <c r="B5096" s="226">
        <v>542813</v>
      </c>
      <c r="C5096" s="226" t="s">
        <v>7951</v>
      </c>
      <c r="D5096" s="226" t="s">
        <v>7505</v>
      </c>
    </row>
    <row r="5097" spans="1:4">
      <c r="A5097" s="226" t="s">
        <v>7952</v>
      </c>
      <c r="B5097" s="226">
        <v>542814</v>
      </c>
      <c r="C5097" s="226" t="s">
        <v>7953</v>
      </c>
      <c r="D5097" s="226" t="s">
        <v>7505</v>
      </c>
    </row>
    <row r="5098" spans="1:4">
      <c r="A5098" s="226" t="s">
        <v>7954</v>
      </c>
      <c r="B5098" s="226">
        <v>542815</v>
      </c>
      <c r="C5098" s="226" t="s">
        <v>7955</v>
      </c>
      <c r="D5098" s="226" t="s">
        <v>7505</v>
      </c>
    </row>
    <row r="5099" spans="1:4">
      <c r="A5099" s="226" t="s">
        <v>7956</v>
      </c>
      <c r="B5099" s="226">
        <v>542816</v>
      </c>
      <c r="C5099" s="226" t="s">
        <v>7957</v>
      </c>
      <c r="D5099" s="226" t="s">
        <v>7505</v>
      </c>
    </row>
    <row r="5100" spans="1:4">
      <c r="A5100" s="226" t="s">
        <v>7958</v>
      </c>
      <c r="B5100" s="226">
        <v>542817</v>
      </c>
      <c r="C5100" s="226" t="s">
        <v>7959</v>
      </c>
      <c r="D5100" s="226" t="s">
        <v>7505</v>
      </c>
    </row>
    <row r="5101" spans="1:4">
      <c r="A5101" s="226" t="s">
        <v>7960</v>
      </c>
      <c r="B5101" s="226">
        <v>542818</v>
      </c>
      <c r="C5101" s="226" t="s">
        <v>7961</v>
      </c>
      <c r="D5101" s="226" t="s">
        <v>7505</v>
      </c>
    </row>
    <row r="5102" spans="1:4">
      <c r="A5102" s="226" t="s">
        <v>7962</v>
      </c>
      <c r="B5102" s="226">
        <v>542819</v>
      </c>
      <c r="C5102" s="226" t="s">
        <v>7963</v>
      </c>
      <c r="D5102" s="226" t="s">
        <v>7505</v>
      </c>
    </row>
    <row r="5103" spans="1:4">
      <c r="A5103" s="226" t="s">
        <v>7964</v>
      </c>
      <c r="B5103" s="226">
        <v>542820</v>
      </c>
      <c r="C5103" s="226" t="s">
        <v>7965</v>
      </c>
      <c r="D5103" s="226" t="s">
        <v>7505</v>
      </c>
    </row>
    <row r="5104" spans="1:4">
      <c r="A5104" s="226" t="s">
        <v>7966</v>
      </c>
      <c r="B5104" s="226">
        <v>542830</v>
      </c>
      <c r="C5104" s="226" t="s">
        <v>7967</v>
      </c>
      <c r="D5104" s="226" t="s">
        <v>1486</v>
      </c>
    </row>
    <row r="5105" spans="1:4">
      <c r="A5105" s="226" t="s">
        <v>7968</v>
      </c>
      <c r="B5105" s="226">
        <v>542836</v>
      </c>
      <c r="C5105" s="226" t="s">
        <v>7969</v>
      </c>
      <c r="D5105" s="226" t="s">
        <v>7505</v>
      </c>
    </row>
    <row r="5106" spans="1:4">
      <c r="A5106" s="226" t="s">
        <v>7970</v>
      </c>
      <c r="B5106" s="226">
        <v>542837</v>
      </c>
      <c r="C5106" s="226" t="s">
        <v>7971</v>
      </c>
      <c r="D5106" s="226" t="s">
        <v>7505</v>
      </c>
    </row>
    <row r="5107" spans="1:4">
      <c r="A5107" s="226" t="s">
        <v>7972</v>
      </c>
      <c r="B5107" s="226">
        <v>542838</v>
      </c>
      <c r="C5107" s="226" t="s">
        <v>7973</v>
      </c>
      <c r="D5107" s="226" t="s">
        <v>7505</v>
      </c>
    </row>
    <row r="5108" spans="1:4">
      <c r="A5108" s="226" t="s">
        <v>7974</v>
      </c>
      <c r="B5108" s="226">
        <v>542839</v>
      </c>
      <c r="C5108" s="226" t="s">
        <v>7975</v>
      </c>
      <c r="D5108" s="226" t="s">
        <v>7505</v>
      </c>
    </row>
    <row r="5109" spans="1:4">
      <c r="A5109" s="226" t="s">
        <v>7976</v>
      </c>
      <c r="B5109" s="226">
        <v>542840</v>
      </c>
      <c r="C5109" s="226" t="s">
        <v>7977</v>
      </c>
      <c r="D5109" s="226" t="s">
        <v>7505</v>
      </c>
    </row>
    <row r="5110" spans="1:4">
      <c r="A5110" s="226" t="s">
        <v>7978</v>
      </c>
      <c r="B5110" s="226">
        <v>542841</v>
      </c>
      <c r="C5110" s="226" t="s">
        <v>7979</v>
      </c>
      <c r="D5110" s="226" t="s">
        <v>7505</v>
      </c>
    </row>
    <row r="5111" spans="1:4">
      <c r="A5111" s="226" t="s">
        <v>7980</v>
      </c>
      <c r="B5111" s="226">
        <v>542842</v>
      </c>
      <c r="C5111" s="226" t="s">
        <v>7981</v>
      </c>
      <c r="D5111" s="226" t="s">
        <v>7505</v>
      </c>
    </row>
    <row r="5112" spans="1:4">
      <c r="A5112" s="226" t="s">
        <v>7982</v>
      </c>
      <c r="B5112" s="226">
        <v>542843</v>
      </c>
      <c r="C5112" s="226" t="s">
        <v>7983</v>
      </c>
      <c r="D5112" s="226" t="s">
        <v>7505</v>
      </c>
    </row>
    <row r="5113" spans="1:4">
      <c r="A5113" s="226" t="s">
        <v>7984</v>
      </c>
      <c r="B5113" s="226">
        <v>542844</v>
      </c>
      <c r="C5113" s="226" t="s">
        <v>7985</v>
      </c>
      <c r="D5113" s="226" t="s">
        <v>7505</v>
      </c>
    </row>
    <row r="5114" spans="1:4">
      <c r="A5114" s="226" t="s">
        <v>7986</v>
      </c>
      <c r="B5114" s="226">
        <v>542845</v>
      </c>
      <c r="C5114" s="226" t="s">
        <v>7987</v>
      </c>
      <c r="D5114" s="226" t="s">
        <v>7505</v>
      </c>
    </row>
    <row r="5115" spans="1:4">
      <c r="A5115" s="226" t="s">
        <v>7988</v>
      </c>
      <c r="B5115" s="226">
        <v>542846</v>
      </c>
      <c r="C5115" s="226" t="s">
        <v>7989</v>
      </c>
      <c r="D5115" s="226" t="s">
        <v>7505</v>
      </c>
    </row>
    <row r="5116" spans="1:4">
      <c r="A5116" s="226" t="s">
        <v>7990</v>
      </c>
      <c r="B5116" s="226">
        <v>542847</v>
      </c>
      <c r="C5116" s="226" t="s">
        <v>7991</v>
      </c>
      <c r="D5116" s="226" t="s">
        <v>7505</v>
      </c>
    </row>
    <row r="5117" spans="1:4">
      <c r="A5117" s="226" t="s">
        <v>7992</v>
      </c>
      <c r="B5117" s="226">
        <v>542848</v>
      </c>
      <c r="C5117" s="226" t="s">
        <v>7993</v>
      </c>
      <c r="D5117" s="226" t="s">
        <v>7505</v>
      </c>
    </row>
    <row r="5118" spans="1:4">
      <c r="A5118" s="226" t="s">
        <v>7994</v>
      </c>
      <c r="B5118" s="226">
        <v>542849</v>
      </c>
      <c r="C5118" s="226" t="s">
        <v>7995</v>
      </c>
      <c r="D5118" s="226" t="s">
        <v>7505</v>
      </c>
    </row>
    <row r="5119" spans="1:4">
      <c r="A5119" s="226" t="s">
        <v>7996</v>
      </c>
      <c r="B5119" s="226">
        <v>542850</v>
      </c>
      <c r="C5119" s="226" t="s">
        <v>7997</v>
      </c>
      <c r="D5119" s="226" t="s">
        <v>599</v>
      </c>
    </row>
    <row r="5120" spans="1:4">
      <c r="A5120" s="226" t="s">
        <v>7998</v>
      </c>
      <c r="B5120" s="226">
        <v>542851</v>
      </c>
      <c r="C5120" s="226" t="s">
        <v>7999</v>
      </c>
      <c r="D5120" s="226" t="s">
        <v>570</v>
      </c>
    </row>
    <row r="5121" spans="1:4">
      <c r="A5121" s="226" t="s">
        <v>8000</v>
      </c>
      <c r="B5121" s="226">
        <v>542852</v>
      </c>
      <c r="C5121" s="226" t="s">
        <v>8001</v>
      </c>
      <c r="D5121" s="226" t="s">
        <v>1184</v>
      </c>
    </row>
    <row r="5122" spans="1:4">
      <c r="A5122" s="226" t="s">
        <v>8002</v>
      </c>
      <c r="B5122" s="226">
        <v>542857</v>
      </c>
      <c r="C5122" s="226" t="s">
        <v>8003</v>
      </c>
      <c r="D5122" s="226" t="s">
        <v>980</v>
      </c>
    </row>
    <row r="5123" spans="1:4">
      <c r="A5123" s="226" t="s">
        <v>8004</v>
      </c>
      <c r="B5123" s="226">
        <v>542862</v>
      </c>
      <c r="C5123" s="226" t="s">
        <v>8005</v>
      </c>
      <c r="D5123" s="226" t="s">
        <v>501</v>
      </c>
    </row>
    <row r="5124" spans="1:4">
      <c r="A5124" s="226" t="s">
        <v>8006</v>
      </c>
      <c r="B5124" s="226">
        <v>542863</v>
      </c>
      <c r="C5124" s="226" t="s">
        <v>8007</v>
      </c>
      <c r="D5124" s="226" t="s">
        <v>7505</v>
      </c>
    </row>
    <row r="5125" spans="1:4">
      <c r="A5125" s="226" t="s">
        <v>8008</v>
      </c>
      <c r="B5125" s="226">
        <v>542864</v>
      </c>
      <c r="C5125" s="226" t="s">
        <v>8009</v>
      </c>
      <c r="D5125" s="226" t="s">
        <v>572</v>
      </c>
    </row>
    <row r="5126" spans="1:4">
      <c r="A5126" s="226" t="s">
        <v>8010</v>
      </c>
      <c r="B5126" s="226">
        <v>542865</v>
      </c>
      <c r="C5126" s="226" t="s">
        <v>8011</v>
      </c>
      <c r="D5126" s="226" t="s">
        <v>680</v>
      </c>
    </row>
    <row r="5127" spans="1:4">
      <c r="A5127" s="226" t="s">
        <v>8012</v>
      </c>
      <c r="B5127" s="226">
        <v>542866</v>
      </c>
      <c r="C5127" s="226" t="s">
        <v>8013</v>
      </c>
      <c r="D5127" s="226" t="s">
        <v>470</v>
      </c>
    </row>
    <row r="5128" spans="1:4">
      <c r="A5128" s="226" t="s">
        <v>8014</v>
      </c>
      <c r="B5128" s="226">
        <v>542867</v>
      </c>
      <c r="C5128" s="226" t="s">
        <v>8015</v>
      </c>
      <c r="D5128" s="226" t="s">
        <v>803</v>
      </c>
    </row>
    <row r="5129" spans="1:4">
      <c r="A5129" s="226" t="s">
        <v>8016</v>
      </c>
      <c r="B5129" s="226">
        <v>542904</v>
      </c>
      <c r="C5129" s="226" t="s">
        <v>8017</v>
      </c>
      <c r="D5129" s="226" t="s">
        <v>803</v>
      </c>
    </row>
    <row r="5130" spans="1:4">
      <c r="A5130" s="226" t="s">
        <v>8018</v>
      </c>
      <c r="B5130" s="226">
        <v>542905</v>
      </c>
      <c r="C5130" s="226" t="s">
        <v>8019</v>
      </c>
      <c r="D5130" s="226" t="s">
        <v>783</v>
      </c>
    </row>
    <row r="5131" spans="1:4">
      <c r="A5131" s="226" t="s">
        <v>8020</v>
      </c>
      <c r="B5131" s="226">
        <v>542906</v>
      </c>
      <c r="C5131" s="226" t="s">
        <v>8021</v>
      </c>
      <c r="D5131" s="226" t="s">
        <v>503</v>
      </c>
    </row>
    <row r="5132" spans="1:4">
      <c r="A5132" s="226" t="s">
        <v>8022</v>
      </c>
      <c r="B5132" s="226">
        <v>542907</v>
      </c>
      <c r="C5132" s="226" t="s">
        <v>8023</v>
      </c>
      <c r="D5132" s="226" t="s">
        <v>605</v>
      </c>
    </row>
    <row r="5133" spans="1:4">
      <c r="A5133" s="226" t="s">
        <v>8024</v>
      </c>
      <c r="B5133" s="226">
        <v>542910</v>
      </c>
      <c r="C5133" s="226" t="s">
        <v>8025</v>
      </c>
      <c r="D5133" s="226" t="s">
        <v>920</v>
      </c>
    </row>
    <row r="5134" spans="1:4">
      <c r="A5134" s="226" t="s">
        <v>8026</v>
      </c>
      <c r="B5134" s="226">
        <v>542911</v>
      </c>
      <c r="C5134" s="226" t="s">
        <v>8027</v>
      </c>
      <c r="D5134" s="226" t="s">
        <v>503</v>
      </c>
    </row>
    <row r="5135" spans="1:4">
      <c r="A5135" s="226" t="s">
        <v>8028</v>
      </c>
      <c r="B5135" s="226">
        <v>542918</v>
      </c>
      <c r="C5135" s="226" t="s">
        <v>8029</v>
      </c>
      <c r="D5135" s="226" t="s">
        <v>674</v>
      </c>
    </row>
    <row r="5136" spans="1:4">
      <c r="A5136" s="226" t="s">
        <v>8030</v>
      </c>
      <c r="B5136" s="226">
        <v>542919</v>
      </c>
      <c r="C5136" s="226" t="s">
        <v>8031</v>
      </c>
      <c r="D5136" s="226" t="s">
        <v>674</v>
      </c>
    </row>
    <row r="5137" spans="1:4">
      <c r="A5137" s="226" t="s">
        <v>8032</v>
      </c>
      <c r="B5137" s="226">
        <v>542920</v>
      </c>
      <c r="C5137" s="226" t="s">
        <v>8033</v>
      </c>
      <c r="D5137" s="226" t="s">
        <v>629</v>
      </c>
    </row>
    <row r="5138" spans="1:4">
      <c r="A5138" s="226" t="s">
        <v>8034</v>
      </c>
      <c r="B5138" s="226">
        <v>542921</v>
      </c>
      <c r="C5138" s="226" t="s">
        <v>8035</v>
      </c>
      <c r="D5138" s="226" t="s">
        <v>7505</v>
      </c>
    </row>
    <row r="5139" spans="1:4">
      <c r="A5139" s="226" t="s">
        <v>8036</v>
      </c>
      <c r="B5139" s="226">
        <v>542922</v>
      </c>
      <c r="C5139" s="226" t="s">
        <v>8037</v>
      </c>
      <c r="D5139" s="226" t="s">
        <v>7505</v>
      </c>
    </row>
    <row r="5140" spans="1:4">
      <c r="A5140" s="226" t="s">
        <v>8038</v>
      </c>
      <c r="B5140" s="226">
        <v>542923</v>
      </c>
      <c r="C5140" s="226" t="s">
        <v>8039</v>
      </c>
      <c r="D5140" s="226" t="s">
        <v>473</v>
      </c>
    </row>
    <row r="5141" spans="1:4">
      <c r="A5141" s="226" t="s">
        <v>8040</v>
      </c>
      <c r="B5141" s="226">
        <v>542924</v>
      </c>
      <c r="C5141" s="226" t="s">
        <v>8041</v>
      </c>
      <c r="D5141" s="226" t="s">
        <v>346</v>
      </c>
    </row>
    <row r="5142" spans="1:4">
      <c r="A5142" s="226" t="s">
        <v>8042</v>
      </c>
      <c r="B5142" s="226">
        <v>542931</v>
      </c>
      <c r="C5142" s="226" t="s">
        <v>8043</v>
      </c>
      <c r="D5142" s="226" t="s">
        <v>503</v>
      </c>
    </row>
    <row r="5143" spans="1:4">
      <c r="A5143" s="226" t="s">
        <v>8044</v>
      </c>
      <c r="B5143" s="226">
        <v>542932</v>
      </c>
      <c r="C5143" s="226" t="s">
        <v>8045</v>
      </c>
      <c r="D5143" s="226" t="s">
        <v>965</v>
      </c>
    </row>
    <row r="5144" spans="1:4">
      <c r="A5144" s="226" t="s">
        <v>8046</v>
      </c>
      <c r="B5144" s="226">
        <v>542933</v>
      </c>
      <c r="C5144" s="226" t="s">
        <v>8047</v>
      </c>
      <c r="D5144" s="226" t="s">
        <v>1722</v>
      </c>
    </row>
    <row r="5145" spans="1:4">
      <c r="A5145" s="226" t="s">
        <v>8048</v>
      </c>
      <c r="B5145" s="226">
        <v>542934</v>
      </c>
      <c r="C5145" s="226" t="s">
        <v>8049</v>
      </c>
      <c r="D5145" s="226" t="s">
        <v>524</v>
      </c>
    </row>
    <row r="5146" spans="1:4">
      <c r="A5146" s="226" t="s">
        <v>8050</v>
      </c>
      <c r="B5146" s="226">
        <v>542935</v>
      </c>
      <c r="C5146" s="226" t="s">
        <v>8051</v>
      </c>
      <c r="D5146" s="226" t="s">
        <v>546</v>
      </c>
    </row>
    <row r="5147" spans="1:4">
      <c r="A5147" s="226" t="s">
        <v>8052</v>
      </c>
      <c r="B5147" s="226">
        <v>542938</v>
      </c>
      <c r="C5147" s="226" t="s">
        <v>8053</v>
      </c>
      <c r="D5147" s="226" t="s">
        <v>892</v>
      </c>
    </row>
    <row r="5148" spans="1:4">
      <c r="A5148" s="226" t="s">
        <v>8054</v>
      </c>
      <c r="B5148" s="226">
        <v>543064</v>
      </c>
      <c r="C5148" s="226" t="s">
        <v>8055</v>
      </c>
      <c r="D5148" s="226" t="s">
        <v>524</v>
      </c>
    </row>
    <row r="5149" spans="1:4">
      <c r="A5149" s="226" t="s">
        <v>8056</v>
      </c>
      <c r="B5149" s="226">
        <v>543065</v>
      </c>
      <c r="C5149" s="226" t="s">
        <v>8057</v>
      </c>
      <c r="D5149" s="226" t="s">
        <v>670</v>
      </c>
    </row>
    <row r="5150" spans="1:4">
      <c r="A5150" s="226" t="s">
        <v>8058</v>
      </c>
      <c r="B5150" s="226">
        <v>543066</v>
      </c>
      <c r="C5150" s="226" t="s">
        <v>8059</v>
      </c>
      <c r="D5150" s="226" t="s">
        <v>503</v>
      </c>
    </row>
    <row r="5151" spans="1:4">
      <c r="A5151" s="226" t="s">
        <v>8060</v>
      </c>
      <c r="B5151" s="226">
        <v>543144</v>
      </c>
      <c r="C5151" s="226" t="s">
        <v>8061</v>
      </c>
      <c r="D5151" s="226" t="s">
        <v>7505</v>
      </c>
    </row>
    <row r="5152" spans="1:4">
      <c r="A5152" s="226" t="s">
        <v>8062</v>
      </c>
      <c r="B5152" s="226">
        <v>543145</v>
      </c>
      <c r="C5152" s="226" t="s">
        <v>8063</v>
      </c>
      <c r="D5152" s="226" t="s">
        <v>7505</v>
      </c>
    </row>
    <row r="5153" spans="1:4">
      <c r="A5153" s="226" t="s">
        <v>8060</v>
      </c>
      <c r="B5153" s="226">
        <v>543146</v>
      </c>
      <c r="C5153" s="226" t="s">
        <v>8064</v>
      </c>
      <c r="D5153" s="226" t="s">
        <v>7505</v>
      </c>
    </row>
    <row r="5154" spans="1:4">
      <c r="A5154" s="226" t="s">
        <v>8065</v>
      </c>
      <c r="B5154" s="226">
        <v>543147</v>
      </c>
      <c r="C5154" s="226" t="s">
        <v>8066</v>
      </c>
      <c r="D5154" s="226" t="s">
        <v>7505</v>
      </c>
    </row>
    <row r="5155" spans="1:4">
      <c r="A5155" s="226" t="s">
        <v>8065</v>
      </c>
      <c r="B5155" s="226">
        <v>543148</v>
      </c>
      <c r="C5155" s="226" t="s">
        <v>8067</v>
      </c>
      <c r="D5155" s="226" t="s">
        <v>7505</v>
      </c>
    </row>
    <row r="5156" spans="1:4">
      <c r="A5156" s="226" t="s">
        <v>8068</v>
      </c>
      <c r="B5156" s="226">
        <v>543149</v>
      </c>
      <c r="C5156" s="226" t="s">
        <v>8069</v>
      </c>
      <c r="D5156" s="226" t="s">
        <v>7505</v>
      </c>
    </row>
    <row r="5157" spans="1:4">
      <c r="A5157" s="226" t="s">
        <v>8070</v>
      </c>
      <c r="B5157" s="226">
        <v>543150</v>
      </c>
      <c r="C5157" s="226" t="s">
        <v>8071</v>
      </c>
      <c r="D5157" s="226" t="s">
        <v>7505</v>
      </c>
    </row>
    <row r="5158" spans="1:4">
      <c r="A5158" s="226" t="s">
        <v>8072</v>
      </c>
      <c r="B5158" s="226">
        <v>543151</v>
      </c>
      <c r="C5158" s="226" t="s">
        <v>8073</v>
      </c>
      <c r="D5158" s="226" t="s">
        <v>7505</v>
      </c>
    </row>
    <row r="5159" spans="1:4">
      <c r="A5159" s="226" t="s">
        <v>8074</v>
      </c>
      <c r="B5159" s="226">
        <v>543152</v>
      </c>
      <c r="C5159" s="226" t="s">
        <v>8075</v>
      </c>
      <c r="D5159" s="226" t="s">
        <v>7505</v>
      </c>
    </row>
    <row r="5160" spans="1:4">
      <c r="A5160" s="226" t="s">
        <v>8076</v>
      </c>
      <c r="B5160" s="226">
        <v>543153</v>
      </c>
      <c r="C5160" s="226" t="s">
        <v>8077</v>
      </c>
      <c r="D5160" s="226" t="s">
        <v>7505</v>
      </c>
    </row>
    <row r="5161" spans="1:4">
      <c r="A5161" s="226" t="s">
        <v>8074</v>
      </c>
      <c r="B5161" s="226">
        <v>543154</v>
      </c>
      <c r="C5161" s="226" t="s">
        <v>8078</v>
      </c>
      <c r="D5161" s="226" t="s">
        <v>7505</v>
      </c>
    </row>
    <row r="5162" spans="1:4">
      <c r="A5162" s="226" t="s">
        <v>8079</v>
      </c>
      <c r="B5162" s="226">
        <v>543155</v>
      </c>
      <c r="C5162" s="226" t="s">
        <v>8080</v>
      </c>
      <c r="D5162" s="226" t="s">
        <v>7505</v>
      </c>
    </row>
    <row r="5163" spans="1:4">
      <c r="A5163" s="226" t="s">
        <v>8081</v>
      </c>
      <c r="B5163" s="226">
        <v>543156</v>
      </c>
      <c r="C5163" s="226" t="s">
        <v>8082</v>
      </c>
      <c r="D5163" s="226" t="s">
        <v>7505</v>
      </c>
    </row>
    <row r="5164" spans="1:4">
      <c r="A5164" s="226" t="s">
        <v>8079</v>
      </c>
      <c r="B5164" s="226">
        <v>543168</v>
      </c>
      <c r="C5164" s="226" t="s">
        <v>8083</v>
      </c>
      <c r="D5164" s="226" t="s">
        <v>7505</v>
      </c>
    </row>
    <row r="5165" spans="1:4">
      <c r="A5165" s="226" t="s">
        <v>8081</v>
      </c>
      <c r="B5165" s="226">
        <v>543169</v>
      </c>
      <c r="C5165" s="226" t="s">
        <v>8084</v>
      </c>
      <c r="D5165" s="226" t="s">
        <v>7505</v>
      </c>
    </row>
    <row r="5166" spans="1:4">
      <c r="A5166" s="226" t="s">
        <v>8062</v>
      </c>
      <c r="B5166" s="226">
        <v>543170</v>
      </c>
      <c r="C5166" s="226" t="s">
        <v>8085</v>
      </c>
      <c r="D5166" s="226" t="s">
        <v>7505</v>
      </c>
    </row>
    <row r="5167" spans="1:4">
      <c r="A5167" s="226" t="s">
        <v>8086</v>
      </c>
      <c r="B5167" s="226">
        <v>543171</v>
      </c>
      <c r="C5167" s="226" t="s">
        <v>8087</v>
      </c>
      <c r="D5167" s="226" t="s">
        <v>599</v>
      </c>
    </row>
    <row r="5168" spans="1:4">
      <c r="A5168" s="226" t="s">
        <v>8088</v>
      </c>
      <c r="B5168" s="226">
        <v>543172</v>
      </c>
      <c r="C5168" s="226" t="s">
        <v>8089</v>
      </c>
      <c r="D5168" s="226" t="s">
        <v>494</v>
      </c>
    </row>
    <row r="5169" spans="1:4">
      <c r="A5169" s="226" t="s">
        <v>8090</v>
      </c>
      <c r="B5169" s="226">
        <v>543173</v>
      </c>
      <c r="C5169" s="226" t="s">
        <v>8091</v>
      </c>
      <c r="D5169" s="226" t="s">
        <v>7505</v>
      </c>
    </row>
    <row r="5170" spans="1:4">
      <c r="A5170" s="226" t="s">
        <v>8092</v>
      </c>
      <c r="B5170" s="226">
        <v>543174</v>
      </c>
      <c r="C5170" s="226" t="s">
        <v>8093</v>
      </c>
      <c r="D5170" s="226" t="s">
        <v>7505</v>
      </c>
    </row>
    <row r="5171" spans="1:4">
      <c r="A5171" s="226" t="s">
        <v>8094</v>
      </c>
      <c r="B5171" s="226">
        <v>543175</v>
      </c>
      <c r="C5171" s="226" t="s">
        <v>8095</v>
      </c>
      <c r="D5171" s="226" t="s">
        <v>7505</v>
      </c>
    </row>
    <row r="5172" spans="1:4">
      <c r="A5172" s="226" t="s">
        <v>8096</v>
      </c>
      <c r="B5172" s="226">
        <v>543176</v>
      </c>
      <c r="C5172" s="226" t="s">
        <v>8097</v>
      </c>
      <c r="D5172" s="226" t="s">
        <v>7505</v>
      </c>
    </row>
    <row r="5173" spans="1:4">
      <c r="A5173" s="226" t="s">
        <v>8098</v>
      </c>
      <c r="B5173" s="226">
        <v>543177</v>
      </c>
      <c r="C5173" s="226" t="s">
        <v>8099</v>
      </c>
      <c r="D5173" s="226" t="s">
        <v>7505</v>
      </c>
    </row>
    <row r="5174" spans="1:4">
      <c r="A5174" s="226" t="s">
        <v>8100</v>
      </c>
      <c r="B5174" s="226">
        <v>543178</v>
      </c>
      <c r="C5174" s="226" t="s">
        <v>8101</v>
      </c>
      <c r="D5174" s="226" t="s">
        <v>7505</v>
      </c>
    </row>
    <row r="5175" spans="1:4">
      <c r="A5175" s="226" t="s">
        <v>8102</v>
      </c>
      <c r="B5175" s="226">
        <v>543179</v>
      </c>
      <c r="C5175" s="226" t="s">
        <v>8103</v>
      </c>
      <c r="D5175" s="226" t="s">
        <v>7505</v>
      </c>
    </row>
    <row r="5176" spans="1:4">
      <c r="A5176" s="226" t="s">
        <v>8104</v>
      </c>
      <c r="B5176" s="226">
        <v>543180</v>
      </c>
      <c r="C5176" s="226" t="s">
        <v>8105</v>
      </c>
      <c r="D5176" s="226" t="s">
        <v>7505</v>
      </c>
    </row>
    <row r="5177" spans="1:4">
      <c r="A5177" s="226" t="s">
        <v>8106</v>
      </c>
      <c r="B5177" s="226">
        <v>543181</v>
      </c>
      <c r="C5177" s="226" t="s">
        <v>8107</v>
      </c>
      <c r="D5177" s="226" t="s">
        <v>7505</v>
      </c>
    </row>
    <row r="5178" spans="1:4">
      <c r="A5178" s="226" t="s">
        <v>8108</v>
      </c>
      <c r="B5178" s="226">
        <v>543182</v>
      </c>
      <c r="C5178" s="226" t="s">
        <v>8109</v>
      </c>
      <c r="D5178" s="226" t="s">
        <v>7505</v>
      </c>
    </row>
    <row r="5179" spans="1:4">
      <c r="A5179" s="226" t="s">
        <v>8110</v>
      </c>
      <c r="B5179" s="226">
        <v>543183</v>
      </c>
      <c r="C5179" s="226" t="s">
        <v>8111</v>
      </c>
      <c r="D5179" s="226" t="s">
        <v>7505</v>
      </c>
    </row>
    <row r="5180" spans="1:4">
      <c r="A5180" s="226" t="s">
        <v>8112</v>
      </c>
      <c r="B5180" s="226">
        <v>543184</v>
      </c>
      <c r="C5180" s="226" t="s">
        <v>8113</v>
      </c>
      <c r="D5180" s="226" t="s">
        <v>7505</v>
      </c>
    </row>
    <row r="5181" spans="1:4">
      <c r="A5181" s="226" t="s">
        <v>8114</v>
      </c>
      <c r="B5181" s="226">
        <v>543185</v>
      </c>
      <c r="C5181" s="226" t="s">
        <v>8115</v>
      </c>
      <c r="D5181" s="226" t="s">
        <v>7505</v>
      </c>
    </row>
    <row r="5182" spans="1:4">
      <c r="A5182" s="226" t="s">
        <v>8116</v>
      </c>
      <c r="B5182" s="226">
        <v>543186</v>
      </c>
      <c r="C5182" s="226" t="s">
        <v>8117</v>
      </c>
      <c r="D5182" s="226" t="s">
        <v>7505</v>
      </c>
    </row>
    <row r="5183" spans="1:4">
      <c r="A5183" s="226" t="s">
        <v>8118</v>
      </c>
      <c r="B5183" s="226">
        <v>543187</v>
      </c>
      <c r="C5183" s="226" t="s">
        <v>8119</v>
      </c>
      <c r="D5183" s="226" t="s">
        <v>529</v>
      </c>
    </row>
    <row r="5184" spans="1:4">
      <c r="A5184" s="226" t="s">
        <v>8120</v>
      </c>
      <c r="B5184" s="226">
        <v>543193</v>
      </c>
      <c r="C5184" s="226" t="s">
        <v>8121</v>
      </c>
      <c r="D5184" s="226" t="s">
        <v>806</v>
      </c>
    </row>
    <row r="5185" spans="1:4">
      <c r="A5185" s="226" t="s">
        <v>8122</v>
      </c>
      <c r="B5185" s="226">
        <v>543194</v>
      </c>
      <c r="C5185" s="226" t="s">
        <v>8123</v>
      </c>
      <c r="D5185" s="226" t="s">
        <v>7438</v>
      </c>
    </row>
    <row r="5186" spans="1:4">
      <c r="A5186" s="226" t="s">
        <v>8124</v>
      </c>
      <c r="B5186" s="226">
        <v>543207</v>
      </c>
      <c r="C5186" s="226" t="s">
        <v>8125</v>
      </c>
      <c r="D5186" s="226" t="s">
        <v>629</v>
      </c>
    </row>
    <row r="5187" spans="1:4">
      <c r="A5187" s="226" t="s">
        <v>8126</v>
      </c>
      <c r="B5187" s="226">
        <v>543208</v>
      </c>
      <c r="C5187" s="226" t="s">
        <v>8127</v>
      </c>
      <c r="D5187" s="226" t="s">
        <v>503</v>
      </c>
    </row>
    <row r="5188" spans="1:4">
      <c r="A5188" s="226" t="s">
        <v>8128</v>
      </c>
      <c r="B5188" s="226">
        <v>543209</v>
      </c>
      <c r="C5188" s="226" t="s">
        <v>8129</v>
      </c>
      <c r="D5188" s="226" t="s">
        <v>346</v>
      </c>
    </row>
    <row r="5189" spans="1:4">
      <c r="A5189" s="226" t="s">
        <v>8130</v>
      </c>
      <c r="B5189" s="226">
        <v>543210</v>
      </c>
      <c r="C5189" s="226" t="s">
        <v>8131</v>
      </c>
      <c r="D5189" s="226" t="s">
        <v>645</v>
      </c>
    </row>
    <row r="5190" spans="1:4">
      <c r="A5190" s="226" t="s">
        <v>8132</v>
      </c>
      <c r="B5190" s="226">
        <v>543211</v>
      </c>
      <c r="C5190" s="226" t="s">
        <v>8133</v>
      </c>
      <c r="D5190" s="226" t="s">
        <v>1403</v>
      </c>
    </row>
    <row r="5191" spans="1:4">
      <c r="A5191" s="226" t="s">
        <v>8134</v>
      </c>
      <c r="B5191" s="226">
        <v>543212</v>
      </c>
      <c r="C5191" s="226" t="s">
        <v>8135</v>
      </c>
      <c r="D5191" s="226" t="s">
        <v>1529</v>
      </c>
    </row>
    <row r="5192" spans="1:4">
      <c r="A5192" s="226" t="s">
        <v>8136</v>
      </c>
      <c r="B5192" s="226">
        <v>543213</v>
      </c>
      <c r="C5192" s="226" t="s">
        <v>8137</v>
      </c>
      <c r="D5192" s="226" t="s">
        <v>645</v>
      </c>
    </row>
    <row r="5193" spans="1:4">
      <c r="A5193" s="226" t="s">
        <v>8138</v>
      </c>
      <c r="B5193" s="226">
        <v>543214</v>
      </c>
      <c r="C5193" s="226" t="s">
        <v>8139</v>
      </c>
      <c r="D5193" s="226" t="s">
        <v>840</v>
      </c>
    </row>
    <row r="5194" spans="1:4">
      <c r="A5194" s="226" t="s">
        <v>8140</v>
      </c>
      <c r="B5194" s="226">
        <v>543217</v>
      </c>
      <c r="C5194" s="226" t="s">
        <v>8141</v>
      </c>
      <c r="D5194" s="226" t="s">
        <v>7505</v>
      </c>
    </row>
    <row r="5195" spans="1:4">
      <c r="A5195" s="226" t="s">
        <v>8142</v>
      </c>
      <c r="B5195" s="226">
        <v>543218</v>
      </c>
      <c r="C5195" s="226" t="s">
        <v>8143</v>
      </c>
      <c r="D5195" s="226" t="s">
        <v>572</v>
      </c>
    </row>
    <row r="5196" spans="1:4">
      <c r="A5196" s="226" t="s">
        <v>8144</v>
      </c>
      <c r="B5196" s="226">
        <v>543219</v>
      </c>
      <c r="C5196" s="226" t="s">
        <v>8145</v>
      </c>
      <c r="D5196" s="226" t="s">
        <v>7505</v>
      </c>
    </row>
    <row r="5197" spans="1:4">
      <c r="A5197" s="226" t="s">
        <v>8146</v>
      </c>
      <c r="B5197" s="226">
        <v>543220</v>
      </c>
      <c r="C5197" s="226" t="s">
        <v>8147</v>
      </c>
      <c r="D5197" s="226" t="s">
        <v>955</v>
      </c>
    </row>
    <row r="5198" spans="1:4">
      <c r="A5198" s="226" t="s">
        <v>8148</v>
      </c>
      <c r="B5198" s="226">
        <v>543221</v>
      </c>
      <c r="C5198" s="226" t="s">
        <v>8149</v>
      </c>
      <c r="D5198" s="226" t="s">
        <v>7505</v>
      </c>
    </row>
    <row r="5199" spans="1:4">
      <c r="A5199" s="226" t="s">
        <v>8150</v>
      </c>
      <c r="B5199" s="226">
        <v>543222</v>
      </c>
      <c r="C5199" s="226" t="s">
        <v>8151</v>
      </c>
      <c r="D5199" s="226" t="s">
        <v>608</v>
      </c>
    </row>
    <row r="5200" spans="1:4">
      <c r="A5200" s="226" t="s">
        <v>8152</v>
      </c>
      <c r="B5200" s="226">
        <v>543223</v>
      </c>
      <c r="C5200" s="226" t="s">
        <v>4203</v>
      </c>
      <c r="D5200" s="226" t="s">
        <v>651</v>
      </c>
    </row>
    <row r="5201" spans="1:4">
      <c r="A5201" s="226" t="s">
        <v>8153</v>
      </c>
      <c r="B5201" s="226">
        <v>543224</v>
      </c>
      <c r="C5201" s="226" t="s">
        <v>8154</v>
      </c>
      <c r="D5201" s="226" t="s">
        <v>7505</v>
      </c>
    </row>
    <row r="5202" spans="1:4">
      <c r="A5202" s="226" t="s">
        <v>8155</v>
      </c>
      <c r="B5202" s="226">
        <v>543225</v>
      </c>
      <c r="C5202" s="226" t="s">
        <v>8156</v>
      </c>
      <c r="D5202" s="226" t="s">
        <v>7505</v>
      </c>
    </row>
    <row r="5203" spans="1:4">
      <c r="A5203" s="226" t="s">
        <v>8157</v>
      </c>
      <c r="B5203" s="226">
        <v>543226</v>
      </c>
      <c r="C5203" s="226" t="s">
        <v>8158</v>
      </c>
      <c r="D5203" s="226" t="s">
        <v>7505</v>
      </c>
    </row>
    <row r="5204" spans="1:4">
      <c r="A5204" s="226" t="s">
        <v>8159</v>
      </c>
      <c r="B5204" s="226">
        <v>543227</v>
      </c>
      <c r="C5204" s="226" t="s">
        <v>8160</v>
      </c>
      <c r="D5204" s="226" t="s">
        <v>473</v>
      </c>
    </row>
    <row r="5205" spans="1:4">
      <c r="A5205" s="226" t="s">
        <v>8161</v>
      </c>
      <c r="B5205" s="226">
        <v>543228</v>
      </c>
      <c r="C5205" s="226" t="s">
        <v>8162</v>
      </c>
      <c r="D5205" s="226" t="s">
        <v>492</v>
      </c>
    </row>
    <row r="5206" spans="1:4">
      <c r="A5206" s="226" t="s">
        <v>8163</v>
      </c>
      <c r="B5206" s="226">
        <v>543230</v>
      </c>
      <c r="C5206" s="226" t="s">
        <v>8164</v>
      </c>
      <c r="D5206" s="226" t="s">
        <v>783</v>
      </c>
    </row>
    <row r="5207" spans="1:4">
      <c r="A5207" s="226" t="s">
        <v>8165</v>
      </c>
      <c r="B5207" s="226">
        <v>543231</v>
      </c>
      <c r="C5207" s="226" t="s">
        <v>8166</v>
      </c>
      <c r="D5207" s="226" t="s">
        <v>980</v>
      </c>
    </row>
    <row r="5208" spans="1:4">
      <c r="A5208" s="226" t="s">
        <v>8167</v>
      </c>
      <c r="B5208" s="226">
        <v>543232</v>
      </c>
      <c r="C5208" s="226" t="s">
        <v>8168</v>
      </c>
      <c r="D5208" s="226" t="s">
        <v>470</v>
      </c>
    </row>
    <row r="5209" spans="1:4">
      <c r="A5209" s="226" t="s">
        <v>8169</v>
      </c>
      <c r="B5209" s="226">
        <v>543233</v>
      </c>
      <c r="C5209" s="226" t="s">
        <v>8170</v>
      </c>
      <c r="D5209" s="226" t="s">
        <v>645</v>
      </c>
    </row>
    <row r="5210" spans="1:4">
      <c r="A5210" s="226" t="s">
        <v>8171</v>
      </c>
      <c r="B5210" s="226">
        <v>543234</v>
      </c>
      <c r="C5210" s="226" t="s">
        <v>8172</v>
      </c>
      <c r="D5210" s="226" t="s">
        <v>473</v>
      </c>
    </row>
    <row r="5211" spans="1:4">
      <c r="A5211" s="226" t="s">
        <v>8173</v>
      </c>
      <c r="B5211" s="226">
        <v>543235</v>
      </c>
      <c r="C5211" s="226" t="s">
        <v>8174</v>
      </c>
      <c r="D5211" s="226" t="s">
        <v>470</v>
      </c>
    </row>
    <row r="5212" spans="1:4">
      <c r="A5212" s="226" t="s">
        <v>8175</v>
      </c>
      <c r="B5212" s="226">
        <v>543236</v>
      </c>
      <c r="C5212" s="226" t="s">
        <v>8176</v>
      </c>
      <c r="D5212" s="226" t="s">
        <v>494</v>
      </c>
    </row>
    <row r="5213" spans="1:4">
      <c r="A5213" s="226" t="s">
        <v>8177</v>
      </c>
      <c r="B5213" s="226">
        <v>543237</v>
      </c>
      <c r="C5213" s="226" t="s">
        <v>8178</v>
      </c>
      <c r="D5213" s="226" t="s">
        <v>958</v>
      </c>
    </row>
    <row r="5214" spans="1:4">
      <c r="A5214" s="226" t="s">
        <v>8179</v>
      </c>
      <c r="B5214" s="226">
        <v>543238</v>
      </c>
      <c r="C5214" s="226" t="s">
        <v>8180</v>
      </c>
      <c r="D5214" s="226" t="s">
        <v>2888</v>
      </c>
    </row>
    <row r="5215" spans="1:4">
      <c r="A5215" s="226" t="s">
        <v>8181</v>
      </c>
      <c r="B5215" s="226">
        <v>543239</v>
      </c>
      <c r="C5215" s="226" t="s">
        <v>8182</v>
      </c>
      <c r="D5215" s="226" t="s">
        <v>605</v>
      </c>
    </row>
    <row r="5216" spans="1:4">
      <c r="A5216" s="226" t="s">
        <v>8183</v>
      </c>
      <c r="B5216" s="226">
        <v>543240</v>
      </c>
      <c r="C5216" s="226" t="s">
        <v>8184</v>
      </c>
      <c r="D5216" s="226" t="s">
        <v>883</v>
      </c>
    </row>
    <row r="5217" spans="1:4">
      <c r="A5217" s="226" t="s">
        <v>8185</v>
      </c>
      <c r="B5217" s="226">
        <v>543241</v>
      </c>
      <c r="C5217" s="226" t="s">
        <v>8186</v>
      </c>
      <c r="D5217" s="226" t="s">
        <v>572</v>
      </c>
    </row>
    <row r="5218" spans="1:4">
      <c r="A5218" s="226" t="s">
        <v>8187</v>
      </c>
      <c r="B5218" s="226">
        <v>543242</v>
      </c>
      <c r="C5218" s="226" t="s">
        <v>8188</v>
      </c>
      <c r="D5218" s="226" t="s">
        <v>572</v>
      </c>
    </row>
    <row r="5219" spans="1:4">
      <c r="A5219" s="226" t="s">
        <v>8189</v>
      </c>
      <c r="B5219" s="226">
        <v>543243</v>
      </c>
      <c r="C5219" s="226" t="s">
        <v>8190</v>
      </c>
      <c r="D5219" s="226" t="s">
        <v>803</v>
      </c>
    </row>
    <row r="5220" spans="1:4">
      <c r="A5220" s="226" t="s">
        <v>8191</v>
      </c>
      <c r="B5220" s="226">
        <v>543244</v>
      </c>
      <c r="C5220" s="226" t="s">
        <v>8192</v>
      </c>
      <c r="D5220" s="226" t="s">
        <v>501</v>
      </c>
    </row>
    <row r="5221" spans="1:4">
      <c r="A5221" s="226" t="s">
        <v>8193</v>
      </c>
      <c r="B5221" s="226">
        <v>500270</v>
      </c>
      <c r="C5221" s="226" t="s">
        <v>8194</v>
      </c>
      <c r="D5221" s="226" t="s">
        <v>8195</v>
      </c>
    </row>
    <row r="5222" spans="1:4">
      <c r="A5222" s="226" t="s">
        <v>8196</v>
      </c>
      <c r="B5222" s="226">
        <v>503685</v>
      </c>
      <c r="C5222" s="226" t="s">
        <v>8197</v>
      </c>
      <c r="D5222" s="226" t="s">
        <v>8198</v>
      </c>
    </row>
    <row r="5223" spans="1:4">
      <c r="A5223" s="226" t="s">
        <v>8199</v>
      </c>
      <c r="B5223" s="226">
        <v>505100</v>
      </c>
      <c r="C5223" s="226" t="s">
        <v>8200</v>
      </c>
      <c r="D5223" s="226" t="s">
        <v>8201</v>
      </c>
    </row>
    <row r="5224" spans="1:4">
      <c r="A5224" s="226" t="s">
        <v>8202</v>
      </c>
      <c r="B5224" s="226">
        <v>506580</v>
      </c>
      <c r="C5224" s="226" t="s">
        <v>8203</v>
      </c>
      <c r="D5224" s="226" t="s">
        <v>8204</v>
      </c>
    </row>
    <row r="5225" spans="1:4">
      <c r="A5225" s="226" t="s">
        <v>8205</v>
      </c>
      <c r="B5225" s="226">
        <v>509069</v>
      </c>
      <c r="C5225" s="226" t="s">
        <v>8206</v>
      </c>
      <c r="D5225" s="226" t="s">
        <v>8207</v>
      </c>
    </row>
    <row r="5226" spans="1:4">
      <c r="A5226" s="226" t="s">
        <v>8208</v>
      </c>
      <c r="B5226" s="226">
        <v>509960</v>
      </c>
      <c r="C5226" s="226" t="s">
        <v>8209</v>
      </c>
      <c r="D5226" s="226" t="s">
        <v>8210</v>
      </c>
    </row>
    <row r="5227" spans="1:4">
      <c r="A5227" s="226" t="s">
        <v>8211</v>
      </c>
      <c r="B5227" s="226">
        <v>511016</v>
      </c>
      <c r="C5227" s="226" t="s">
        <v>8212</v>
      </c>
      <c r="D5227" s="226" t="s">
        <v>8213</v>
      </c>
    </row>
    <row r="5228" spans="1:4">
      <c r="A5228" s="226" t="s">
        <v>8214</v>
      </c>
      <c r="B5228" s="226">
        <v>511194</v>
      </c>
      <c r="C5228" s="226" t="s">
        <v>8215</v>
      </c>
      <c r="D5228" s="226" t="s">
        <v>7438</v>
      </c>
    </row>
    <row r="5229" spans="1:4">
      <c r="A5229" s="226" t="s">
        <v>8216</v>
      </c>
      <c r="B5229" s="226">
        <v>512097</v>
      </c>
      <c r="C5229" s="226" t="s">
        <v>8217</v>
      </c>
      <c r="D5229" s="226" t="s">
        <v>8218</v>
      </c>
    </row>
    <row r="5230" spans="1:4">
      <c r="A5230" s="226" t="s">
        <v>8219</v>
      </c>
      <c r="B5230" s="226">
        <v>512115</v>
      </c>
      <c r="C5230" s="226" t="s">
        <v>8220</v>
      </c>
      <c r="D5230" s="226" t="s">
        <v>8218</v>
      </c>
    </row>
    <row r="5231" spans="1:4">
      <c r="A5231" s="226" t="s">
        <v>8221</v>
      </c>
      <c r="B5231" s="226">
        <v>514260</v>
      </c>
      <c r="C5231" s="226" t="s">
        <v>8222</v>
      </c>
      <c r="D5231" s="226" t="s">
        <v>8195</v>
      </c>
    </row>
    <row r="5232" spans="1:4">
      <c r="A5232" s="226" t="s">
        <v>8223</v>
      </c>
      <c r="B5232" s="226">
        <v>523309</v>
      </c>
      <c r="C5232" s="226" t="s">
        <v>8224</v>
      </c>
      <c r="D5232" s="226" t="s">
        <v>8225</v>
      </c>
    </row>
    <row r="5233" spans="1:4">
      <c r="A5233" s="226" t="s">
        <v>8226</v>
      </c>
      <c r="B5233" s="226">
        <v>523868</v>
      </c>
      <c r="C5233" s="226" t="s">
        <v>8227</v>
      </c>
      <c r="D5233" s="226" t="s">
        <v>494</v>
      </c>
    </row>
    <row r="5234" spans="1:4">
      <c r="A5234" s="226" t="s">
        <v>8228</v>
      </c>
      <c r="B5234" s="226">
        <v>524046</v>
      </c>
      <c r="C5234" s="226" t="s">
        <v>8229</v>
      </c>
      <c r="D5234" s="226" t="s">
        <v>8230</v>
      </c>
    </row>
    <row r="5235" spans="1:4">
      <c r="A5235" s="226" t="s">
        <v>8231</v>
      </c>
      <c r="B5235" s="226">
        <v>526345</v>
      </c>
      <c r="C5235" s="226" t="s">
        <v>8232</v>
      </c>
      <c r="D5235" s="226" t="s">
        <v>546</v>
      </c>
    </row>
    <row r="5236" spans="1:4">
      <c r="A5236" s="226" t="s">
        <v>8233</v>
      </c>
      <c r="B5236" s="226">
        <v>526468</v>
      </c>
      <c r="C5236" s="226" t="s">
        <v>8234</v>
      </c>
      <c r="D5236" s="226" t="s">
        <v>8235</v>
      </c>
    </row>
    <row r="5237" spans="1:4">
      <c r="A5237" s="226" t="s">
        <v>8236</v>
      </c>
      <c r="B5237" s="226">
        <v>526677</v>
      </c>
      <c r="C5237" s="226" t="s">
        <v>8237</v>
      </c>
      <c r="D5237" s="226" t="s">
        <v>349</v>
      </c>
    </row>
    <row r="5238" spans="1:4">
      <c r="A5238" s="226" t="s">
        <v>8238</v>
      </c>
      <c r="B5238" s="226">
        <v>526877</v>
      </c>
      <c r="C5238" s="226" t="s">
        <v>8239</v>
      </c>
      <c r="D5238" s="226" t="s">
        <v>8218</v>
      </c>
    </row>
    <row r="5239" spans="1:4">
      <c r="A5239" s="226" t="s">
        <v>8240</v>
      </c>
      <c r="B5239" s="226">
        <v>530027</v>
      </c>
      <c r="C5239" s="226" t="s">
        <v>8241</v>
      </c>
      <c r="D5239" s="226" t="s">
        <v>699</v>
      </c>
    </row>
    <row r="5240" spans="1:4">
      <c r="A5240" s="226" t="s">
        <v>8242</v>
      </c>
      <c r="B5240" s="226">
        <v>531240</v>
      </c>
      <c r="C5240" s="226" t="s">
        <v>8243</v>
      </c>
      <c r="D5240" s="226" t="s">
        <v>8218</v>
      </c>
    </row>
    <row r="5241" spans="1:4">
      <c r="A5241" s="226" t="s">
        <v>8244</v>
      </c>
      <c r="B5241" s="226">
        <v>531399</v>
      </c>
      <c r="C5241" s="226" t="s">
        <v>8245</v>
      </c>
      <c r="D5241" s="226" t="s">
        <v>8201</v>
      </c>
    </row>
    <row r="5242" spans="1:4">
      <c r="A5242" s="226" t="s">
        <v>8246</v>
      </c>
      <c r="B5242" s="226">
        <v>531812</v>
      </c>
      <c r="C5242" s="226" t="s">
        <v>8247</v>
      </c>
      <c r="D5242" s="226" t="s">
        <v>8213</v>
      </c>
    </row>
    <row r="5243" spans="1:4">
      <c r="A5243" s="226" t="s">
        <v>8248</v>
      </c>
      <c r="B5243" s="226">
        <v>532019</v>
      </c>
      <c r="C5243" s="226" t="s">
        <v>8249</v>
      </c>
      <c r="D5243" s="226" t="s">
        <v>8250</v>
      </c>
    </row>
    <row r="5244" spans="1:4">
      <c r="A5244" s="226" t="s">
        <v>8251</v>
      </c>
      <c r="B5244" s="226">
        <v>532335</v>
      </c>
      <c r="C5244" s="226" t="s">
        <v>8252</v>
      </c>
      <c r="D5244" s="226" t="s">
        <v>368</v>
      </c>
    </row>
    <row r="5245" spans="1:4">
      <c r="A5245" s="226" t="s">
        <v>8253</v>
      </c>
      <c r="B5245" s="226">
        <v>537709</v>
      </c>
      <c r="C5245" s="226" t="s">
        <v>8254</v>
      </c>
      <c r="D5245" s="226" t="s">
        <v>1184</v>
      </c>
    </row>
    <row r="5246" spans="1:4">
      <c r="A5246" s="226" t="s">
        <v>8255</v>
      </c>
      <c r="B5246" s="226">
        <v>543229</v>
      </c>
      <c r="C5246" s="226" t="s">
        <v>8256</v>
      </c>
      <c r="D5246" s="226" t="s">
        <v>8257</v>
      </c>
    </row>
    <row r="5247" spans="1:4">
      <c r="A5247" s="226" t="s">
        <v>8258</v>
      </c>
      <c r="B5247" s="226">
        <v>543245</v>
      </c>
      <c r="C5247" s="226" t="s">
        <v>8259</v>
      </c>
      <c r="D5247" s="226" t="s">
        <v>524</v>
      </c>
    </row>
    <row r="5248" spans="1:4">
      <c r="A5248" s="226" t="s">
        <v>8260</v>
      </c>
      <c r="B5248" s="226">
        <v>543246</v>
      </c>
      <c r="C5248" s="226" t="s">
        <v>8261</v>
      </c>
      <c r="D5248" s="226" t="s">
        <v>7505</v>
      </c>
    </row>
    <row r="5249" spans="1:4">
      <c r="A5249" s="226" t="s">
        <v>8262</v>
      </c>
      <c r="B5249" s="226">
        <v>543247</v>
      </c>
      <c r="C5249" s="226" t="s">
        <v>8263</v>
      </c>
      <c r="D5249" s="226" t="s">
        <v>8198</v>
      </c>
    </row>
    <row r="5250" spans="1:4">
      <c r="A5250" s="226" t="s">
        <v>8264</v>
      </c>
      <c r="B5250" s="226">
        <v>543248</v>
      </c>
      <c r="C5250" s="226" t="s">
        <v>8265</v>
      </c>
      <c r="D5250" s="226" t="s">
        <v>974</v>
      </c>
    </row>
    <row r="5251" spans="1:4">
      <c r="A5251" s="226" t="s">
        <v>8266</v>
      </c>
      <c r="B5251" s="226">
        <v>543249</v>
      </c>
      <c r="C5251" s="226" t="s">
        <v>8267</v>
      </c>
      <c r="D5251" s="226" t="s">
        <v>8268</v>
      </c>
    </row>
    <row r="5252" spans="1:4">
      <c r="A5252" s="226" t="s">
        <v>8269</v>
      </c>
      <c r="B5252" s="226">
        <v>543251</v>
      </c>
      <c r="C5252" s="226" t="s">
        <v>8270</v>
      </c>
      <c r="D5252" s="226" t="s">
        <v>8268</v>
      </c>
    </row>
    <row r="5253" spans="1:4">
      <c r="A5253" s="226" t="s">
        <v>8271</v>
      </c>
      <c r="B5253" s="226">
        <v>543252</v>
      </c>
      <c r="C5253" s="226" t="s">
        <v>8272</v>
      </c>
      <c r="D5253" s="226" t="s">
        <v>645</v>
      </c>
    </row>
    <row r="5254" spans="1:4">
      <c r="A5254" s="226" t="s">
        <v>8273</v>
      </c>
      <c r="B5254" s="226">
        <v>543253</v>
      </c>
      <c r="C5254" s="226" t="s">
        <v>8274</v>
      </c>
      <c r="D5254" s="226" t="s">
        <v>546</v>
      </c>
    </row>
    <row r="5255" spans="1:4">
      <c r="A5255" s="226" t="s">
        <v>8275</v>
      </c>
      <c r="B5255" s="226">
        <v>543254</v>
      </c>
      <c r="C5255" s="226" t="s">
        <v>8276</v>
      </c>
      <c r="D5255" s="226" t="s">
        <v>8277</v>
      </c>
    </row>
    <row r="5256" spans="1:4">
      <c r="A5256" s="226" t="s">
        <v>8278</v>
      </c>
      <c r="B5256" s="226">
        <v>543255</v>
      </c>
      <c r="C5256" s="226" t="s">
        <v>8279</v>
      </c>
      <c r="D5256" s="226" t="s">
        <v>7505</v>
      </c>
    </row>
    <row r="5257" spans="1:4">
      <c r="A5257" s="226" t="s">
        <v>8280</v>
      </c>
      <c r="B5257" s="226">
        <v>543256</v>
      </c>
      <c r="C5257" s="226" t="s">
        <v>8281</v>
      </c>
      <c r="D5257" s="226" t="s">
        <v>8282</v>
      </c>
    </row>
    <row r="5258" spans="1:4">
      <c r="A5258" s="226" t="s">
        <v>8283</v>
      </c>
      <c r="B5258" s="226">
        <v>543257</v>
      </c>
      <c r="C5258" s="226" t="s">
        <v>8284</v>
      </c>
      <c r="D5258" s="226" t="s">
        <v>8285</v>
      </c>
    </row>
    <row r="5259" spans="1:4">
      <c r="A5259" s="226" t="s">
        <v>8286</v>
      </c>
      <c r="B5259" s="226">
        <v>543258</v>
      </c>
      <c r="C5259" s="226" t="s">
        <v>8287</v>
      </c>
      <c r="D5259" s="226" t="s">
        <v>8288</v>
      </c>
    </row>
    <row r="5260" spans="1:4">
      <c r="A5260" s="226" t="s">
        <v>8289</v>
      </c>
      <c r="B5260" s="226">
        <v>543259</v>
      </c>
      <c r="C5260" s="226" t="s">
        <v>8290</v>
      </c>
      <c r="D5260" s="226" t="s">
        <v>8291</v>
      </c>
    </row>
    <row r="5261" spans="1:4">
      <c r="A5261" s="226" t="s">
        <v>8292</v>
      </c>
      <c r="B5261" s="226">
        <v>543260</v>
      </c>
      <c r="C5261" s="226" t="s">
        <v>8293</v>
      </c>
      <c r="D5261" s="226" t="s">
        <v>1248</v>
      </c>
    </row>
    <row r="5262" spans="1:4">
      <c r="A5262" s="226" t="s">
        <v>8294</v>
      </c>
      <c r="B5262" s="226">
        <v>543261</v>
      </c>
      <c r="C5262" s="226" t="s">
        <v>8295</v>
      </c>
      <c r="D5262" s="226" t="s">
        <v>8296</v>
      </c>
    </row>
    <row r="5263" spans="1:4">
      <c r="A5263" s="226" t="s">
        <v>8297</v>
      </c>
      <c r="B5263" s="226">
        <v>543262</v>
      </c>
      <c r="C5263" s="226" t="s">
        <v>8298</v>
      </c>
      <c r="D5263" s="226" t="s">
        <v>520</v>
      </c>
    </row>
    <row r="5264" spans="1:4">
      <c r="A5264" s="226" t="s">
        <v>8299</v>
      </c>
      <c r="B5264" s="226">
        <v>543263</v>
      </c>
      <c r="C5264" s="226" t="s">
        <v>8300</v>
      </c>
      <c r="D5264" s="226" t="s">
        <v>8301</v>
      </c>
    </row>
    <row r="5265" spans="1:4">
      <c r="A5265" s="226" t="s">
        <v>8302</v>
      </c>
      <c r="B5265" s="226">
        <v>543264</v>
      </c>
      <c r="C5265" s="226" t="s">
        <v>8303</v>
      </c>
      <c r="D5265" s="226" t="s">
        <v>8304</v>
      </c>
    </row>
    <row r="5266" spans="1:4">
      <c r="A5266" s="226" t="s">
        <v>8305</v>
      </c>
      <c r="B5266" s="226">
        <v>543265</v>
      </c>
      <c r="C5266" s="226" t="s">
        <v>8306</v>
      </c>
      <c r="D5266" s="226" t="s">
        <v>1430</v>
      </c>
    </row>
    <row r="5267" spans="1:4">
      <c r="A5267" s="226" t="s">
        <v>8307</v>
      </c>
      <c r="B5267" s="226">
        <v>543266</v>
      </c>
      <c r="C5267" s="226" t="s">
        <v>8308</v>
      </c>
      <c r="D5267" s="226" t="s">
        <v>8204</v>
      </c>
    </row>
    <row r="5268" spans="1:4">
      <c r="A5268" s="226" t="s">
        <v>8309</v>
      </c>
      <c r="B5268" s="226">
        <v>543267</v>
      </c>
      <c r="C5268" s="226" t="s">
        <v>8310</v>
      </c>
      <c r="D5268" s="226" t="s">
        <v>1184</v>
      </c>
    </row>
    <row r="5269" spans="1:4">
      <c r="A5269" s="226" t="s">
        <v>8311</v>
      </c>
      <c r="B5269" s="226">
        <v>543269</v>
      </c>
      <c r="C5269" s="226" t="s">
        <v>8312</v>
      </c>
      <c r="D5269" s="226" t="s">
        <v>8313</v>
      </c>
    </row>
    <row r="5270" spans="1:4">
      <c r="A5270" s="226" t="s">
        <v>8314</v>
      </c>
      <c r="B5270" s="226">
        <v>543270</v>
      </c>
      <c r="C5270" s="226" t="s">
        <v>8315</v>
      </c>
      <c r="D5270" s="226" t="s">
        <v>8316</v>
      </c>
    </row>
    <row r="5271" spans="1:4">
      <c r="A5271" s="226" t="s">
        <v>8317</v>
      </c>
      <c r="B5271" s="226">
        <v>543271</v>
      </c>
      <c r="C5271" s="226" t="s">
        <v>8318</v>
      </c>
      <c r="D5271" s="226" t="s">
        <v>645</v>
      </c>
    </row>
    <row r="5272" spans="1:4">
      <c r="A5272" s="226" t="s">
        <v>8319</v>
      </c>
      <c r="B5272" s="226">
        <v>543272</v>
      </c>
      <c r="C5272" s="226" t="s">
        <v>8320</v>
      </c>
      <c r="D5272" s="226" t="s">
        <v>8321</v>
      </c>
    </row>
    <row r="5273" spans="1:4">
      <c r="A5273" s="226" t="s">
        <v>8322</v>
      </c>
      <c r="B5273" s="226">
        <v>543273</v>
      </c>
      <c r="C5273" s="226" t="s">
        <v>8323</v>
      </c>
      <c r="D5273" s="226" t="s">
        <v>1731</v>
      </c>
    </row>
    <row r="5274" spans="1:4">
      <c r="A5274" s="226" t="s">
        <v>8324</v>
      </c>
      <c r="B5274" s="226">
        <v>543274</v>
      </c>
      <c r="C5274" s="226" t="s">
        <v>8325</v>
      </c>
      <c r="D5274" s="226" t="s">
        <v>8195</v>
      </c>
    </row>
    <row r="5275" spans="1:4">
      <c r="A5275" s="226" t="s">
        <v>8326</v>
      </c>
      <c r="B5275" s="226">
        <v>543275</v>
      </c>
      <c r="C5275" s="226" t="s">
        <v>8327</v>
      </c>
      <c r="D5275" s="226" t="s">
        <v>645</v>
      </c>
    </row>
    <row r="5276" spans="1:4">
      <c r="A5276" s="226" t="s">
        <v>8328</v>
      </c>
      <c r="B5276" s="226">
        <v>543276</v>
      </c>
      <c r="C5276" s="226" t="s">
        <v>8329</v>
      </c>
      <c r="D5276" s="226" t="s">
        <v>8201</v>
      </c>
    </row>
    <row r="5277" spans="1:4">
      <c r="A5277" s="226" t="s">
        <v>8330</v>
      </c>
      <c r="B5277" s="226">
        <v>543277</v>
      </c>
      <c r="C5277" s="226" t="s">
        <v>8331</v>
      </c>
      <c r="D5277" s="226" t="s">
        <v>645</v>
      </c>
    </row>
    <row r="5278" spans="1:4">
      <c r="A5278" s="226" t="s">
        <v>8332</v>
      </c>
      <c r="B5278" s="226">
        <v>543278</v>
      </c>
      <c r="C5278" s="226" t="s">
        <v>8333</v>
      </c>
      <c r="D5278" s="226" t="s">
        <v>8235</v>
      </c>
    </row>
    <row r="5279" spans="1:4">
      <c r="A5279" s="226" t="s">
        <v>8334</v>
      </c>
      <c r="B5279" s="226">
        <v>543279</v>
      </c>
      <c r="C5279" s="226" t="s">
        <v>8335</v>
      </c>
      <c r="D5279" s="226" t="s">
        <v>8336</v>
      </c>
    </row>
    <row r="5280" spans="1:4">
      <c r="A5280" s="226" t="s">
        <v>8337</v>
      </c>
      <c r="B5280" s="226">
        <v>543280</v>
      </c>
      <c r="C5280" s="226" t="s">
        <v>8338</v>
      </c>
      <c r="D5280" s="226" t="s">
        <v>8339</v>
      </c>
    </row>
    <row r="5281" spans="1:4">
      <c r="A5281" s="226" t="s">
        <v>8340</v>
      </c>
      <c r="B5281" s="226">
        <v>543281</v>
      </c>
      <c r="C5281" s="226" t="s">
        <v>8341</v>
      </c>
      <c r="D5281" s="226" t="s">
        <v>8342</v>
      </c>
    </row>
    <row r="5282" spans="1:4">
      <c r="A5282" s="226" t="s">
        <v>8343</v>
      </c>
      <c r="B5282" s="226">
        <v>543282</v>
      </c>
      <c r="C5282" s="226" t="s">
        <v>8344</v>
      </c>
      <c r="D5282" s="226" t="s">
        <v>8313</v>
      </c>
    </row>
    <row r="5283" spans="1:4">
      <c r="A5283" s="226" t="s">
        <v>8345</v>
      </c>
      <c r="B5283" s="226">
        <v>543283</v>
      </c>
      <c r="C5283" s="226" t="s">
        <v>8346</v>
      </c>
      <c r="D5283" s="226" t="s">
        <v>974</v>
      </c>
    </row>
    <row r="5284" spans="1:4">
      <c r="A5284" s="226" t="s">
        <v>8347</v>
      </c>
      <c r="B5284" s="226">
        <v>543284</v>
      </c>
      <c r="C5284" s="226" t="s">
        <v>8348</v>
      </c>
      <c r="D5284" s="226" t="s">
        <v>570</v>
      </c>
    </row>
    <row r="5285" spans="1:4">
      <c r="A5285" s="226" t="s">
        <v>8349</v>
      </c>
      <c r="B5285" s="226">
        <v>543285</v>
      </c>
      <c r="C5285" s="226" t="s">
        <v>8350</v>
      </c>
      <c r="D5285" s="226" t="s">
        <v>8351</v>
      </c>
    </row>
    <row r="5286" spans="1:4">
      <c r="A5286" s="226" t="s">
        <v>8352</v>
      </c>
      <c r="B5286" s="226">
        <v>543286</v>
      </c>
      <c r="C5286" s="226" t="s">
        <v>8353</v>
      </c>
      <c r="D5286" s="226" t="s">
        <v>566</v>
      </c>
    </row>
    <row r="5287" spans="1:4">
      <c r="A5287" s="226" t="s">
        <v>8354</v>
      </c>
      <c r="B5287" s="226">
        <v>543287</v>
      </c>
      <c r="C5287" s="226" t="s">
        <v>8355</v>
      </c>
      <c r="D5287" s="226" t="s">
        <v>8268</v>
      </c>
    </row>
    <row r="5288" spans="1:4">
      <c r="A5288" s="226" t="s">
        <v>8356</v>
      </c>
      <c r="B5288" s="226">
        <v>543288</v>
      </c>
      <c r="C5288" s="226" t="s">
        <v>1992</v>
      </c>
      <c r="D5288" s="226" t="s">
        <v>8357</v>
      </c>
    </row>
    <row r="5289" spans="1:4">
      <c r="A5289" s="226" t="s">
        <v>8358</v>
      </c>
      <c r="B5289" s="226">
        <v>543289</v>
      </c>
      <c r="C5289" s="226" t="s">
        <v>8359</v>
      </c>
      <c r="D5289" s="226" t="s">
        <v>349</v>
      </c>
    </row>
    <row r="5290" spans="1:4">
      <c r="A5290" s="226" t="s">
        <v>8360</v>
      </c>
      <c r="B5290" s="226">
        <v>543290</v>
      </c>
      <c r="C5290" s="226" t="s">
        <v>8361</v>
      </c>
      <c r="D5290" s="226" t="s">
        <v>8362</v>
      </c>
    </row>
    <row r="5291" spans="1:4">
      <c r="A5291" s="226" t="s">
        <v>8363</v>
      </c>
      <c r="B5291" s="226">
        <v>543291</v>
      </c>
      <c r="C5291" s="226" t="s">
        <v>8364</v>
      </c>
      <c r="D5291" s="226" t="s">
        <v>7505</v>
      </c>
    </row>
    <row r="5292" spans="1:4">
      <c r="A5292" s="226" t="s">
        <v>8365</v>
      </c>
      <c r="B5292" s="226">
        <v>543292</v>
      </c>
      <c r="C5292" s="226" t="s">
        <v>8366</v>
      </c>
      <c r="D5292" s="226" t="s">
        <v>7505</v>
      </c>
    </row>
    <row r="5293" spans="1:4">
      <c r="A5293" s="226" t="s">
        <v>8367</v>
      </c>
      <c r="B5293" s="226">
        <v>543297</v>
      </c>
      <c r="C5293" s="226" t="s">
        <v>8368</v>
      </c>
      <c r="D5293" s="226" t="s">
        <v>529</v>
      </c>
    </row>
    <row r="5294" spans="1:4">
      <c r="A5294" s="226" t="s">
        <v>8369</v>
      </c>
      <c r="B5294" s="226">
        <v>543298</v>
      </c>
      <c r="C5294" s="226" t="s">
        <v>8370</v>
      </c>
      <c r="D5294" s="226" t="s">
        <v>524</v>
      </c>
    </row>
    <row r="5295" spans="1:4">
      <c r="A5295" s="226" t="s">
        <v>8371</v>
      </c>
      <c r="B5295" s="226">
        <v>543299</v>
      </c>
      <c r="C5295" s="226" t="s">
        <v>8372</v>
      </c>
      <c r="D5295" s="226" t="s">
        <v>8373</v>
      </c>
    </row>
    <row r="5296" spans="1:4">
      <c r="A5296" s="226" t="s">
        <v>8374</v>
      </c>
      <c r="B5296" s="226">
        <v>543300</v>
      </c>
      <c r="C5296" s="226" t="s">
        <v>8375</v>
      </c>
      <c r="D5296" s="226" t="s">
        <v>8201</v>
      </c>
    </row>
    <row r="5297" spans="1:4">
      <c r="A5297" s="226" t="s">
        <v>8376</v>
      </c>
      <c r="B5297" s="226">
        <v>543305</v>
      </c>
      <c r="C5297" s="226" t="s">
        <v>8377</v>
      </c>
      <c r="D5297" s="226" t="s">
        <v>570</v>
      </c>
    </row>
    <row r="5298" spans="1:4">
      <c r="A5298" s="226" t="s">
        <v>8378</v>
      </c>
      <c r="B5298" s="226">
        <v>543306</v>
      </c>
      <c r="C5298" s="226" t="s">
        <v>8379</v>
      </c>
      <c r="D5298" s="226" t="s">
        <v>8380</v>
      </c>
    </row>
    <row r="5299" spans="1:4">
      <c r="A5299" s="226" t="s">
        <v>8381</v>
      </c>
      <c r="B5299" s="226">
        <v>543308</v>
      </c>
      <c r="C5299" s="226" t="s">
        <v>8382</v>
      </c>
      <c r="D5299" s="226" t="s">
        <v>8383</v>
      </c>
    </row>
    <row r="5300" spans="1:4">
      <c r="A5300" s="226" t="s">
        <v>8384</v>
      </c>
      <c r="B5300" s="226">
        <v>543309</v>
      </c>
      <c r="C5300" s="226" t="s">
        <v>8385</v>
      </c>
      <c r="D5300" s="226" t="s">
        <v>8386</v>
      </c>
    </row>
    <row r="5301" spans="1:4">
      <c r="A5301" s="226" t="s">
        <v>8387</v>
      </c>
      <c r="B5301" s="226">
        <v>543310</v>
      </c>
      <c r="C5301" s="226" t="s">
        <v>8388</v>
      </c>
      <c r="D5301" s="226" t="s">
        <v>683</v>
      </c>
    </row>
    <row r="5302" spans="1:4">
      <c r="A5302" s="226" t="s">
        <v>8389</v>
      </c>
      <c r="B5302" s="226">
        <v>543311</v>
      </c>
      <c r="C5302" s="226" t="s">
        <v>8390</v>
      </c>
      <c r="D5302" s="226" t="s">
        <v>8204</v>
      </c>
    </row>
    <row r="5303" spans="1:4">
      <c r="A5303" s="226" t="s">
        <v>8391</v>
      </c>
      <c r="B5303" s="226">
        <v>543312</v>
      </c>
      <c r="C5303" s="226" t="s">
        <v>2406</v>
      </c>
      <c r="D5303" s="226" t="s">
        <v>8313</v>
      </c>
    </row>
    <row r="5304" spans="1:4">
      <c r="A5304" s="226" t="s">
        <v>8392</v>
      </c>
      <c r="B5304" s="226">
        <v>543317</v>
      </c>
      <c r="C5304" s="226" t="s">
        <v>8393</v>
      </c>
      <c r="D5304" s="226" t="s">
        <v>8394</v>
      </c>
    </row>
    <row r="5305" spans="1:4">
      <c r="A5305" s="226" t="s">
        <v>8395</v>
      </c>
      <c r="B5305" s="226">
        <v>543318</v>
      </c>
      <c r="C5305" s="226" t="s">
        <v>8396</v>
      </c>
      <c r="D5305" s="226" t="s">
        <v>534</v>
      </c>
    </row>
    <row r="5306" spans="1:4">
      <c r="A5306" s="226" t="s">
        <v>8397</v>
      </c>
      <c r="B5306" s="226">
        <v>543319</v>
      </c>
      <c r="C5306" s="226" t="s">
        <v>8398</v>
      </c>
      <c r="D5306" s="226" t="s">
        <v>8218</v>
      </c>
    </row>
    <row r="5307" spans="1:4">
      <c r="A5307" s="226" t="s">
        <v>8399</v>
      </c>
      <c r="B5307" s="226">
        <v>543320</v>
      </c>
      <c r="C5307" s="226" t="s">
        <v>8400</v>
      </c>
      <c r="D5307" s="226" t="s">
        <v>8401</v>
      </c>
    </row>
    <row r="5308" spans="1:4">
      <c r="A5308" s="226" t="s">
        <v>8402</v>
      </c>
      <c r="B5308" s="226">
        <v>543321</v>
      </c>
      <c r="C5308" s="226" t="s">
        <v>8403</v>
      </c>
      <c r="D5308" s="226" t="s">
        <v>645</v>
      </c>
    </row>
    <row r="5309" spans="1:4">
      <c r="A5309" s="226" t="s">
        <v>8404</v>
      </c>
      <c r="B5309" s="226">
        <v>543322</v>
      </c>
      <c r="C5309" s="226" t="s">
        <v>8405</v>
      </c>
      <c r="D5309" s="226" t="s">
        <v>524</v>
      </c>
    </row>
    <row r="5310" spans="1:4">
      <c r="A5310" s="226" t="s">
        <v>8406</v>
      </c>
      <c r="B5310" s="226">
        <v>543323</v>
      </c>
      <c r="C5310" s="226" t="s">
        <v>8407</v>
      </c>
      <c r="D5310" s="226" t="s">
        <v>7505</v>
      </c>
    </row>
    <row r="5311" spans="1:4">
      <c r="A5311" s="226" t="s">
        <v>8408</v>
      </c>
      <c r="B5311" s="226">
        <v>543324</v>
      </c>
      <c r="C5311" s="226" t="s">
        <v>8409</v>
      </c>
      <c r="D5311" s="226" t="s">
        <v>8410</v>
      </c>
    </row>
    <row r="5312" spans="1:4">
      <c r="A5312" s="226" t="s">
        <v>8411</v>
      </c>
      <c r="B5312" s="226">
        <v>543325</v>
      </c>
      <c r="C5312" s="226" t="s">
        <v>8412</v>
      </c>
      <c r="D5312" s="226" t="s">
        <v>8201</v>
      </c>
    </row>
    <row r="5313" spans="1:4">
      <c r="A5313" s="226" t="s">
        <v>8413</v>
      </c>
      <c r="B5313" s="226">
        <v>543326</v>
      </c>
      <c r="C5313" s="226" t="s">
        <v>8414</v>
      </c>
      <c r="D5313" s="226" t="s">
        <v>7505</v>
      </c>
    </row>
    <row r="5314" spans="1:4">
      <c r="A5314" s="226" t="s">
        <v>8415</v>
      </c>
      <c r="B5314" s="226">
        <v>543327</v>
      </c>
      <c r="C5314" s="226" t="s">
        <v>8416</v>
      </c>
      <c r="D5314" s="226" t="s">
        <v>8417</v>
      </c>
    </row>
    <row r="5315" spans="1:4">
      <c r="A5315" s="226" t="s">
        <v>8418</v>
      </c>
      <c r="B5315" s="226">
        <v>543328</v>
      </c>
      <c r="C5315" s="226" t="s">
        <v>8419</v>
      </c>
      <c r="D5315" s="226" t="s">
        <v>8420</v>
      </c>
    </row>
    <row r="5316" spans="1:4">
      <c r="A5316" s="226" t="s">
        <v>8421</v>
      </c>
      <c r="B5316" s="226">
        <v>543329</v>
      </c>
      <c r="C5316" s="226" t="s">
        <v>8422</v>
      </c>
      <c r="D5316" s="226" t="s">
        <v>524</v>
      </c>
    </row>
    <row r="5317" spans="1:4">
      <c r="A5317" s="226" t="s">
        <v>8423</v>
      </c>
      <c r="B5317" s="226">
        <v>543330</v>
      </c>
      <c r="C5317" s="226" t="s">
        <v>8424</v>
      </c>
      <c r="D5317" s="226" t="s">
        <v>974</v>
      </c>
    </row>
    <row r="5318" spans="1:4">
      <c r="A5318" s="226" t="s">
        <v>8425</v>
      </c>
      <c r="B5318" s="226">
        <v>543331</v>
      </c>
      <c r="C5318" s="226" t="s">
        <v>8426</v>
      </c>
      <c r="D5318" s="226" t="s">
        <v>8204</v>
      </c>
    </row>
    <row r="5319" spans="1:4">
      <c r="A5319" s="226" t="s">
        <v>8427</v>
      </c>
      <c r="B5319" s="226">
        <v>543332</v>
      </c>
      <c r="C5319" s="226" t="s">
        <v>8428</v>
      </c>
      <c r="D5319" s="226" t="s">
        <v>645</v>
      </c>
    </row>
    <row r="5320" spans="1:4">
      <c r="A5320" s="226" t="s">
        <v>8429</v>
      </c>
      <c r="B5320" s="226">
        <v>543333</v>
      </c>
      <c r="C5320" s="226" t="s">
        <v>8430</v>
      </c>
      <c r="D5320" s="226" t="s">
        <v>8401</v>
      </c>
    </row>
    <row r="5321" spans="1:4">
      <c r="A5321" s="226" t="s">
        <v>8431</v>
      </c>
      <c r="B5321" s="226">
        <v>543334</v>
      </c>
      <c r="C5321" s="226" t="s">
        <v>8432</v>
      </c>
      <c r="D5321" s="226" t="s">
        <v>499</v>
      </c>
    </row>
    <row r="5322" spans="1:4">
      <c r="A5322" s="226" t="s">
        <v>8433</v>
      </c>
      <c r="B5322" s="226">
        <v>543335</v>
      </c>
      <c r="C5322" s="226" t="s">
        <v>8434</v>
      </c>
      <c r="D5322" s="226" t="s">
        <v>8291</v>
      </c>
    </row>
    <row r="5323" spans="1:4">
      <c r="A5323" s="226" t="s">
        <v>8435</v>
      </c>
      <c r="B5323" s="226">
        <v>543336</v>
      </c>
      <c r="C5323" s="226" t="s">
        <v>8436</v>
      </c>
      <c r="D5323" s="226" t="s">
        <v>534</v>
      </c>
    </row>
    <row r="5324" spans="1:4">
      <c r="A5324" s="226" t="s">
        <v>8437</v>
      </c>
      <c r="B5324" s="226">
        <v>543341</v>
      </c>
      <c r="C5324" s="226" t="s">
        <v>8438</v>
      </c>
      <c r="D5324" s="226" t="s">
        <v>8439</v>
      </c>
    </row>
    <row r="5325" spans="1:4">
      <c r="A5325" s="226" t="s">
        <v>8440</v>
      </c>
      <c r="B5325" s="226">
        <v>543346</v>
      </c>
      <c r="C5325" s="226" t="s">
        <v>8441</v>
      </c>
      <c r="D5325" s="226" t="s">
        <v>8383</v>
      </c>
    </row>
    <row r="5326" spans="1:4">
      <c r="A5326" s="226" t="s">
        <v>8442</v>
      </c>
      <c r="B5326" s="226">
        <v>543347</v>
      </c>
      <c r="C5326" s="226" t="s">
        <v>8443</v>
      </c>
      <c r="D5326" s="226" t="s">
        <v>7505</v>
      </c>
    </row>
    <row r="5327" spans="1:4">
      <c r="A5327" s="226" t="s">
        <v>8444</v>
      </c>
      <c r="B5327" s="226">
        <v>543348</v>
      </c>
      <c r="C5327" s="226" t="s">
        <v>8445</v>
      </c>
      <c r="D5327" s="226" t="s">
        <v>7505</v>
      </c>
    </row>
    <row r="5328" spans="1:4">
      <c r="A5328" s="226" t="s">
        <v>8446</v>
      </c>
      <c r="B5328" s="226">
        <v>543349</v>
      </c>
      <c r="C5328" s="226" t="s">
        <v>8447</v>
      </c>
      <c r="D5328" s="226" t="s">
        <v>524</v>
      </c>
    </row>
    <row r="5329" spans="1:4">
      <c r="A5329" s="226" t="s">
        <v>8448</v>
      </c>
      <c r="B5329" s="226">
        <v>543350</v>
      </c>
      <c r="C5329" s="226" t="s">
        <v>8449</v>
      </c>
      <c r="D5329" s="226" t="s">
        <v>8420</v>
      </c>
    </row>
    <row r="5330" spans="1:4">
      <c r="A5330" s="226" t="s">
        <v>8450</v>
      </c>
      <c r="B5330" s="226">
        <v>543351</v>
      </c>
      <c r="C5330" s="226" t="s">
        <v>8451</v>
      </c>
      <c r="D5330" s="226" t="s">
        <v>8313</v>
      </c>
    </row>
    <row r="5331" spans="1:4">
      <c r="A5331" s="226" t="s">
        <v>8452</v>
      </c>
      <c r="B5331" s="226">
        <v>543352</v>
      </c>
      <c r="C5331" s="226" t="s">
        <v>8453</v>
      </c>
      <c r="D5331" s="226" t="s">
        <v>8454</v>
      </c>
    </row>
    <row r="5332" spans="1:4">
      <c r="A5332" s="226" t="s">
        <v>8455</v>
      </c>
      <c r="B5332" s="226">
        <v>543357</v>
      </c>
      <c r="C5332" s="226" t="s">
        <v>8456</v>
      </c>
      <c r="D5332" s="226" t="s">
        <v>7505</v>
      </c>
    </row>
    <row r="5333" spans="1:4">
      <c r="A5333" s="226" t="s">
        <v>8457</v>
      </c>
      <c r="B5333" s="226">
        <v>543358</v>
      </c>
      <c r="C5333" s="226" t="s">
        <v>8458</v>
      </c>
      <c r="D5333" s="226" t="s">
        <v>8201</v>
      </c>
    </row>
    <row r="5334" spans="1:4">
      <c r="A5334" s="226" t="s">
        <v>8459</v>
      </c>
      <c r="B5334" s="226">
        <v>543363</v>
      </c>
      <c r="C5334" s="226" t="s">
        <v>8460</v>
      </c>
      <c r="D5334" s="226" t="s">
        <v>8304</v>
      </c>
    </row>
    <row r="5335" spans="1:4">
      <c r="A5335" s="226" t="s">
        <v>8461</v>
      </c>
      <c r="B5335" s="226">
        <v>543364</v>
      </c>
      <c r="C5335" s="226" t="s">
        <v>8462</v>
      </c>
      <c r="D5335" s="226" t="s">
        <v>8394</v>
      </c>
    </row>
    <row r="5336" spans="1:4">
      <c r="A5336" s="226" t="s">
        <v>8463</v>
      </c>
      <c r="B5336" s="226">
        <v>543365</v>
      </c>
      <c r="C5336" s="226" t="s">
        <v>8464</v>
      </c>
      <c r="D5336" s="226" t="s">
        <v>7505</v>
      </c>
    </row>
    <row r="5337" spans="1:4">
      <c r="A5337" s="226" t="s">
        <v>8465</v>
      </c>
      <c r="B5337" s="226">
        <v>543366</v>
      </c>
      <c r="C5337" s="226" t="s">
        <v>8466</v>
      </c>
      <c r="D5337" s="226" t="s">
        <v>8268</v>
      </c>
    </row>
    <row r="5338" spans="1:4">
      <c r="A5338" s="226" t="s">
        <v>8467</v>
      </c>
      <c r="B5338" s="226">
        <v>543367</v>
      </c>
      <c r="C5338" s="226" t="s">
        <v>8468</v>
      </c>
      <c r="D5338" s="226" t="s">
        <v>8316</v>
      </c>
    </row>
    <row r="5339" spans="1:4">
      <c r="A5339" s="226" t="s">
        <v>8469</v>
      </c>
      <c r="B5339" s="226">
        <v>543372</v>
      </c>
      <c r="C5339" s="226" t="s">
        <v>8470</v>
      </c>
      <c r="D5339" s="226" t="s">
        <v>8471</v>
      </c>
    </row>
    <row r="5340" spans="1:4">
      <c r="A5340" s="226" t="s">
        <v>8472</v>
      </c>
      <c r="B5340" s="226">
        <v>543373</v>
      </c>
      <c r="C5340" s="226" t="s">
        <v>8473</v>
      </c>
      <c r="D5340" s="226" t="s">
        <v>8225</v>
      </c>
    </row>
    <row r="5341" spans="1:4">
      <c r="A5341" s="226" t="s">
        <v>8474</v>
      </c>
      <c r="B5341" s="226">
        <v>543374</v>
      </c>
      <c r="C5341" s="226" t="s">
        <v>8475</v>
      </c>
      <c r="D5341" s="226" t="s">
        <v>8476</v>
      </c>
    </row>
    <row r="5342" spans="1:4">
      <c r="A5342" s="226" t="s">
        <v>8477</v>
      </c>
      <c r="B5342" s="226">
        <v>543375</v>
      </c>
      <c r="C5342" s="226" t="s">
        <v>8478</v>
      </c>
      <c r="D5342" s="226" t="s">
        <v>8479</v>
      </c>
    </row>
    <row r="5343" spans="1:4">
      <c r="A5343" s="226" t="s">
        <v>8480</v>
      </c>
      <c r="B5343" s="226">
        <v>543376</v>
      </c>
      <c r="C5343" s="226" t="s">
        <v>8481</v>
      </c>
      <c r="D5343" s="226" t="s">
        <v>8268</v>
      </c>
    </row>
    <row r="5344" spans="1:4">
      <c r="A5344" s="226" t="s">
        <v>8482</v>
      </c>
      <c r="B5344" s="226">
        <v>543377</v>
      </c>
      <c r="C5344" s="226" t="s">
        <v>8483</v>
      </c>
      <c r="D5344" s="226" t="s">
        <v>808</v>
      </c>
    </row>
    <row r="5345" spans="1:4">
      <c r="A5345" s="226" t="s">
        <v>8484</v>
      </c>
      <c r="B5345" s="226">
        <v>543378</v>
      </c>
      <c r="C5345" s="226" t="s">
        <v>8485</v>
      </c>
      <c r="D5345" s="226" t="s">
        <v>854</v>
      </c>
    </row>
    <row r="5346" spans="1:4">
      <c r="A5346" s="226" t="s">
        <v>8486</v>
      </c>
      <c r="B5346" s="226">
        <v>543383</v>
      </c>
      <c r="C5346" s="226" t="s">
        <v>8487</v>
      </c>
      <c r="D5346" s="226" t="s">
        <v>7505</v>
      </c>
    </row>
    <row r="5347" spans="1:4">
      <c r="A5347" s="226" t="s">
        <v>8488</v>
      </c>
      <c r="B5347" s="226">
        <v>543384</v>
      </c>
      <c r="C5347" s="226" t="s">
        <v>8489</v>
      </c>
      <c r="D5347" s="226" t="s">
        <v>8401</v>
      </c>
    </row>
    <row r="5348" spans="1:4">
      <c r="A5348" s="226" t="s">
        <v>8490</v>
      </c>
      <c r="B5348" s="226">
        <v>543385</v>
      </c>
      <c r="C5348" s="226" t="s">
        <v>8491</v>
      </c>
      <c r="D5348" s="226" t="s">
        <v>8394</v>
      </c>
    </row>
    <row r="5349" spans="1:4">
      <c r="A5349" s="226" t="s">
        <v>8492</v>
      </c>
      <c r="B5349" s="226">
        <v>543386</v>
      </c>
      <c r="C5349" s="226" t="s">
        <v>8493</v>
      </c>
      <c r="D5349" s="226" t="s">
        <v>8336</v>
      </c>
    </row>
    <row r="5350" spans="1:4">
      <c r="A5350" s="226" t="s">
        <v>8494</v>
      </c>
      <c r="B5350" s="226">
        <v>543387</v>
      </c>
      <c r="C5350" s="226" t="s">
        <v>8495</v>
      </c>
      <c r="D5350" s="226" t="s">
        <v>8201</v>
      </c>
    </row>
    <row r="5351" spans="1:4">
      <c r="A5351" s="226" t="s">
        <v>8496</v>
      </c>
      <c r="B5351" s="226">
        <v>543388</v>
      </c>
      <c r="C5351" s="226" t="s">
        <v>8497</v>
      </c>
      <c r="D5351" s="226" t="s">
        <v>7505</v>
      </c>
    </row>
    <row r="5352" spans="1:4">
      <c r="A5352" s="226" t="s">
        <v>8498</v>
      </c>
      <c r="B5352" s="226">
        <v>543389</v>
      </c>
      <c r="C5352" s="226" t="s">
        <v>8499</v>
      </c>
      <c r="D5352" s="226" t="s">
        <v>524</v>
      </c>
    </row>
    <row r="5353" spans="1:4">
      <c r="A5353" s="226" t="s">
        <v>8500</v>
      </c>
      <c r="B5353" s="226">
        <v>543390</v>
      </c>
      <c r="C5353" s="226" t="s">
        <v>8501</v>
      </c>
      <c r="D5353" s="226" t="s">
        <v>8342</v>
      </c>
    </row>
    <row r="5354" spans="1:4">
      <c r="A5354" s="226" t="s">
        <v>8502</v>
      </c>
      <c r="B5354" s="226">
        <v>543391</v>
      </c>
      <c r="C5354" s="226" t="s">
        <v>8503</v>
      </c>
      <c r="D5354" s="226" t="s">
        <v>8394</v>
      </c>
    </row>
    <row r="5355" spans="1:4">
      <c r="A5355" s="226" t="s">
        <v>8504</v>
      </c>
      <c r="B5355" s="226">
        <v>543396</v>
      </c>
      <c r="C5355" s="226" t="s">
        <v>8505</v>
      </c>
      <c r="D5355" s="226" t="s">
        <v>8342</v>
      </c>
    </row>
    <row r="5356" spans="1:4">
      <c r="A5356" s="226" t="s">
        <v>8506</v>
      </c>
      <c r="B5356" s="226">
        <v>543397</v>
      </c>
      <c r="C5356" s="226" t="s">
        <v>8507</v>
      </c>
      <c r="D5356" s="226" t="s">
        <v>974</v>
      </c>
    </row>
    <row r="5357" spans="1:4">
      <c r="A5357" s="226" t="s">
        <v>8508</v>
      </c>
      <c r="B5357" s="226">
        <v>543398</v>
      </c>
      <c r="C5357" s="226" t="s">
        <v>8509</v>
      </c>
      <c r="D5357" s="226" t="s">
        <v>8313</v>
      </c>
    </row>
    <row r="5358" spans="1:4">
      <c r="A5358" s="226" t="s">
        <v>8510</v>
      </c>
      <c r="B5358" s="226">
        <v>543399</v>
      </c>
      <c r="C5358" s="226" t="s">
        <v>8511</v>
      </c>
      <c r="D5358" s="226" t="s">
        <v>8304</v>
      </c>
    </row>
    <row r="5359" spans="1:4">
      <c r="A5359" s="226" t="s">
        <v>8512</v>
      </c>
      <c r="B5359" s="226">
        <v>543400</v>
      </c>
      <c r="C5359" s="226" t="s">
        <v>8513</v>
      </c>
      <c r="D5359" s="226" t="s">
        <v>8514</v>
      </c>
    </row>
    <row r="5360" spans="1:4">
      <c r="A5360" s="226" t="s">
        <v>8515</v>
      </c>
      <c r="B5360" s="226">
        <v>543401</v>
      </c>
      <c r="C5360" s="226" t="s">
        <v>8516</v>
      </c>
      <c r="D5360" s="226" t="s">
        <v>8517</v>
      </c>
    </row>
    <row r="5361" spans="1:4">
      <c r="A5361" s="226" t="s">
        <v>8518</v>
      </c>
      <c r="B5361" s="226">
        <v>543410</v>
      </c>
      <c r="C5361" s="226" t="s">
        <v>8519</v>
      </c>
      <c r="D5361" s="226" t="s">
        <v>570</v>
      </c>
    </row>
    <row r="5362" spans="1:4">
      <c r="A5362" s="226" t="s">
        <v>8520</v>
      </c>
      <c r="B5362" s="226">
        <v>543411</v>
      </c>
      <c r="C5362" s="226" t="s">
        <v>3012</v>
      </c>
      <c r="D5362" s="226" t="s">
        <v>808</v>
      </c>
    </row>
    <row r="5363" spans="1:4">
      <c r="A5363" s="226" t="s">
        <v>8521</v>
      </c>
      <c r="B5363" s="226">
        <v>543412</v>
      </c>
      <c r="C5363" s="226" t="s">
        <v>8522</v>
      </c>
      <c r="D5363" s="226" t="s">
        <v>2565</v>
      </c>
    </row>
    <row r="5364" spans="1:4">
      <c r="A5364" s="226" t="s">
        <v>8523</v>
      </c>
      <c r="B5364" s="226">
        <v>543413</v>
      </c>
      <c r="C5364" s="226" t="s">
        <v>8524</v>
      </c>
      <c r="D5364" s="226" t="s">
        <v>8525</v>
      </c>
    </row>
    <row r="5365" spans="1:4">
      <c r="A5365" s="226" t="s">
        <v>8526</v>
      </c>
      <c r="B5365" s="226">
        <v>543414</v>
      </c>
      <c r="C5365" s="226" t="s">
        <v>8527</v>
      </c>
      <c r="D5365" s="226" t="s">
        <v>7505</v>
      </c>
    </row>
    <row r="5366" spans="1:4">
      <c r="A5366" s="226" t="s">
        <v>8528</v>
      </c>
      <c r="B5366" s="226">
        <v>543415</v>
      </c>
      <c r="C5366" s="226" t="s">
        <v>8529</v>
      </c>
      <c r="D5366" s="226" t="s">
        <v>8530</v>
      </c>
    </row>
    <row r="5367" spans="1:4">
      <c r="A5367" s="226" t="s">
        <v>8531</v>
      </c>
      <c r="B5367" s="226">
        <v>543416</v>
      </c>
      <c r="C5367" s="226" t="s">
        <v>7411</v>
      </c>
      <c r="D5367" s="226" t="s">
        <v>8479</v>
      </c>
    </row>
    <row r="5368" spans="1:4">
      <c r="A5368" s="226" t="s">
        <v>8532</v>
      </c>
      <c r="B5368" s="226">
        <v>543417</v>
      </c>
      <c r="C5368" s="226" t="s">
        <v>8533</v>
      </c>
      <c r="D5368" s="226" t="s">
        <v>8313</v>
      </c>
    </row>
    <row r="5369" spans="1:4">
      <c r="A5369" s="226" t="s">
        <v>8534</v>
      </c>
      <c r="B5369" s="226">
        <v>543419</v>
      </c>
      <c r="C5369" s="226" t="s">
        <v>8535</v>
      </c>
      <c r="D5369" s="226" t="s">
        <v>8268</v>
      </c>
    </row>
    <row r="5370" spans="1:4">
      <c r="A5370" s="226" t="s">
        <v>8536</v>
      </c>
      <c r="B5370" s="226">
        <v>543420</v>
      </c>
      <c r="C5370" s="226" t="s">
        <v>3457</v>
      </c>
      <c r="D5370" s="226" t="s">
        <v>8537</v>
      </c>
    </row>
    <row r="5371" spans="1:4">
      <c r="A5371" s="226" t="s">
        <v>8538</v>
      </c>
      <c r="B5371" s="226">
        <v>543425</v>
      </c>
      <c r="C5371" s="226" t="s">
        <v>8539</v>
      </c>
      <c r="D5371" s="226" t="s">
        <v>8540</v>
      </c>
    </row>
    <row r="5372" spans="1:4">
      <c r="A5372" s="226" t="s">
        <v>8541</v>
      </c>
      <c r="B5372" s="226">
        <v>543426</v>
      </c>
      <c r="C5372" s="226" t="s">
        <v>8542</v>
      </c>
      <c r="D5372" s="226" t="s">
        <v>911</v>
      </c>
    </row>
    <row r="5373" spans="1:4">
      <c r="A5373" s="226" t="s">
        <v>8543</v>
      </c>
      <c r="B5373" s="226">
        <v>543427</v>
      </c>
      <c r="C5373" s="226" t="s">
        <v>8544</v>
      </c>
      <c r="D5373" s="226" t="s">
        <v>8545</v>
      </c>
    </row>
    <row r="5374" spans="1:4">
      <c r="A5374" s="226" t="s">
        <v>8546</v>
      </c>
      <c r="B5374" s="226">
        <v>543428</v>
      </c>
      <c r="C5374" s="226" t="s">
        <v>8547</v>
      </c>
      <c r="D5374" s="226" t="s">
        <v>8316</v>
      </c>
    </row>
    <row r="5375" spans="1:4">
      <c r="A5375" s="226" t="s">
        <v>8548</v>
      </c>
      <c r="B5375" s="226">
        <v>543433</v>
      </c>
      <c r="C5375" s="226" t="s">
        <v>8549</v>
      </c>
      <c r="D5375" s="226" t="s">
        <v>645</v>
      </c>
    </row>
    <row r="5376" spans="1:4">
      <c r="A5376" s="226" t="s">
        <v>8550</v>
      </c>
      <c r="B5376" s="226">
        <v>543434</v>
      </c>
      <c r="C5376" s="226" t="s">
        <v>8551</v>
      </c>
      <c r="D5376" s="226" t="s">
        <v>524</v>
      </c>
    </row>
    <row r="5377" spans="1:4">
      <c r="A5377" s="226" t="s">
        <v>8552</v>
      </c>
      <c r="B5377" s="226">
        <v>543435</v>
      </c>
      <c r="C5377" s="226" t="s">
        <v>8553</v>
      </c>
      <c r="D5377" s="226" t="s">
        <v>8351</v>
      </c>
    </row>
    <row r="5378" spans="1:4">
      <c r="A5378" s="226" t="s">
        <v>8554</v>
      </c>
      <c r="B5378" s="226">
        <v>543436</v>
      </c>
      <c r="C5378" s="226" t="s">
        <v>8555</v>
      </c>
      <c r="D5378" s="226" t="s">
        <v>8313</v>
      </c>
    </row>
    <row r="5379" spans="1:4">
      <c r="A5379" s="226" t="s">
        <v>8556</v>
      </c>
      <c r="B5379" s="226">
        <v>543437</v>
      </c>
      <c r="C5379" s="226" t="s">
        <v>8557</v>
      </c>
      <c r="D5379" s="226" t="s">
        <v>7505</v>
      </c>
    </row>
    <row r="5380" spans="1:4">
      <c r="A5380" s="226" t="s">
        <v>8558</v>
      </c>
      <c r="B5380" s="226">
        <v>543438</v>
      </c>
      <c r="C5380" s="226" t="s">
        <v>8559</v>
      </c>
      <c r="D5380" s="226" t="s">
        <v>7505</v>
      </c>
    </row>
    <row r="5381" spans="1:4">
      <c r="A5381" s="226" t="s">
        <v>8560</v>
      </c>
      <c r="B5381" s="226">
        <v>543439</v>
      </c>
      <c r="C5381" s="226" t="s">
        <v>8561</v>
      </c>
      <c r="D5381" s="226" t="s">
        <v>8439</v>
      </c>
    </row>
    <row r="5382" spans="1:4">
      <c r="A5382" s="226" t="s">
        <v>8562</v>
      </c>
      <c r="B5382" s="226">
        <v>543440</v>
      </c>
      <c r="C5382" s="226" t="s">
        <v>8563</v>
      </c>
      <c r="D5382" s="226" t="s">
        <v>7505</v>
      </c>
    </row>
    <row r="5383" spans="1:4">
      <c r="A5383" s="226" t="s">
        <v>8564</v>
      </c>
      <c r="B5383" s="226">
        <v>543441</v>
      </c>
      <c r="C5383" s="226" t="s">
        <v>8565</v>
      </c>
      <c r="D5383" s="226" t="s">
        <v>7438</v>
      </c>
    </row>
    <row r="5384" spans="1:4">
      <c r="A5384" s="226" t="s">
        <v>8566</v>
      </c>
      <c r="B5384" s="226">
        <v>543442</v>
      </c>
      <c r="C5384" s="226" t="s">
        <v>1540</v>
      </c>
      <c r="D5384" s="226" t="s">
        <v>8517</v>
      </c>
    </row>
    <row r="5385" spans="1:4">
      <c r="A5385" s="226" t="s">
        <v>8567</v>
      </c>
      <c r="B5385" s="226">
        <v>543443</v>
      </c>
      <c r="C5385" s="226" t="s">
        <v>8568</v>
      </c>
      <c r="D5385" s="226" t="s">
        <v>349</v>
      </c>
    </row>
    <row r="5386" spans="1:4">
      <c r="A5386" s="226" t="s">
        <v>8569</v>
      </c>
      <c r="B5386" s="226">
        <v>543444</v>
      </c>
      <c r="C5386" s="226" t="s">
        <v>8570</v>
      </c>
      <c r="D5386" s="226" t="s">
        <v>524</v>
      </c>
    </row>
    <row r="5387" spans="1:4">
      <c r="A5387" s="226" t="s">
        <v>8571</v>
      </c>
      <c r="B5387" s="226">
        <v>543449</v>
      </c>
      <c r="C5387" s="226" t="s">
        <v>8572</v>
      </c>
      <c r="D5387" s="226" t="s">
        <v>1248</v>
      </c>
    </row>
    <row r="5388" spans="1:4">
      <c r="A5388" s="226" t="s">
        <v>8573</v>
      </c>
      <c r="B5388" s="226">
        <v>543450</v>
      </c>
      <c r="C5388" s="226" t="s">
        <v>8574</v>
      </c>
      <c r="D5388" s="226" t="s">
        <v>7505</v>
      </c>
    </row>
    <row r="5389" spans="1:4">
      <c r="A5389" s="226" t="s">
        <v>8575</v>
      </c>
      <c r="B5389" s="226">
        <v>543451</v>
      </c>
      <c r="C5389" s="226" t="s">
        <v>8576</v>
      </c>
      <c r="D5389" s="226" t="s">
        <v>7438</v>
      </c>
    </row>
    <row r="5390" spans="1:4">
      <c r="A5390" s="226" t="s">
        <v>8577</v>
      </c>
      <c r="B5390" s="226">
        <v>543452</v>
      </c>
      <c r="C5390" s="226" t="s">
        <v>8578</v>
      </c>
      <c r="D5390" s="226" t="s">
        <v>7505</v>
      </c>
    </row>
    <row r="5391" spans="1:4">
      <c r="A5391" s="226" t="s">
        <v>8579</v>
      </c>
      <c r="B5391" s="226">
        <v>543453</v>
      </c>
      <c r="C5391" s="226" t="s">
        <v>8580</v>
      </c>
      <c r="D5391" s="226" t="s">
        <v>8581</v>
      </c>
    </row>
    <row r="5392" spans="1:4">
      <c r="A5392" s="226" t="s">
        <v>8582</v>
      </c>
      <c r="B5392" s="226">
        <v>543454</v>
      </c>
      <c r="C5392" s="226" t="s">
        <v>8583</v>
      </c>
      <c r="D5392" s="226" t="s">
        <v>7505</v>
      </c>
    </row>
    <row r="5393" spans="1:4">
      <c r="A5393" s="226" t="s">
        <v>8584</v>
      </c>
      <c r="B5393" s="226">
        <v>543458</v>
      </c>
      <c r="C5393" s="226" t="s">
        <v>8585</v>
      </c>
      <c r="D5393" s="226" t="s">
        <v>8225</v>
      </c>
    </row>
    <row r="5394" spans="1:4">
      <c r="A5394" s="226" t="s">
        <v>8586</v>
      </c>
      <c r="B5394" s="226">
        <v>543460</v>
      </c>
      <c r="C5394" s="226" t="s">
        <v>8587</v>
      </c>
      <c r="D5394" s="226" t="s">
        <v>494</v>
      </c>
    </row>
    <row r="5395" spans="1:4">
      <c r="A5395" s="226" t="s">
        <v>8588</v>
      </c>
      <c r="B5395" s="226">
        <v>543461</v>
      </c>
      <c r="C5395" s="226" t="s">
        <v>8589</v>
      </c>
      <c r="D5395" s="226" t="s">
        <v>8218</v>
      </c>
    </row>
    <row r="5396" spans="1:4">
      <c r="A5396" s="226" t="s">
        <v>8590</v>
      </c>
      <c r="B5396" s="226">
        <v>543462</v>
      </c>
      <c r="C5396" s="226" t="s">
        <v>2015</v>
      </c>
      <c r="D5396" s="226" t="s">
        <v>8591</v>
      </c>
    </row>
    <row r="5397" spans="1:4">
      <c r="A5397" s="226" t="s">
        <v>8592</v>
      </c>
      <c r="B5397" s="226">
        <v>543463</v>
      </c>
      <c r="C5397" s="226" t="s">
        <v>8593</v>
      </c>
      <c r="D5397" s="226" t="s">
        <v>8517</v>
      </c>
    </row>
    <row r="5398" spans="1:4">
      <c r="A5398" s="226" t="s">
        <v>8594</v>
      </c>
      <c r="B5398" s="226">
        <v>543464</v>
      </c>
      <c r="C5398" s="226" t="s">
        <v>8595</v>
      </c>
      <c r="D5398" s="226" t="s">
        <v>1529</v>
      </c>
    </row>
    <row r="5399" spans="1:4">
      <c r="A5399" s="226" t="s">
        <v>8596</v>
      </c>
      <c r="B5399" s="226">
        <v>543465</v>
      </c>
      <c r="C5399" s="226" t="s">
        <v>8597</v>
      </c>
      <c r="D5399" s="226" t="s">
        <v>7505</v>
      </c>
    </row>
    <row r="5400" spans="1:4">
      <c r="A5400" s="226" t="s">
        <v>8598</v>
      </c>
      <c r="B5400" s="226">
        <v>543470</v>
      </c>
      <c r="C5400" s="226" t="s">
        <v>6139</v>
      </c>
      <c r="D5400" s="226" t="s">
        <v>8313</v>
      </c>
    </row>
    <row r="5401" spans="1:4">
      <c r="A5401" s="226" t="s">
        <v>8599</v>
      </c>
      <c r="B5401" s="226">
        <v>543471</v>
      </c>
      <c r="C5401" s="226" t="s">
        <v>8600</v>
      </c>
      <c r="D5401" s="226" t="s">
        <v>7505</v>
      </c>
    </row>
    <row r="5402" spans="1:4">
      <c r="A5402" s="226" t="s">
        <v>8601</v>
      </c>
      <c r="B5402" s="226">
        <v>543472</v>
      </c>
      <c r="C5402" s="226" t="s">
        <v>8602</v>
      </c>
      <c r="D5402" s="226" t="s">
        <v>7505</v>
      </c>
    </row>
    <row r="5403" spans="1:4">
      <c r="A5403" s="226" t="s">
        <v>8603</v>
      </c>
      <c r="B5403" s="226">
        <v>543473</v>
      </c>
      <c r="C5403" s="226" t="s">
        <v>8604</v>
      </c>
      <c r="D5403" s="226" t="s">
        <v>7505</v>
      </c>
    </row>
    <row r="5404" spans="1:4">
      <c r="A5404" s="226" t="s">
        <v>8605</v>
      </c>
      <c r="B5404" s="226">
        <v>543474</v>
      </c>
      <c r="C5404" s="226" t="s">
        <v>8606</v>
      </c>
      <c r="D5404" s="226" t="s">
        <v>7505</v>
      </c>
    </row>
    <row r="5405" spans="1:4">
      <c r="A5405" s="226" t="s">
        <v>8607</v>
      </c>
      <c r="B5405" s="226">
        <v>543475</v>
      </c>
      <c r="C5405" s="226" t="s">
        <v>8608</v>
      </c>
      <c r="D5405" s="226" t="s">
        <v>8591</v>
      </c>
    </row>
    <row r="5406" spans="1:4">
      <c r="A5406" s="226" t="s">
        <v>8609</v>
      </c>
      <c r="B5406" s="226">
        <v>543481</v>
      </c>
      <c r="C5406" s="226" t="s">
        <v>8610</v>
      </c>
      <c r="D5406" s="226" t="s">
        <v>7505</v>
      </c>
    </row>
    <row r="5407" spans="1:4">
      <c r="A5407" s="226" t="s">
        <v>8611</v>
      </c>
      <c r="B5407" s="226">
        <v>543482</v>
      </c>
      <c r="C5407" s="226" t="s">
        <v>8612</v>
      </c>
      <c r="D5407" s="226" t="s">
        <v>1248</v>
      </c>
    </row>
    <row r="5408" spans="1:4">
      <c r="A5408" s="226" t="s">
        <v>8613</v>
      </c>
      <c r="B5408" s="226">
        <v>543489</v>
      </c>
      <c r="C5408" s="226" t="s">
        <v>8614</v>
      </c>
      <c r="D5408" s="226" t="s">
        <v>8537</v>
      </c>
    </row>
    <row r="5409" spans="1:4">
      <c r="A5409" s="226" t="s">
        <v>8615</v>
      </c>
      <c r="B5409" s="226">
        <v>543490</v>
      </c>
      <c r="C5409" s="226" t="s">
        <v>8616</v>
      </c>
      <c r="D5409" s="226" t="s">
        <v>8479</v>
      </c>
    </row>
    <row r="5410" spans="1:4">
      <c r="A5410" s="226" t="s">
        <v>8617</v>
      </c>
      <c r="B5410" s="226">
        <v>543497</v>
      </c>
      <c r="C5410" s="226" t="s">
        <v>8618</v>
      </c>
      <c r="D5410" s="226" t="s">
        <v>645</v>
      </c>
    </row>
    <row r="5411" spans="1:4">
      <c r="A5411" s="226" t="s">
        <v>8619</v>
      </c>
      <c r="B5411" s="226">
        <v>543498</v>
      </c>
      <c r="C5411" s="226" t="s">
        <v>8620</v>
      </c>
      <c r="D5411" s="226" t="s">
        <v>8201</v>
      </c>
    </row>
    <row r="5412" spans="1:4">
      <c r="A5412" s="226" t="s">
        <v>8621</v>
      </c>
      <c r="B5412" s="226">
        <v>543499</v>
      </c>
      <c r="C5412" s="226" t="s">
        <v>8622</v>
      </c>
      <c r="D5412" s="226" t="s">
        <v>524</v>
      </c>
    </row>
    <row r="5413" spans="1:4">
      <c r="A5413" s="226" t="s">
        <v>8623</v>
      </c>
      <c r="B5413" s="226">
        <v>543500</v>
      </c>
      <c r="C5413" s="226" t="s">
        <v>8624</v>
      </c>
      <c r="D5413" s="226" t="s">
        <v>8218</v>
      </c>
    </row>
    <row r="5414" spans="1:4">
      <c r="A5414" s="226" t="s">
        <v>8625</v>
      </c>
      <c r="B5414" s="226">
        <v>543501</v>
      </c>
      <c r="C5414" s="226" t="s">
        <v>8626</v>
      </c>
      <c r="D5414" s="226" t="s">
        <v>7505</v>
      </c>
    </row>
    <row r="5415" spans="1:4">
      <c r="A5415" s="226" t="s">
        <v>8627</v>
      </c>
      <c r="B5415" s="226">
        <v>543512</v>
      </c>
      <c r="C5415" s="226" t="s">
        <v>8628</v>
      </c>
      <c r="D5415" s="226" t="s">
        <v>8629</v>
      </c>
    </row>
    <row r="5416" spans="1:4">
      <c r="A5416" s="226" t="s">
        <v>8630</v>
      </c>
      <c r="B5416" s="226">
        <v>543513</v>
      </c>
      <c r="C5416" s="226" t="s">
        <v>8631</v>
      </c>
      <c r="D5416" s="226" t="s">
        <v>8218</v>
      </c>
    </row>
    <row r="5417" spans="1:4">
      <c r="A5417" s="226" t="s">
        <v>8632</v>
      </c>
      <c r="B5417" s="226">
        <v>543514</v>
      </c>
      <c r="C5417" s="226" t="s">
        <v>8633</v>
      </c>
      <c r="D5417" s="226" t="s">
        <v>8250</v>
      </c>
    </row>
    <row r="5418" spans="1:4">
      <c r="A5418" s="226" t="s">
        <v>8634</v>
      </c>
      <c r="B5418" s="226">
        <v>543515</v>
      </c>
      <c r="C5418" s="226" t="s">
        <v>8635</v>
      </c>
      <c r="D5418" s="226" t="s">
        <v>8218</v>
      </c>
    </row>
    <row r="5419" spans="1:4">
      <c r="A5419" s="226" t="s">
        <v>8636</v>
      </c>
      <c r="B5419" s="226">
        <v>543516</v>
      </c>
      <c r="C5419" s="226" t="s">
        <v>8637</v>
      </c>
      <c r="D5419" s="226" t="s">
        <v>8218</v>
      </c>
    </row>
    <row r="5420" spans="1:4">
      <c r="A5420" s="226" t="s">
        <v>8638</v>
      </c>
      <c r="B5420" s="226">
        <v>543517</v>
      </c>
      <c r="C5420" s="226" t="s">
        <v>8639</v>
      </c>
      <c r="D5420" s="226" t="s">
        <v>808</v>
      </c>
    </row>
    <row r="5421" spans="1:4">
      <c r="A5421" s="226" t="s">
        <v>8640</v>
      </c>
      <c r="B5421" s="226">
        <v>543518</v>
      </c>
      <c r="C5421" s="226" t="s">
        <v>8641</v>
      </c>
      <c r="D5421" s="226" t="s">
        <v>8235</v>
      </c>
    </row>
    <row r="5422" spans="1:4">
      <c r="A5422" s="226" t="s">
        <v>8642</v>
      </c>
      <c r="B5422" s="226">
        <v>543519</v>
      </c>
      <c r="C5422" s="226" t="s">
        <v>8643</v>
      </c>
      <c r="D5422" s="226" t="s">
        <v>8417</v>
      </c>
    </row>
    <row r="5423" spans="1:4">
      <c r="A5423" s="226" t="s">
        <v>8644</v>
      </c>
      <c r="B5423" s="226">
        <v>543520</v>
      </c>
      <c r="C5423" s="226" t="s">
        <v>8645</v>
      </c>
      <c r="D5423" s="226" t="s">
        <v>8383</v>
      </c>
    </row>
    <row r="5424" spans="1:4">
      <c r="A5424" s="226" t="s">
        <v>8646</v>
      </c>
      <c r="B5424" s="226">
        <v>543521</v>
      </c>
      <c r="C5424" s="226" t="s">
        <v>8647</v>
      </c>
      <c r="D5424" s="226" t="s">
        <v>8401</v>
      </c>
    </row>
    <row r="5425" spans="1:4">
      <c r="A5425" s="226" t="s">
        <v>8648</v>
      </c>
      <c r="B5425" s="226">
        <v>543522</v>
      </c>
      <c r="C5425" s="226" t="s">
        <v>8649</v>
      </c>
      <c r="D5425" s="226" t="s">
        <v>384</v>
      </c>
    </row>
    <row r="5426" spans="1:4">
      <c r="A5426" s="226" t="s">
        <v>8650</v>
      </c>
      <c r="B5426" s="226">
        <v>543523</v>
      </c>
      <c r="C5426" s="226" t="s">
        <v>8651</v>
      </c>
      <c r="D5426" s="226" t="s">
        <v>911</v>
      </c>
    </row>
    <row r="5427" spans="1:4">
      <c r="A5427" s="226" t="s">
        <v>8652</v>
      </c>
      <c r="B5427" s="226">
        <v>543524</v>
      </c>
      <c r="C5427" s="226" t="s">
        <v>8653</v>
      </c>
      <c r="D5427" s="226" t="s">
        <v>8383</v>
      </c>
    </row>
    <row r="5428" spans="1:4">
      <c r="A5428" s="226" t="s">
        <v>8654</v>
      </c>
      <c r="B5428" s="226">
        <v>543525</v>
      </c>
      <c r="C5428" s="226" t="s">
        <v>6052</v>
      </c>
      <c r="D5428" s="226" t="s">
        <v>8591</v>
      </c>
    </row>
    <row r="5429" spans="1:4">
      <c r="A5429" s="226" t="s">
        <v>8655</v>
      </c>
      <c r="B5429" s="226">
        <v>543526</v>
      </c>
      <c r="C5429" s="226" t="s">
        <v>8656</v>
      </c>
      <c r="D5429" s="226" t="s">
        <v>2895</v>
      </c>
    </row>
    <row r="5430" spans="1:4">
      <c r="A5430" s="226" t="s">
        <v>8657</v>
      </c>
      <c r="B5430" s="226">
        <v>543527</v>
      </c>
      <c r="C5430" s="226" t="s">
        <v>8658</v>
      </c>
      <c r="D5430" s="226" t="s">
        <v>8530</v>
      </c>
    </row>
    <row r="5431" spans="1:4">
      <c r="A5431" s="226" t="s">
        <v>8659</v>
      </c>
      <c r="B5431" s="226">
        <v>543528</v>
      </c>
      <c r="C5431" s="226" t="s">
        <v>8660</v>
      </c>
      <c r="D5431" s="226" t="s">
        <v>808</v>
      </c>
    </row>
    <row r="5432" spans="1:4">
      <c r="A5432" s="226" t="s">
        <v>8661</v>
      </c>
      <c r="B5432" s="226">
        <v>543529</v>
      </c>
      <c r="C5432" s="226" t="s">
        <v>8662</v>
      </c>
      <c r="D5432" s="226" t="s">
        <v>8537</v>
      </c>
    </row>
    <row r="5433" spans="1:4">
      <c r="A5433" s="226" t="s">
        <v>8663</v>
      </c>
      <c r="B5433" s="226">
        <v>543530</v>
      </c>
      <c r="C5433" s="226" t="s">
        <v>8664</v>
      </c>
      <c r="D5433" s="226" t="s">
        <v>993</v>
      </c>
    </row>
    <row r="5434" spans="1:4">
      <c r="A5434" s="226" t="s">
        <v>8665</v>
      </c>
      <c r="B5434" s="226">
        <v>543531</v>
      </c>
      <c r="C5434" s="226" t="s">
        <v>8666</v>
      </c>
      <c r="D5434" s="226" t="s">
        <v>683</v>
      </c>
    </row>
    <row r="5435" spans="1:4">
      <c r="A5435" s="226" t="s">
        <v>8667</v>
      </c>
      <c r="B5435" s="226">
        <v>543532</v>
      </c>
      <c r="C5435" s="226" t="s">
        <v>8668</v>
      </c>
      <c r="D5435" s="226" t="s">
        <v>8235</v>
      </c>
    </row>
    <row r="5436" spans="1:4">
      <c r="A5436" s="226" t="s">
        <v>8669</v>
      </c>
      <c r="B5436" s="226">
        <v>543533</v>
      </c>
      <c r="C5436" s="226" t="s">
        <v>8670</v>
      </c>
      <c r="D5436" s="226" t="s">
        <v>8591</v>
      </c>
    </row>
    <row r="5437" spans="1:4">
      <c r="A5437" s="226" t="s">
        <v>8671</v>
      </c>
      <c r="B5437" s="226">
        <v>543534</v>
      </c>
      <c r="C5437" s="226" t="s">
        <v>8672</v>
      </c>
      <c r="D5437" s="226" t="s">
        <v>645</v>
      </c>
    </row>
    <row r="5438" spans="1:4">
      <c r="A5438" s="226" t="s">
        <v>8673</v>
      </c>
      <c r="B5438" s="226">
        <v>543535</v>
      </c>
      <c r="C5438" s="226" t="s">
        <v>8674</v>
      </c>
      <c r="D5438" s="226" t="s">
        <v>8454</v>
      </c>
    </row>
    <row r="5439" spans="1:4">
      <c r="A5439" s="226" t="s">
        <v>8675</v>
      </c>
      <c r="B5439" s="226">
        <v>543536</v>
      </c>
      <c r="C5439" s="226" t="s">
        <v>8676</v>
      </c>
      <c r="D5439" s="226" t="s">
        <v>8210</v>
      </c>
    </row>
    <row r="5440" spans="1:4">
      <c r="A5440" s="226" t="s">
        <v>8677</v>
      </c>
      <c r="B5440" s="226">
        <v>590136</v>
      </c>
      <c r="C5440" s="226" t="s">
        <v>8678</v>
      </c>
      <c r="D5440" s="226" t="s">
        <v>7505</v>
      </c>
    </row>
    <row r="5441" spans="1:4">
      <c r="A5441" s="226" t="s">
        <v>8679</v>
      </c>
      <c r="B5441" s="226">
        <v>590137</v>
      </c>
      <c r="C5441" s="226" t="s">
        <v>8680</v>
      </c>
      <c r="D5441" s="226" t="s">
        <v>7505</v>
      </c>
    </row>
    <row r="5442" spans="1:4">
      <c r="A5442" s="226" t="s">
        <v>8681</v>
      </c>
      <c r="B5442" s="226">
        <v>590138</v>
      </c>
      <c r="C5442" s="226" t="s">
        <v>8682</v>
      </c>
      <c r="D5442" s="226" t="s">
        <v>7505</v>
      </c>
    </row>
  </sheetData>
  <sheetProtection sheet="1" objects="1" scenarios="1"/>
  <autoFilter ref="A2:D5049" xr:uid="{00000000-0009-0000-0000-000016000000}">
    <sortState xmlns:xlrd2="http://schemas.microsoft.com/office/spreadsheetml/2017/richdata2" ref="A3:D5049">
      <sortCondition ref="A2:A5049"/>
    </sortState>
  </autoFilter>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4B6C6-3F10-4430-963B-AC716AE1D0BD}">
  <sheetPr>
    <tabColor rgb="FF7030A0"/>
  </sheetPr>
  <dimension ref="A1"/>
  <sheetViews>
    <sheetView workbookViewId="0">
      <selection activeCell="V36" sqref="V36"/>
    </sheetView>
  </sheetViews>
  <sheetFormatPr defaultRowHeight="1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O22"/>
  <sheetViews>
    <sheetView showGridLines="0" topLeftCell="B1" workbookViewId="0">
      <selection activeCell="V36" sqref="V36"/>
    </sheetView>
  </sheetViews>
  <sheetFormatPr defaultRowHeight="15"/>
  <cols>
    <col min="1" max="1" width="1.85546875" customWidth="1"/>
    <col min="2" max="2" width="11.85546875" customWidth="1"/>
    <col min="3" max="3" width="8.5703125" customWidth="1"/>
    <col min="4" max="4" width="12.7109375" customWidth="1"/>
    <col min="5" max="5" width="12.5703125" bestFit="1" customWidth="1"/>
    <col min="6" max="6" width="4.85546875" customWidth="1"/>
    <col min="7" max="7" width="11.85546875" customWidth="1"/>
    <col min="8" max="8" width="8.5703125" customWidth="1"/>
    <col min="9" max="9" width="12.7109375" customWidth="1"/>
    <col min="10" max="10" width="14.42578125" bestFit="1" customWidth="1"/>
    <col min="11" max="11" width="4.85546875" customWidth="1"/>
    <col min="12" max="12" width="11.85546875" customWidth="1"/>
    <col min="13" max="13" width="8.5703125" customWidth="1"/>
    <col min="14" max="14" width="17.5703125" bestFit="1" customWidth="1"/>
    <col min="15" max="15" width="11.140625" bestFit="1" customWidth="1"/>
  </cols>
  <sheetData>
    <row r="1" spans="2:15" ht="9.75" customHeight="1"/>
    <row r="2" spans="2:15" ht="18.75">
      <c r="B2" s="18" t="s">
        <v>8754</v>
      </c>
      <c r="C2" s="19"/>
      <c r="D2" s="19"/>
      <c r="E2" s="19"/>
      <c r="F2" s="19"/>
      <c r="G2" s="19"/>
      <c r="H2" s="19"/>
      <c r="I2" s="19"/>
      <c r="J2" s="19"/>
      <c r="K2" s="19"/>
      <c r="L2" s="19"/>
      <c r="M2" s="19"/>
      <c r="N2" s="19"/>
      <c r="O2" s="19"/>
    </row>
    <row r="3" spans="2:15">
      <c r="B3" s="20" t="str">
        <f>'Data Sheet'!B1</f>
        <v>ITC LTD</v>
      </c>
      <c r="C3" s="19"/>
      <c r="D3" s="19"/>
      <c r="E3" s="19"/>
      <c r="F3" s="19"/>
      <c r="G3" s="19"/>
      <c r="H3" s="19"/>
      <c r="I3" s="19"/>
      <c r="J3" s="19"/>
      <c r="K3" s="19"/>
      <c r="L3" s="19"/>
      <c r="M3" s="19"/>
      <c r="N3" s="19"/>
      <c r="O3" s="19"/>
    </row>
    <row r="4" spans="2:15">
      <c r="B4" s="219" t="s">
        <v>452</v>
      </c>
      <c r="C4" s="19"/>
      <c r="D4" s="19"/>
      <c r="E4" s="19"/>
      <c r="F4" s="19"/>
      <c r="G4" s="19"/>
      <c r="H4" s="19"/>
      <c r="I4" s="19"/>
      <c r="J4" s="19"/>
      <c r="K4" s="19"/>
      <c r="L4" s="19"/>
      <c r="M4" s="19"/>
      <c r="N4" s="19"/>
      <c r="O4" s="19"/>
    </row>
    <row r="5" spans="2:15" ht="4.5" customHeight="1"/>
    <row r="6" spans="2:15">
      <c r="B6" s="327" t="str">
        <f>'Data Sheet'!$B$1&amp;" - "&amp;'Data Sheet'!A17&amp;" Forecasting"</f>
        <v>ITC LTD - Sales Forecasting</v>
      </c>
      <c r="C6" s="327"/>
      <c r="D6" s="327"/>
      <c r="E6" s="327"/>
      <c r="G6" s="327" t="str">
        <f>'Data Sheet'!$B$1&amp;" - "&amp;'Historical FS'!B23&amp;" Forecasting"</f>
        <v>ITC LTD - EBITDA Forecasting</v>
      </c>
      <c r="H6" s="327"/>
      <c r="I6" s="327"/>
      <c r="J6" s="327"/>
      <c r="L6" s="327" t="str">
        <f>'Data Sheet'!$B$1&amp;" - "&amp;'Historical FS'!B40&amp;" Forecasting"</f>
        <v>ITC LTD -  Forecasting</v>
      </c>
      <c r="M6" s="327"/>
      <c r="N6" s="327"/>
      <c r="O6" s="327"/>
    </row>
    <row r="7" spans="2:15">
      <c r="B7" s="30" t="s">
        <v>127</v>
      </c>
      <c r="C7" s="31" t="s">
        <v>128</v>
      </c>
      <c r="D7" s="31" t="str">
        <f>'Historical FS'!B8</f>
        <v>Sales</v>
      </c>
      <c r="E7" s="31" t="str">
        <f>D7&amp;" Growth"</f>
        <v>Sales Growth</v>
      </c>
      <c r="G7" s="30" t="s">
        <v>127</v>
      </c>
      <c r="H7" s="31" t="s">
        <v>128</v>
      </c>
      <c r="I7" s="31" t="str">
        <f>'Historical FS'!B23</f>
        <v>EBITDA</v>
      </c>
      <c r="J7" s="31" t="str">
        <f>'Historical FS'!B23&amp;" Growth"</f>
        <v>EBITDA Growth</v>
      </c>
      <c r="L7" s="30" t="s">
        <v>127</v>
      </c>
      <c r="M7" s="31" t="s">
        <v>128</v>
      </c>
      <c r="N7" s="31" t="str">
        <f>'Historical FS'!B43</f>
        <v>Earnings per Share</v>
      </c>
      <c r="O7" s="31" t="s">
        <v>129</v>
      </c>
    </row>
    <row r="8" spans="2:15">
      <c r="B8" s="32">
        <v>1</v>
      </c>
      <c r="C8" s="33">
        <f>'Data Sheet'!B16</f>
        <v>42460</v>
      </c>
      <c r="D8" s="34">
        <f t="array" ref="D8:D17">TRANSPOSE('Historical FS'!C8:L8)</f>
        <v>39192.1</v>
      </c>
      <c r="G8" s="32">
        <f>B8</f>
        <v>1</v>
      </c>
      <c r="H8" s="33">
        <f>C8</f>
        <v>42460</v>
      </c>
      <c r="I8" s="34">
        <f t="array" ref="I8:I17">TRANSPOSE('Historical FS'!C23:L23)</f>
        <v>16014.6</v>
      </c>
      <c r="J8" s="35"/>
      <c r="L8" s="32">
        <f>G8</f>
        <v>1</v>
      </c>
      <c r="M8" s="33">
        <f>H8</f>
        <v>42460</v>
      </c>
      <c r="N8" s="38">
        <f t="array" ref="N8:N17">TRANSPOSE('Historical FS'!C43:L43)</f>
        <v>7.8709447592537369</v>
      </c>
    </row>
    <row r="9" spans="2:15">
      <c r="B9" s="32">
        <v>2</v>
      </c>
      <c r="C9" s="33">
        <f>C8+365</f>
        <v>42825</v>
      </c>
      <c r="D9" s="34">
        <v>42767.6</v>
      </c>
      <c r="E9" s="36">
        <f>D9/D8-1</f>
        <v>9.1230120355888067E-2</v>
      </c>
      <c r="G9" s="32">
        <f t="shared" ref="G9:G22" si="0">B9</f>
        <v>2</v>
      </c>
      <c r="H9" s="33">
        <f t="shared" ref="H9:H22" si="1">C9</f>
        <v>42825</v>
      </c>
      <c r="I9" s="34">
        <v>17228.14</v>
      </c>
      <c r="J9" s="36">
        <f>I9/I8-1</f>
        <v>7.5777103393153578E-2</v>
      </c>
      <c r="L9" s="32">
        <f t="shared" ref="L9:M22" si="2">G9</f>
        <v>2</v>
      </c>
      <c r="M9" s="33">
        <f t="shared" si="2"/>
        <v>42825</v>
      </c>
      <c r="N9" s="38">
        <v>8.6250802640894335</v>
      </c>
      <c r="O9" s="37">
        <f>N9/N8-1</f>
        <v>9.581257751162231E-2</v>
      </c>
    </row>
    <row r="10" spans="2:15">
      <c r="B10" s="32">
        <v>3</v>
      </c>
      <c r="C10" s="33">
        <f t="shared" ref="C10:C22" si="3">C9+365</f>
        <v>43190</v>
      </c>
      <c r="D10" s="34">
        <v>43448.94</v>
      </c>
      <c r="E10" s="36">
        <f t="shared" ref="E10:E22" si="4">D10/D9-1</f>
        <v>1.5931218960147486E-2</v>
      </c>
      <c r="G10" s="32">
        <f t="shared" si="0"/>
        <v>3</v>
      </c>
      <c r="H10" s="33">
        <f t="shared" si="1"/>
        <v>43190</v>
      </c>
      <c r="I10" s="34">
        <v>18760.400000000005</v>
      </c>
      <c r="J10" s="36">
        <f t="shared" ref="J10:J22" si="5">I10/I9-1</f>
        <v>8.8939374767096568E-2</v>
      </c>
      <c r="L10" s="32">
        <f t="shared" si="2"/>
        <v>3</v>
      </c>
      <c r="M10" s="33">
        <f t="shared" si="2"/>
        <v>43190</v>
      </c>
      <c r="N10" s="38">
        <v>9.4169104332079705</v>
      </c>
      <c r="O10" s="37">
        <f t="shared" ref="O10:O22" si="6">N10/N9-1</f>
        <v>9.1805542078875035E-2</v>
      </c>
    </row>
    <row r="11" spans="2:15">
      <c r="B11" s="32">
        <v>4</v>
      </c>
      <c r="C11" s="33">
        <f t="shared" si="3"/>
        <v>43555</v>
      </c>
      <c r="D11" s="34">
        <v>48339.58</v>
      </c>
      <c r="E11" s="36">
        <f t="shared" si="4"/>
        <v>0.11256062863673999</v>
      </c>
      <c r="G11" s="32">
        <f t="shared" si="0"/>
        <v>4</v>
      </c>
      <c r="H11" s="33">
        <f t="shared" si="1"/>
        <v>43555</v>
      </c>
      <c r="I11" s="34">
        <v>20617.829999999998</v>
      </c>
      <c r="J11" s="36">
        <f t="shared" si="5"/>
        <v>9.9008016886633188E-2</v>
      </c>
      <c r="L11" s="32">
        <f t="shared" si="2"/>
        <v>4</v>
      </c>
      <c r="M11" s="33">
        <f t="shared" si="2"/>
        <v>43555</v>
      </c>
      <c r="N11" s="38">
        <v>10.47093469074772</v>
      </c>
      <c r="O11" s="37">
        <f t="shared" si="6"/>
        <v>0.11192888209096896</v>
      </c>
    </row>
    <row r="12" spans="2:15">
      <c r="B12" s="32">
        <v>5</v>
      </c>
      <c r="C12" s="33">
        <f t="shared" si="3"/>
        <v>43920</v>
      </c>
      <c r="D12" s="34">
        <v>49387.7</v>
      </c>
      <c r="E12" s="36">
        <f t="shared" si="4"/>
        <v>2.1682439110972673E-2</v>
      </c>
      <c r="G12" s="32">
        <f t="shared" si="0"/>
        <v>5</v>
      </c>
      <c r="H12" s="33">
        <f t="shared" si="1"/>
        <v>43920</v>
      </c>
      <c r="I12" s="34">
        <v>21760.86</v>
      </c>
      <c r="J12" s="36">
        <f t="shared" si="5"/>
        <v>5.5438908944345888E-2</v>
      </c>
      <c r="L12" s="32">
        <f t="shared" si="2"/>
        <v>5</v>
      </c>
      <c r="M12" s="33">
        <f t="shared" si="2"/>
        <v>43920</v>
      </c>
      <c r="N12" s="38">
        <v>12.685101121036103</v>
      </c>
      <c r="O12" s="37">
        <f t="shared" si="6"/>
        <v>0.21145833640284817</v>
      </c>
    </row>
    <row r="13" spans="2:15">
      <c r="B13" s="32">
        <v>6</v>
      </c>
      <c r="C13" s="33">
        <f t="shared" si="3"/>
        <v>44285</v>
      </c>
      <c r="D13" s="34">
        <v>49257.45</v>
      </c>
      <c r="E13" s="36">
        <f t="shared" si="4"/>
        <v>-2.6372963308678443E-3</v>
      </c>
      <c r="G13" s="32">
        <f t="shared" si="0"/>
        <v>6</v>
      </c>
      <c r="H13" s="33">
        <f t="shared" si="1"/>
        <v>44285</v>
      </c>
      <c r="I13" s="34">
        <v>19641.73</v>
      </c>
      <c r="J13" s="36">
        <f t="shared" si="5"/>
        <v>-9.738264020815357E-2</v>
      </c>
      <c r="L13" s="32">
        <f t="shared" si="2"/>
        <v>6</v>
      </c>
      <c r="M13" s="33">
        <f t="shared" si="2"/>
        <v>44285</v>
      </c>
      <c r="N13" s="38">
        <v>10.87261146496815</v>
      </c>
      <c r="O13" s="37">
        <f t="shared" si="6"/>
        <v>-0.14288334312623208</v>
      </c>
    </row>
    <row r="14" spans="2:15">
      <c r="B14" s="32">
        <v>7</v>
      </c>
      <c r="C14" s="33">
        <f t="shared" si="3"/>
        <v>44650</v>
      </c>
      <c r="D14" s="34">
        <v>60644.54</v>
      </c>
      <c r="E14" s="36">
        <f t="shared" si="4"/>
        <v>0.23117497962237188</v>
      </c>
      <c r="G14" s="32">
        <f t="shared" si="0"/>
        <v>7</v>
      </c>
      <c r="H14" s="33">
        <f t="shared" si="1"/>
        <v>44650</v>
      </c>
      <c r="I14" s="34">
        <v>22532.869999999995</v>
      </c>
      <c r="J14" s="36">
        <f t="shared" si="5"/>
        <v>0.14719375533621504</v>
      </c>
      <c r="L14" s="32">
        <f t="shared" si="2"/>
        <v>7</v>
      </c>
      <c r="M14" s="33">
        <f t="shared" si="2"/>
        <v>44650</v>
      </c>
      <c r="N14" s="38">
        <v>12.580339681741087</v>
      </c>
      <c r="O14" s="37">
        <f t="shared" si="6"/>
        <v>0.15706697717243778</v>
      </c>
    </row>
    <row r="15" spans="2:15">
      <c r="B15" s="32">
        <v>8</v>
      </c>
      <c r="C15" s="33">
        <f t="shared" si="3"/>
        <v>45015</v>
      </c>
      <c r="D15" s="34">
        <v>70919.03</v>
      </c>
      <c r="E15" s="36">
        <f t="shared" si="4"/>
        <v>0.1694215175842706</v>
      </c>
      <c r="G15" s="32">
        <f t="shared" si="0"/>
        <v>8</v>
      </c>
      <c r="H15" s="33">
        <f t="shared" si="1"/>
        <v>45015</v>
      </c>
      <c r="I15" s="34">
        <v>27801.899999999994</v>
      </c>
      <c r="J15" s="36">
        <f t="shared" si="5"/>
        <v>0.23383750050481811</v>
      </c>
      <c r="L15" s="32">
        <f t="shared" si="2"/>
        <v>8</v>
      </c>
      <c r="M15" s="33">
        <f t="shared" si="2"/>
        <v>45015</v>
      </c>
      <c r="N15" s="38">
        <v>15.671644673318308</v>
      </c>
      <c r="O15" s="37">
        <f t="shared" si="6"/>
        <v>0.2457250813397267</v>
      </c>
    </row>
    <row r="16" spans="2:15">
      <c r="B16" s="32">
        <v>9</v>
      </c>
      <c r="C16" s="33">
        <f t="shared" si="3"/>
        <v>45380</v>
      </c>
      <c r="D16" s="34">
        <v>67931.94</v>
      </c>
      <c r="E16" s="36">
        <f t="shared" si="4"/>
        <v>-4.2119724423754779E-2</v>
      </c>
      <c r="G16" s="32">
        <f t="shared" si="0"/>
        <v>9</v>
      </c>
      <c r="H16" s="33">
        <f t="shared" si="1"/>
        <v>45380</v>
      </c>
      <c r="I16" s="34">
        <v>28517.98</v>
      </c>
      <c r="J16" s="36">
        <f t="shared" si="5"/>
        <v>2.5756513044072671E-2</v>
      </c>
      <c r="L16" s="32">
        <f t="shared" si="2"/>
        <v>9</v>
      </c>
      <c r="M16" s="33">
        <f t="shared" si="2"/>
        <v>45380</v>
      </c>
      <c r="N16" s="38">
        <v>16.621432633543456</v>
      </c>
      <c r="O16" s="37">
        <f t="shared" si="6"/>
        <v>6.0605506315632995E-2</v>
      </c>
    </row>
    <row r="17" spans="2:15">
      <c r="B17" s="32">
        <v>10</v>
      </c>
      <c r="C17" s="33">
        <f t="shared" si="3"/>
        <v>45745</v>
      </c>
      <c r="D17" s="34">
        <v>75323.34</v>
      </c>
      <c r="E17" s="36">
        <f t="shared" si="4"/>
        <v>0.10880596078957838</v>
      </c>
      <c r="G17" s="32">
        <f t="shared" si="0"/>
        <v>10</v>
      </c>
      <c r="H17" s="33">
        <f t="shared" si="1"/>
        <v>45745</v>
      </c>
      <c r="I17" s="34">
        <v>43634.33</v>
      </c>
      <c r="J17" s="36">
        <f t="shared" si="5"/>
        <v>0.53006384042628563</v>
      </c>
      <c r="L17" s="32">
        <f t="shared" si="2"/>
        <v>10</v>
      </c>
      <c r="M17" s="33">
        <f t="shared" si="2"/>
        <v>45745</v>
      </c>
      <c r="N17" s="38">
        <v>28.010388282017885</v>
      </c>
      <c r="O17" s="37">
        <f t="shared" si="6"/>
        <v>0.68519699231524456</v>
      </c>
    </row>
    <row r="18" spans="2:15">
      <c r="B18" s="300">
        <v>11</v>
      </c>
      <c r="C18" s="301">
        <f t="shared" si="3"/>
        <v>46110</v>
      </c>
      <c r="D18" s="302">
        <f>FORECAST(B18,D8:D17,B8:B17)</f>
        <v>77236.775999999998</v>
      </c>
      <c r="E18" s="303">
        <f t="shared" si="4"/>
        <v>2.5402962747005153E-2</v>
      </c>
      <c r="F18" s="304"/>
      <c r="G18" s="300">
        <f t="shared" si="0"/>
        <v>11</v>
      </c>
      <c r="H18" s="305">
        <f t="shared" si="1"/>
        <v>46110</v>
      </c>
      <c r="I18" s="302">
        <f>FORECAST(G18,I8:I17,G8:G17)</f>
        <v>36199.061999999998</v>
      </c>
      <c r="J18" s="303">
        <f t="shared" si="5"/>
        <v>-0.17039949966001544</v>
      </c>
      <c r="K18" s="304"/>
      <c r="L18" s="300">
        <f t="shared" si="2"/>
        <v>11</v>
      </c>
      <c r="M18" s="301">
        <f t="shared" si="2"/>
        <v>46110</v>
      </c>
      <c r="N18" s="306">
        <f>FORECAST(L18,N8:N17,L8:L17)</f>
        <v>22.383167294009695</v>
      </c>
      <c r="O18" s="307">
        <f t="shared" si="6"/>
        <v>-0.20089764309410718</v>
      </c>
    </row>
    <row r="19" spans="2:15">
      <c r="B19" s="300">
        <v>12</v>
      </c>
      <c r="C19" s="301">
        <f t="shared" si="3"/>
        <v>46475</v>
      </c>
      <c r="D19" s="302">
        <f>FORECAST(B19,D9:D18,B9:B18)</f>
        <v>82101.898400000005</v>
      </c>
      <c r="E19" s="303">
        <f t="shared" si="4"/>
        <v>6.2989713604824749E-2</v>
      </c>
      <c r="F19" s="304"/>
      <c r="G19" s="300">
        <f t="shared" si="0"/>
        <v>12</v>
      </c>
      <c r="H19" s="305">
        <f t="shared" si="1"/>
        <v>46475</v>
      </c>
      <c r="I19" s="302">
        <f t="shared" ref="I19:I22" si="7">FORECAST(G19,I9:I18,G9:G18)</f>
        <v>39181.87079999999</v>
      </c>
      <c r="J19" s="303">
        <f t="shared" si="5"/>
        <v>8.2400168269553209E-2</v>
      </c>
      <c r="K19" s="304"/>
      <c r="L19" s="300">
        <f t="shared" si="2"/>
        <v>12</v>
      </c>
      <c r="M19" s="301">
        <f t="shared" si="2"/>
        <v>46475</v>
      </c>
      <c r="N19" s="306">
        <f t="shared" ref="N19:N22" si="8">FORECAST(L19,N9:N18,L9:L18)</f>
        <v>24.580326947152983</v>
      </c>
      <c r="O19" s="307">
        <f t="shared" si="6"/>
        <v>9.816124877605259E-2</v>
      </c>
    </row>
    <row r="20" spans="2:15">
      <c r="B20" s="300">
        <v>13</v>
      </c>
      <c r="C20" s="301">
        <f t="shared" si="3"/>
        <v>46840</v>
      </c>
      <c r="D20" s="302">
        <f>FORECAST(B20,D10:D19,B10:B19)</f>
        <v>87330.224693333323</v>
      </c>
      <c r="E20" s="303">
        <f t="shared" si="4"/>
        <v>6.368094277017744E-2</v>
      </c>
      <c r="F20" s="304"/>
      <c r="G20" s="300">
        <f t="shared" si="0"/>
        <v>13</v>
      </c>
      <c r="H20" s="305">
        <f t="shared" si="1"/>
        <v>46840</v>
      </c>
      <c r="I20" s="302">
        <f t="shared" si="7"/>
        <v>42335.782986666665</v>
      </c>
      <c r="J20" s="303">
        <f t="shared" si="5"/>
        <v>8.0494170448509372E-2</v>
      </c>
      <c r="K20" s="304"/>
      <c r="L20" s="300">
        <f t="shared" si="2"/>
        <v>13</v>
      </c>
      <c r="M20" s="301">
        <f t="shared" si="2"/>
        <v>46840</v>
      </c>
      <c r="N20" s="306">
        <f t="shared" si="8"/>
        <v>26.889971760526038</v>
      </c>
      <c r="O20" s="307">
        <f t="shared" si="6"/>
        <v>9.3963144523615538E-2</v>
      </c>
    </row>
    <row r="21" spans="2:15">
      <c r="B21" s="300">
        <v>14</v>
      </c>
      <c r="C21" s="301">
        <f t="shared" si="3"/>
        <v>47205</v>
      </c>
      <c r="D21" s="302">
        <f>FORECAST(B21,D11:D20,B11:B20)</f>
        <v>92209.285610666644</v>
      </c>
      <c r="E21" s="303">
        <f t="shared" si="4"/>
        <v>5.5869098407412832E-2</v>
      </c>
      <c r="F21" s="304"/>
      <c r="G21" s="300">
        <f t="shared" si="0"/>
        <v>14</v>
      </c>
      <c r="H21" s="305">
        <f t="shared" si="1"/>
        <v>47205</v>
      </c>
      <c r="I21" s="302">
        <f t="shared" si="7"/>
        <v>45696.280661333338</v>
      </c>
      <c r="J21" s="303">
        <f t="shared" si="5"/>
        <v>7.9377241604933424E-2</v>
      </c>
      <c r="K21" s="304"/>
      <c r="L21" s="300">
        <f t="shared" si="2"/>
        <v>14</v>
      </c>
      <c r="M21" s="301">
        <f t="shared" si="2"/>
        <v>47205</v>
      </c>
      <c r="N21" s="306">
        <f t="shared" si="8"/>
        <v>29.270946098809016</v>
      </c>
      <c r="O21" s="307">
        <f t="shared" si="6"/>
        <v>8.8545066520977267E-2</v>
      </c>
    </row>
    <row r="22" spans="2:15">
      <c r="B22" s="300">
        <v>15</v>
      </c>
      <c r="C22" s="301">
        <f t="shared" si="3"/>
        <v>47570</v>
      </c>
      <c r="D22" s="302">
        <f>FORECAST(B22,D12:D21,B12:B21)</f>
        <v>97418.722582044429</v>
      </c>
      <c r="E22" s="303">
        <f t="shared" si="4"/>
        <v>5.6495795807089078E-2</v>
      </c>
      <c r="F22" s="304"/>
      <c r="G22" s="300">
        <f t="shared" si="0"/>
        <v>15</v>
      </c>
      <c r="H22" s="305">
        <f t="shared" si="1"/>
        <v>47570</v>
      </c>
      <c r="I22" s="302">
        <f t="shared" si="7"/>
        <v>49324.599873422223</v>
      </c>
      <c r="J22" s="303">
        <f t="shared" si="5"/>
        <v>7.940075558838755E-2</v>
      </c>
      <c r="K22" s="304"/>
      <c r="L22" s="300">
        <f t="shared" si="2"/>
        <v>15</v>
      </c>
      <c r="M22" s="301">
        <f t="shared" si="2"/>
        <v>47570</v>
      </c>
      <c r="N22" s="306">
        <f t="shared" si="8"/>
        <v>31.720512552594592</v>
      </c>
      <c r="O22" s="307">
        <f t="shared" si="6"/>
        <v>8.3685933673501633E-2</v>
      </c>
    </row>
  </sheetData>
  <mergeCells count="3">
    <mergeCell ref="B6:E6"/>
    <mergeCell ref="G6:J6"/>
    <mergeCell ref="L6:O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V112"/>
  <sheetViews>
    <sheetView showGridLines="0" workbookViewId="0">
      <selection activeCell="V36" sqref="V36"/>
    </sheetView>
  </sheetViews>
  <sheetFormatPr defaultRowHeight="15"/>
  <cols>
    <col min="1" max="1" width="1.85546875" style="3" customWidth="1"/>
    <col min="2" max="2" width="11.140625" style="3" customWidth="1"/>
    <col min="3" max="3" width="12.28515625" style="3" bestFit="1" customWidth="1"/>
    <col min="4" max="4" width="11.28515625" style="3" customWidth="1"/>
    <col min="5" max="5" width="8.5703125" style="3" customWidth="1"/>
    <col min="6" max="6" width="13.5703125" style="3" bestFit="1" customWidth="1"/>
    <col min="7" max="7" width="9.140625" style="3"/>
    <col min="8" max="8" width="8.5703125" style="3" customWidth="1"/>
    <col min="9" max="9" width="18.140625" style="3" customWidth="1"/>
    <col min="10" max="10" width="12" style="3" bestFit="1" customWidth="1"/>
    <col min="11" max="11" width="9.140625" style="3"/>
    <col min="12" max="12" width="14.42578125" style="3" customWidth="1"/>
    <col min="13" max="13" width="14.5703125" style="3" customWidth="1"/>
    <col min="14" max="14" width="11.85546875" style="3" customWidth="1"/>
    <col min="15" max="15" width="10.85546875" style="3" customWidth="1"/>
    <col min="16" max="16" width="11.7109375" style="3" customWidth="1"/>
    <col min="17" max="17" width="11.28515625" style="3" customWidth="1"/>
    <col min="18" max="18" width="12.85546875" style="3" customWidth="1"/>
    <col min="19" max="16384" width="9.140625" style="3"/>
  </cols>
  <sheetData>
    <row r="1" spans="2:22" ht="9.75" customHeight="1"/>
    <row r="2" spans="2:22" ht="18.75">
      <c r="B2" s="18" t="s">
        <v>166</v>
      </c>
      <c r="C2" s="19"/>
      <c r="D2" s="19"/>
      <c r="E2" s="19"/>
      <c r="F2" s="19"/>
      <c r="G2" s="19"/>
      <c r="H2" s="19"/>
      <c r="I2" s="19"/>
      <c r="J2" s="19"/>
      <c r="K2" s="19"/>
      <c r="L2" s="19"/>
      <c r="M2" s="19"/>
    </row>
    <row r="3" spans="2:22">
      <c r="B3" s="20" t="str">
        <f>'Data Sheet'!B1</f>
        <v>ITC LTD</v>
      </c>
      <c r="C3" s="19"/>
      <c r="D3" s="19"/>
      <c r="E3" s="19"/>
      <c r="F3" s="19"/>
      <c r="G3" s="19"/>
      <c r="H3" s="19"/>
      <c r="I3" s="19"/>
      <c r="J3" s="19"/>
      <c r="K3" s="19"/>
      <c r="L3" s="19"/>
      <c r="M3" s="19"/>
    </row>
    <row r="4" spans="2:22" ht="4.5" customHeight="1"/>
    <row r="5" spans="2:22">
      <c r="B5" s="321" t="str">
        <f>'Data Sheet'!B1&amp;" Weekly Returns"</f>
        <v>ITC LTD Weekly Returns</v>
      </c>
      <c r="C5" s="321"/>
      <c r="D5" s="321"/>
      <c r="E5" s="19"/>
      <c r="F5" s="321" t="str">
        <f>'[2]Historical Data'!E1&amp;" Returns"</f>
        <v>NIFTY Returns</v>
      </c>
      <c r="G5" s="321"/>
      <c r="H5" s="19"/>
      <c r="I5" s="321" t="s">
        <v>167</v>
      </c>
      <c r="J5" s="321"/>
      <c r="K5" s="19"/>
      <c r="L5" s="321" t="s">
        <v>451</v>
      </c>
      <c r="M5" s="321"/>
    </row>
    <row r="6" spans="2:22">
      <c r="B6" s="26"/>
      <c r="L6" s="3" t="s">
        <v>168</v>
      </c>
      <c r="M6" s="63">
        <f>SLOPE(D9:D112,G9:G112)</f>
        <v>0.498213860069259</v>
      </c>
    </row>
    <row r="7" spans="2:22">
      <c r="B7" s="64" t="s">
        <v>170</v>
      </c>
      <c r="C7" s="65" t="s">
        <v>171</v>
      </c>
      <c r="D7" s="65" t="s">
        <v>172</v>
      </c>
      <c r="F7" s="65" t="s">
        <v>171</v>
      </c>
      <c r="G7" s="65" t="s">
        <v>172</v>
      </c>
      <c r="I7" s="66" t="s">
        <v>173</v>
      </c>
      <c r="J7" s="63">
        <f>M8</f>
        <v>0.49821386006925888</v>
      </c>
      <c r="L7" s="3" t="s">
        <v>169</v>
      </c>
      <c r="M7" s="63">
        <f>_xlfn.COVARIANCE.S(D9:D112,G9:G112)/_xlfn.VAR.S(G9:G112)</f>
        <v>0.49821386006925911</v>
      </c>
    </row>
    <row r="8" spans="2:22">
      <c r="B8" s="72">
        <f>'Historical Data'!B3</f>
        <v>45137</v>
      </c>
      <c r="C8">
        <f>'Historical Data'!C3</f>
        <v>430.39</v>
      </c>
      <c r="F8" s="67">
        <f>'Historical Data'!F3</f>
        <v>19517</v>
      </c>
      <c r="I8" s="3" t="s">
        <v>174</v>
      </c>
      <c r="J8" s="24">
        <v>0.75</v>
      </c>
      <c r="L8" s="223" t="s">
        <v>175</v>
      </c>
      <c r="M8" s="224">
        <f>J31</f>
        <v>0.49821386006925888</v>
      </c>
    </row>
    <row r="9" spans="2:22">
      <c r="B9" s="72">
        <f>'Historical Data'!B4</f>
        <v>45144</v>
      </c>
      <c r="C9">
        <f>'Historical Data'!C4</f>
        <v>424.52</v>
      </c>
      <c r="D9" s="24">
        <f>(C9/C8)-1</f>
        <v>-1.3638792722879267E-2</v>
      </c>
      <c r="F9" s="67">
        <f>'Historical Data'!F4</f>
        <v>19428.3</v>
      </c>
      <c r="G9" s="24">
        <f>(F9/F8)-1</f>
        <v>-4.5447558538710409E-3</v>
      </c>
      <c r="J9" s="63"/>
      <c r="K9"/>
      <c r="N9"/>
      <c r="O9"/>
      <c r="P9"/>
      <c r="Q9"/>
      <c r="R9"/>
      <c r="S9"/>
      <c r="T9"/>
      <c r="U9"/>
      <c r="V9"/>
    </row>
    <row r="10" spans="2:22">
      <c r="B10" s="72">
        <f>'Historical Data'!B5</f>
        <v>45151</v>
      </c>
      <c r="C10">
        <f>'Historical Data'!C5</f>
        <v>417.81</v>
      </c>
      <c r="D10" s="24">
        <f t="shared" ref="D10:D73" si="0">(C10/C9)-1</f>
        <v>-1.5806086874587733E-2</v>
      </c>
      <c r="F10" s="67">
        <f>'Historical Data'!F5</f>
        <v>19310.150000000001</v>
      </c>
      <c r="G10" s="24">
        <f t="shared" ref="G10:G73" si="1">(F10/F9)-1</f>
        <v>-6.0813349598265454E-3</v>
      </c>
      <c r="I10" s="3" t="s">
        <v>176</v>
      </c>
      <c r="J10" s="63">
        <v>1</v>
      </c>
      <c r="K10"/>
      <c r="L10"/>
      <c r="M10"/>
      <c r="N10"/>
      <c r="O10"/>
      <c r="P10"/>
      <c r="Q10"/>
      <c r="R10"/>
      <c r="S10"/>
      <c r="T10"/>
      <c r="U10"/>
      <c r="V10"/>
    </row>
    <row r="11" spans="2:22">
      <c r="B11" s="72">
        <f>'Historical Data'!B6</f>
        <v>45158</v>
      </c>
      <c r="C11">
        <f>'Historical Data'!C6</f>
        <v>419.42</v>
      </c>
      <c r="D11" s="24">
        <f t="shared" si="0"/>
        <v>3.8534261985112561E-3</v>
      </c>
      <c r="F11" s="67">
        <f>'Historical Data'!F6</f>
        <v>19265.8</v>
      </c>
      <c r="G11" s="24">
        <f t="shared" si="1"/>
        <v>-2.2967196008317758E-3</v>
      </c>
      <c r="I11" s="3" t="s">
        <v>177</v>
      </c>
      <c r="J11" s="24">
        <f>1-J8</f>
        <v>0.25</v>
      </c>
      <c r="K11"/>
      <c r="L11"/>
      <c r="M11"/>
      <c r="N11"/>
      <c r="O11"/>
      <c r="P11"/>
      <c r="Q11"/>
      <c r="R11"/>
      <c r="S11"/>
      <c r="T11"/>
      <c r="U11"/>
      <c r="V11"/>
    </row>
    <row r="12" spans="2:22">
      <c r="B12" s="72">
        <f>'Historical Data'!B7</f>
        <v>45165</v>
      </c>
      <c r="C12">
        <f>'Historical Data'!C7</f>
        <v>417.24</v>
      </c>
      <c r="D12" s="24">
        <f t="shared" si="0"/>
        <v>-5.1976539030089697E-3</v>
      </c>
      <c r="F12" s="67">
        <f>'Historical Data'!F7</f>
        <v>19435.3</v>
      </c>
      <c r="G12" s="24">
        <f t="shared" si="1"/>
        <v>8.7979736112697715E-3</v>
      </c>
      <c r="K12"/>
      <c r="L12"/>
      <c r="M12"/>
      <c r="N12"/>
      <c r="O12"/>
      <c r="P12"/>
      <c r="Q12"/>
      <c r="R12"/>
      <c r="S12"/>
      <c r="T12"/>
      <c r="U12"/>
      <c r="V12"/>
    </row>
    <row r="13" spans="2:22">
      <c r="B13" s="72">
        <f>'Historical Data'!B8</f>
        <v>45172</v>
      </c>
      <c r="C13">
        <f>'Historical Data'!C8</f>
        <v>418.75</v>
      </c>
      <c r="D13" s="24">
        <f t="shared" si="0"/>
        <v>3.6190202281660699E-3</v>
      </c>
      <c r="F13" s="67">
        <f>'Historical Data'!F8</f>
        <v>19819.95</v>
      </c>
      <c r="G13" s="24">
        <f t="shared" si="1"/>
        <v>1.9791307569216876E-2</v>
      </c>
      <c r="I13" s="69" t="s">
        <v>179</v>
      </c>
      <c r="J13" s="70">
        <f>(J7*J8)+(J10*J11)</f>
        <v>0.62366039505194415</v>
      </c>
      <c r="K13"/>
      <c r="L13"/>
      <c r="M13"/>
      <c r="N13"/>
      <c r="O13"/>
      <c r="P13"/>
      <c r="Q13"/>
      <c r="R13"/>
      <c r="S13"/>
      <c r="T13"/>
      <c r="U13"/>
      <c r="V13"/>
    </row>
    <row r="14" spans="2:22">
      <c r="B14" s="72">
        <f>'Historical Data'!B9</f>
        <v>45179</v>
      </c>
      <c r="C14">
        <f>'Historical Data'!C9</f>
        <v>424.14</v>
      </c>
      <c r="D14" s="24">
        <f t="shared" si="0"/>
        <v>1.287164179104483E-2</v>
      </c>
      <c r="F14" s="67">
        <f>'Historical Data'!F9</f>
        <v>20192.349999999999</v>
      </c>
      <c r="G14" s="24">
        <f t="shared" si="1"/>
        <v>1.8789149316723597E-2</v>
      </c>
      <c r="K14"/>
      <c r="L14"/>
      <c r="M14"/>
      <c r="N14"/>
      <c r="O14"/>
      <c r="P14"/>
      <c r="Q14"/>
      <c r="R14"/>
      <c r="S14"/>
      <c r="T14"/>
      <c r="U14"/>
      <c r="V14"/>
    </row>
    <row r="15" spans="2:22" ht="15.75" thickBot="1">
      <c r="B15" s="72">
        <f>'Historical Data'!B10</f>
        <v>45186</v>
      </c>
      <c r="C15">
        <f>'Historical Data'!C10</f>
        <v>419.18</v>
      </c>
      <c r="D15" s="24">
        <f t="shared" si="0"/>
        <v>-1.1694251897958141E-2</v>
      </c>
      <c r="F15" s="67">
        <f>'Historical Data'!F10</f>
        <v>19674.25</v>
      </c>
      <c r="G15" s="24">
        <f t="shared" si="1"/>
        <v>-2.5658231954180599E-2</v>
      </c>
      <c r="I15"/>
      <c r="J15"/>
      <c r="K15"/>
      <c r="L15"/>
      <c r="M15"/>
      <c r="N15"/>
      <c r="O15"/>
      <c r="P15"/>
      <c r="Q15"/>
      <c r="R15"/>
      <c r="S15"/>
      <c r="T15"/>
      <c r="U15"/>
      <c r="V15"/>
    </row>
    <row r="16" spans="2:22">
      <c r="B16" s="72">
        <f>'Historical Data'!B11</f>
        <v>45193</v>
      </c>
      <c r="C16">
        <f>'Historical Data'!C11</f>
        <v>420.41</v>
      </c>
      <c r="D16" s="24">
        <f t="shared" si="0"/>
        <v>2.934300300586834E-3</v>
      </c>
      <c r="F16" s="67">
        <f>'Historical Data'!F11</f>
        <v>19638.3</v>
      </c>
      <c r="G16" s="24">
        <f t="shared" si="1"/>
        <v>-1.8272615220402688E-3</v>
      </c>
      <c r="I16" s="76" t="s">
        <v>178</v>
      </c>
      <c r="J16" s="76"/>
      <c r="K16"/>
      <c r="L16"/>
      <c r="M16"/>
      <c r="N16"/>
      <c r="O16"/>
      <c r="P16"/>
      <c r="Q16"/>
      <c r="R16"/>
      <c r="S16"/>
      <c r="T16"/>
      <c r="U16"/>
      <c r="V16"/>
    </row>
    <row r="17" spans="2:22">
      <c r="B17" s="72">
        <f>'Historical Data'!B12</f>
        <v>45200</v>
      </c>
      <c r="C17">
        <f>'Historical Data'!C12</f>
        <v>418.28</v>
      </c>
      <c r="D17" s="24">
        <f t="shared" si="0"/>
        <v>-5.0664827192503648E-3</v>
      </c>
      <c r="F17" s="67">
        <f>'Historical Data'!F12</f>
        <v>19653.5</v>
      </c>
      <c r="G17" s="24">
        <f t="shared" si="1"/>
        <v>7.7399774929598486E-4</v>
      </c>
      <c r="I17" t="s">
        <v>180</v>
      </c>
      <c r="J17">
        <v>0.41396685166702712</v>
      </c>
      <c r="K17"/>
      <c r="L17"/>
      <c r="M17"/>
      <c r="N17"/>
      <c r="O17"/>
      <c r="P17"/>
      <c r="Q17"/>
      <c r="R17"/>
      <c r="S17"/>
      <c r="T17"/>
      <c r="U17"/>
      <c r="V17"/>
    </row>
    <row r="18" spans="2:22">
      <c r="B18" s="72">
        <f>'Historical Data'!B13</f>
        <v>45207</v>
      </c>
      <c r="C18">
        <f>'Historical Data'!C13</f>
        <v>424.14</v>
      </c>
      <c r="D18" s="24">
        <f t="shared" si="0"/>
        <v>1.4009754231615323E-2</v>
      </c>
      <c r="F18" s="67">
        <f>'Historical Data'!F13</f>
        <v>19751.05</v>
      </c>
      <c r="G18" s="24">
        <f t="shared" si="1"/>
        <v>4.9634925076957881E-3</v>
      </c>
      <c r="I18" t="s">
        <v>181</v>
      </c>
      <c r="J18">
        <v>0.17136855427911044</v>
      </c>
      <c r="K18"/>
      <c r="L18"/>
      <c r="M18"/>
      <c r="N18"/>
      <c r="O18"/>
      <c r="P18"/>
      <c r="Q18"/>
      <c r="R18"/>
      <c r="S18"/>
      <c r="T18"/>
      <c r="U18"/>
      <c r="V18"/>
    </row>
    <row r="19" spans="2:22">
      <c r="B19" s="72">
        <f>'Historical Data'!B14</f>
        <v>45214</v>
      </c>
      <c r="C19">
        <f>'Historical Data'!C14</f>
        <v>414.64</v>
      </c>
      <c r="D19" s="24">
        <f t="shared" si="0"/>
        <v>-2.2398264723911931E-2</v>
      </c>
      <c r="F19" s="67">
        <f>'Historical Data'!F14</f>
        <v>19542.650000000001</v>
      </c>
      <c r="G19" s="24">
        <f t="shared" si="1"/>
        <v>-1.0551337776978809E-2</v>
      </c>
      <c r="I19" t="s">
        <v>182</v>
      </c>
      <c r="J19">
        <v>0.16324471657596445</v>
      </c>
      <c r="K19"/>
      <c r="L19"/>
      <c r="M19"/>
      <c r="N19"/>
      <c r="O19"/>
      <c r="P19"/>
      <c r="Q19"/>
      <c r="R19"/>
      <c r="S19"/>
      <c r="T19"/>
      <c r="U19"/>
      <c r="V19"/>
    </row>
    <row r="20" spans="2:22">
      <c r="B20" s="72">
        <f>'Historical Data'!B15</f>
        <v>45221</v>
      </c>
      <c r="C20">
        <f>'Historical Data'!C15</f>
        <v>410.33</v>
      </c>
      <c r="D20" s="24">
        <f t="shared" si="0"/>
        <v>-1.0394559135635695E-2</v>
      </c>
      <c r="F20" s="67">
        <f>'Historical Data'!F15</f>
        <v>19047.25</v>
      </c>
      <c r="G20" s="24">
        <f t="shared" si="1"/>
        <v>-2.5349683896503383E-2</v>
      </c>
      <c r="I20" t="s">
        <v>183</v>
      </c>
      <c r="J20">
        <v>1.8943882805594288E-2</v>
      </c>
      <c r="K20"/>
      <c r="L20"/>
      <c r="M20"/>
      <c r="N20"/>
      <c r="O20"/>
      <c r="P20"/>
      <c r="Q20"/>
      <c r="R20"/>
      <c r="S20"/>
      <c r="T20"/>
      <c r="U20"/>
      <c r="V20"/>
    </row>
    <row r="21" spans="2:22" ht="15.75" thickBot="1">
      <c r="B21" s="72">
        <f>'Historical Data'!B16</f>
        <v>45228</v>
      </c>
      <c r="C21">
        <f>'Historical Data'!C16</f>
        <v>409.86</v>
      </c>
      <c r="D21" s="24">
        <f t="shared" si="0"/>
        <v>-1.1454195403698408E-3</v>
      </c>
      <c r="F21" s="67">
        <f>'Historical Data'!F16</f>
        <v>19230.599999999999</v>
      </c>
      <c r="G21" s="24">
        <f t="shared" si="1"/>
        <v>9.6260615049414966E-3</v>
      </c>
      <c r="I21" s="71" t="s">
        <v>184</v>
      </c>
      <c r="J21" s="71">
        <v>104</v>
      </c>
      <c r="K21"/>
      <c r="L21"/>
      <c r="M21"/>
      <c r="N21"/>
      <c r="O21"/>
      <c r="P21"/>
      <c r="Q21"/>
      <c r="R21"/>
      <c r="S21"/>
      <c r="T21"/>
      <c r="U21"/>
      <c r="V21"/>
    </row>
    <row r="22" spans="2:22">
      <c r="B22" s="72">
        <f>'Historical Data'!B17</f>
        <v>45235</v>
      </c>
      <c r="C22">
        <f>'Historical Data'!C17</f>
        <v>412.98</v>
      </c>
      <c r="D22" s="24">
        <f t="shared" si="0"/>
        <v>7.6123554384424086E-3</v>
      </c>
      <c r="F22" s="67">
        <f>'Historical Data'!F17</f>
        <v>19425.349999999999</v>
      </c>
      <c r="G22" s="24">
        <f t="shared" si="1"/>
        <v>1.0127089118384225E-2</v>
      </c>
      <c r="I22"/>
      <c r="J22"/>
      <c r="K22"/>
      <c r="L22"/>
      <c r="M22"/>
      <c r="N22"/>
      <c r="O22"/>
      <c r="P22"/>
      <c r="Q22"/>
      <c r="R22"/>
      <c r="S22"/>
      <c r="T22"/>
      <c r="U22"/>
      <c r="V22"/>
    </row>
    <row r="23" spans="2:22" ht="15.75" thickBot="1">
      <c r="B23" s="72">
        <f>'Historical Data'!B18</f>
        <v>45242</v>
      </c>
      <c r="C23">
        <f>'Historical Data'!C18</f>
        <v>415.54</v>
      </c>
      <c r="D23" s="24">
        <f t="shared" si="0"/>
        <v>6.1988474018113138E-3</v>
      </c>
      <c r="F23" s="67">
        <f>'Historical Data'!F18</f>
        <v>19731.8</v>
      </c>
      <c r="G23" s="24">
        <f t="shared" si="1"/>
        <v>1.5775777527818002E-2</v>
      </c>
      <c r="I23" t="s">
        <v>185</v>
      </c>
      <c r="J23"/>
      <c r="K23"/>
      <c r="L23"/>
      <c r="M23"/>
      <c r="N23"/>
      <c r="O23"/>
      <c r="P23"/>
      <c r="Q23"/>
      <c r="R23"/>
      <c r="S23"/>
      <c r="T23"/>
      <c r="U23"/>
      <c r="V23"/>
    </row>
    <row r="24" spans="2:22">
      <c r="B24" s="72">
        <f>'Historical Data'!B19</f>
        <v>45249</v>
      </c>
      <c r="C24">
        <f>'Historical Data'!C19</f>
        <v>414.16</v>
      </c>
      <c r="D24" s="24">
        <f t="shared" si="0"/>
        <v>-3.3209799297300169E-3</v>
      </c>
      <c r="F24" s="67">
        <f>'Historical Data'!F19</f>
        <v>19794.7</v>
      </c>
      <c r="G24" s="24">
        <f t="shared" si="1"/>
        <v>3.1877476966115648E-3</v>
      </c>
      <c r="I24" s="75"/>
      <c r="J24" s="75" t="s">
        <v>186</v>
      </c>
      <c r="K24" s="75" t="s">
        <v>187</v>
      </c>
      <c r="L24" s="75" t="s">
        <v>188</v>
      </c>
      <c r="M24" s="75" t="s">
        <v>189</v>
      </c>
      <c r="N24" s="75" t="s">
        <v>190</v>
      </c>
      <c r="O24"/>
      <c r="P24"/>
      <c r="Q24"/>
      <c r="R24"/>
      <c r="S24"/>
      <c r="T24"/>
      <c r="U24"/>
      <c r="V24"/>
    </row>
    <row r="25" spans="2:22">
      <c r="B25" s="72">
        <f>'Historical Data'!B20</f>
        <v>45256</v>
      </c>
      <c r="C25">
        <f>'Historical Data'!C20</f>
        <v>425.52</v>
      </c>
      <c r="D25" s="24">
        <f t="shared" si="0"/>
        <v>2.7429012941858177E-2</v>
      </c>
      <c r="F25" s="67">
        <f>'Historical Data'!F20</f>
        <v>20267.900000000001</v>
      </c>
      <c r="G25" s="24">
        <f t="shared" si="1"/>
        <v>2.3905388816198414E-2</v>
      </c>
      <c r="I25" t="s">
        <v>191</v>
      </c>
      <c r="J25">
        <v>1</v>
      </c>
      <c r="K25">
        <v>7.5702093704258303E-3</v>
      </c>
      <c r="L25">
        <v>7.5702093704258303E-3</v>
      </c>
      <c r="M25">
        <v>21.094531986126157</v>
      </c>
      <c r="N25">
        <v>1.2524313800161183E-5</v>
      </c>
      <c r="O25"/>
      <c r="P25"/>
      <c r="Q25"/>
      <c r="R25"/>
      <c r="S25"/>
      <c r="T25"/>
      <c r="U25"/>
      <c r="V25"/>
    </row>
    <row r="26" spans="2:22">
      <c r="B26" s="72">
        <f>'Historical Data'!B21</f>
        <v>45263</v>
      </c>
      <c r="C26">
        <f>'Historical Data'!C21</f>
        <v>424.9</v>
      </c>
      <c r="D26" s="24">
        <f t="shared" si="0"/>
        <v>-1.4570407971423727E-3</v>
      </c>
      <c r="F26" s="67">
        <f>'Historical Data'!F21</f>
        <v>20969.400000000001</v>
      </c>
      <c r="G26" s="24">
        <f t="shared" si="1"/>
        <v>3.4611380557433069E-2</v>
      </c>
      <c r="I26" t="s">
        <v>192</v>
      </c>
      <c r="J26">
        <v>102</v>
      </c>
      <c r="K26">
        <v>3.6604810966713273E-2</v>
      </c>
      <c r="L26">
        <v>3.5887069575209093E-4</v>
      </c>
      <c r="M26"/>
      <c r="N26"/>
      <c r="O26"/>
      <c r="P26"/>
      <c r="Q26"/>
      <c r="R26"/>
      <c r="S26"/>
      <c r="T26"/>
      <c r="U26"/>
      <c r="V26"/>
    </row>
    <row r="27" spans="2:22" ht="15.75" thickBot="1">
      <c r="B27" s="72">
        <f>'Historical Data'!B22</f>
        <v>45270</v>
      </c>
      <c r="C27">
        <f>'Historical Data'!C22</f>
        <v>433.46</v>
      </c>
      <c r="D27" s="24">
        <f t="shared" si="0"/>
        <v>2.0145916686279186E-2</v>
      </c>
      <c r="F27" s="67">
        <f>'Historical Data'!F22</f>
        <v>21456.65</v>
      </c>
      <c r="G27" s="24">
        <f t="shared" si="1"/>
        <v>2.3236239472755438E-2</v>
      </c>
      <c r="I27" s="71" t="s">
        <v>35</v>
      </c>
      <c r="J27" s="71">
        <v>103</v>
      </c>
      <c r="K27" s="71">
        <v>4.4175020337139104E-2</v>
      </c>
      <c r="L27" s="71"/>
      <c r="M27" s="71"/>
      <c r="N27" s="71"/>
      <c r="O27"/>
      <c r="P27"/>
      <c r="Q27"/>
      <c r="R27"/>
      <c r="S27"/>
      <c r="T27"/>
      <c r="U27"/>
      <c r="V27"/>
    </row>
    <row r="28" spans="2:22" ht="15.75" thickBot="1">
      <c r="B28" s="72">
        <f>'Historical Data'!B23</f>
        <v>45277</v>
      </c>
      <c r="C28">
        <f>'Historical Data'!C23</f>
        <v>430.63</v>
      </c>
      <c r="D28" s="24">
        <f t="shared" si="0"/>
        <v>-6.5288607945369614E-3</v>
      </c>
      <c r="F28" s="67">
        <f>'Historical Data'!F23</f>
        <v>21349.4</v>
      </c>
      <c r="G28" s="24">
        <f t="shared" si="1"/>
        <v>-4.9984503638732525E-3</v>
      </c>
      <c r="I28"/>
      <c r="J28"/>
      <c r="K28"/>
      <c r="L28"/>
      <c r="M28"/>
      <c r="N28"/>
      <c r="O28"/>
      <c r="P28"/>
      <c r="Q28"/>
      <c r="R28"/>
      <c r="S28"/>
      <c r="T28"/>
      <c r="U28"/>
      <c r="V28"/>
    </row>
    <row r="29" spans="2:22">
      <c r="B29" s="72">
        <f>'Historical Data'!B24</f>
        <v>45284</v>
      </c>
      <c r="C29">
        <f>'Historical Data'!C24</f>
        <v>437.15</v>
      </c>
      <c r="D29" s="24">
        <f t="shared" si="0"/>
        <v>1.5140607946496853E-2</v>
      </c>
      <c r="F29" s="67">
        <f>'Historical Data'!F24</f>
        <v>21731.4</v>
      </c>
      <c r="G29" s="24">
        <f t="shared" si="1"/>
        <v>1.7892774504201459E-2</v>
      </c>
      <c r="I29" s="75"/>
      <c r="J29" s="75" t="s">
        <v>193</v>
      </c>
      <c r="K29" s="75" t="s">
        <v>183</v>
      </c>
      <c r="L29" s="75" t="s">
        <v>194</v>
      </c>
      <c r="M29" s="75" t="s">
        <v>195</v>
      </c>
      <c r="N29" s="75" t="s">
        <v>196</v>
      </c>
      <c r="O29" s="75" t="s">
        <v>197</v>
      </c>
      <c r="P29" s="75" t="s">
        <v>198</v>
      </c>
      <c r="Q29" s="75" t="s">
        <v>199</v>
      </c>
      <c r="R29"/>
      <c r="S29"/>
      <c r="T29"/>
      <c r="U29"/>
      <c r="V29"/>
    </row>
    <row r="30" spans="2:22">
      <c r="B30" s="72">
        <f>'Historical Data'!B25</f>
        <v>45291</v>
      </c>
      <c r="C30">
        <f>'Historical Data'!C25</f>
        <v>448.36</v>
      </c>
      <c r="D30" s="24">
        <f t="shared" si="0"/>
        <v>2.5643371840329499E-2</v>
      </c>
      <c r="F30" s="67">
        <f>'Historical Data'!F25</f>
        <v>21710.799999999999</v>
      </c>
      <c r="G30" s="24">
        <f t="shared" si="1"/>
        <v>-9.479370864280412E-4</v>
      </c>
      <c r="I30" t="s">
        <v>200</v>
      </c>
      <c r="J30">
        <v>-1.2803201816089149E-3</v>
      </c>
      <c r="K30">
        <v>1.8751751424540663E-3</v>
      </c>
      <c r="L30">
        <v>-0.68277365277642443</v>
      </c>
      <c r="M30">
        <v>0.49629768832807075</v>
      </c>
      <c r="N30">
        <v>-4.9997211856415303E-3</v>
      </c>
      <c r="O30">
        <v>2.4390808224237009E-3</v>
      </c>
      <c r="P30">
        <v>-4.9997211856415303E-3</v>
      </c>
      <c r="Q30">
        <v>2.4390808224237009E-3</v>
      </c>
      <c r="R30"/>
      <c r="S30"/>
      <c r="T30"/>
      <c r="U30"/>
      <c r="V30"/>
    </row>
    <row r="31" spans="2:22" ht="15.75" thickBot="1">
      <c r="B31" s="72">
        <f>'Historical Data'!B26</f>
        <v>45298</v>
      </c>
      <c r="C31">
        <f>'Historical Data'!C26</f>
        <v>441.5</v>
      </c>
      <c r="D31" s="24">
        <f t="shared" si="0"/>
        <v>-1.5300205192256278E-2</v>
      </c>
      <c r="F31" s="67">
        <f>'Historical Data'!F26</f>
        <v>21894.55</v>
      </c>
      <c r="G31" s="24">
        <f t="shared" si="1"/>
        <v>8.4635296718684749E-3</v>
      </c>
      <c r="I31" s="71" t="s">
        <v>201</v>
      </c>
      <c r="J31" s="222">
        <v>0.49821386006925888</v>
      </c>
      <c r="K31" s="71">
        <v>0.10847529954197613</v>
      </c>
      <c r="L31" s="71">
        <v>4.5928783987959179</v>
      </c>
      <c r="M31" s="71">
        <v>1.2524313800161183E-5</v>
      </c>
      <c r="N31" s="71">
        <v>0.28305361775656096</v>
      </c>
      <c r="O31" s="71">
        <v>0.71337410238195686</v>
      </c>
      <c r="P31" s="71">
        <v>0.28305361775656096</v>
      </c>
      <c r="Q31" s="71">
        <v>0.71337410238195686</v>
      </c>
      <c r="R31"/>
      <c r="S31"/>
      <c r="T31"/>
      <c r="U31"/>
      <c r="V31"/>
    </row>
    <row r="32" spans="2:22">
      <c r="B32" s="72">
        <f>'Historical Data'!B27</f>
        <v>45305</v>
      </c>
      <c r="C32">
        <f>'Historical Data'!C27</f>
        <v>446.05</v>
      </c>
      <c r="D32" s="24">
        <f t="shared" si="0"/>
        <v>1.0305775764439362E-2</v>
      </c>
      <c r="F32" s="67">
        <f>'Historical Data'!F27</f>
        <v>21622.400000000001</v>
      </c>
      <c r="G32" s="24">
        <f t="shared" si="1"/>
        <v>-1.2430033958222397E-2</v>
      </c>
      <c r="I32"/>
      <c r="J32"/>
      <c r="K32"/>
      <c r="L32"/>
      <c r="M32"/>
      <c r="N32"/>
      <c r="O32"/>
      <c r="P32"/>
      <c r="Q32"/>
      <c r="R32"/>
      <c r="S32"/>
      <c r="T32"/>
      <c r="U32"/>
    </row>
    <row r="33" spans="2:21">
      <c r="B33" s="72">
        <f>'Historical Data'!B28</f>
        <v>45312</v>
      </c>
      <c r="C33">
        <f>'Historical Data'!C28</f>
        <v>431.05</v>
      </c>
      <c r="D33" s="24">
        <f t="shared" si="0"/>
        <v>-3.3628516982401102E-2</v>
      </c>
      <c r="F33" s="67">
        <f>'Historical Data'!F28</f>
        <v>21352.6</v>
      </c>
      <c r="G33" s="24">
        <f t="shared" si="1"/>
        <v>-1.2477800799171379E-2</v>
      </c>
      <c r="I33"/>
      <c r="J33"/>
      <c r="K33"/>
      <c r="L33"/>
      <c r="M33"/>
      <c r="N33"/>
      <c r="O33"/>
      <c r="P33"/>
      <c r="Q33"/>
      <c r="R33"/>
      <c r="S33"/>
      <c r="T33"/>
      <c r="U33"/>
    </row>
    <row r="34" spans="2:21">
      <c r="B34" s="72">
        <f>'Historical Data'!B29</f>
        <v>45319</v>
      </c>
      <c r="C34">
        <f>'Historical Data'!C29</f>
        <v>416.34</v>
      </c>
      <c r="D34" s="24">
        <f t="shared" si="0"/>
        <v>-3.4125971465027383E-2</v>
      </c>
      <c r="F34" s="67">
        <f>'Historical Data'!F29</f>
        <v>21853.8</v>
      </c>
      <c r="G34" s="24">
        <f t="shared" si="1"/>
        <v>2.3472551352060167E-2</v>
      </c>
      <c r="I34"/>
      <c r="J34"/>
      <c r="K34"/>
      <c r="L34"/>
      <c r="M34"/>
      <c r="N34"/>
      <c r="O34"/>
      <c r="P34"/>
      <c r="Q34"/>
      <c r="R34"/>
      <c r="S34"/>
      <c r="T34"/>
      <c r="U34"/>
    </row>
    <row r="35" spans="2:21">
      <c r="B35" s="72">
        <f>'Historical Data'!B30</f>
        <v>45326</v>
      </c>
      <c r="C35">
        <f>'Historical Data'!C30</f>
        <v>393.07</v>
      </c>
      <c r="D35" s="24">
        <f t="shared" si="0"/>
        <v>-5.5891819186241976E-2</v>
      </c>
      <c r="F35" s="67">
        <f>'Historical Data'!F30</f>
        <v>21782.5</v>
      </c>
      <c r="G35" s="24">
        <f t="shared" si="1"/>
        <v>-3.2625904876955047E-3</v>
      </c>
      <c r="L35"/>
      <c r="M35"/>
      <c r="N35"/>
      <c r="O35"/>
      <c r="P35"/>
      <c r="Q35"/>
      <c r="R35"/>
      <c r="S35"/>
      <c r="T35"/>
      <c r="U35"/>
    </row>
    <row r="36" spans="2:21">
      <c r="B36" s="72">
        <f>'Historical Data'!B31</f>
        <v>45333</v>
      </c>
      <c r="C36">
        <f>'Historical Data'!C31</f>
        <v>382.76</v>
      </c>
      <c r="D36" s="24">
        <f t="shared" si="0"/>
        <v>-2.622942478438961E-2</v>
      </c>
      <c r="F36" s="67">
        <f>'Historical Data'!F31</f>
        <v>22040.7</v>
      </c>
      <c r="G36" s="24">
        <f t="shared" si="1"/>
        <v>1.1853552163433978E-2</v>
      </c>
      <c r="L36"/>
      <c r="M36"/>
      <c r="N36"/>
      <c r="O36"/>
      <c r="P36"/>
      <c r="Q36"/>
      <c r="R36"/>
      <c r="S36"/>
      <c r="T36"/>
      <c r="U36"/>
    </row>
    <row r="37" spans="2:21">
      <c r="B37" s="72">
        <f>'Historical Data'!B32</f>
        <v>45340</v>
      </c>
      <c r="C37">
        <f>'Historical Data'!C32</f>
        <v>389.19</v>
      </c>
      <c r="D37" s="24">
        <f t="shared" si="0"/>
        <v>1.6799038562023139E-2</v>
      </c>
      <c r="F37" s="67">
        <f>'Historical Data'!F32</f>
        <v>22212.7</v>
      </c>
      <c r="G37" s="24">
        <f t="shared" si="1"/>
        <v>7.8037448901351336E-3</v>
      </c>
      <c r="L37"/>
      <c r="M37"/>
      <c r="N37"/>
      <c r="O37"/>
      <c r="P37"/>
      <c r="Q37"/>
      <c r="R37"/>
      <c r="S37"/>
      <c r="T37"/>
      <c r="U37"/>
    </row>
    <row r="38" spans="2:21">
      <c r="B38" s="72">
        <f>'Historical Data'!B33</f>
        <v>45347</v>
      </c>
      <c r="C38">
        <f>'Historical Data'!C33</f>
        <v>387.39</v>
      </c>
      <c r="D38" s="24">
        <f t="shared" si="0"/>
        <v>-4.6249903646033985E-3</v>
      </c>
      <c r="F38" s="67">
        <f>'Historical Data'!F33</f>
        <v>22338.75</v>
      </c>
      <c r="G38" s="24">
        <f t="shared" si="1"/>
        <v>5.6746816010659895E-3</v>
      </c>
      <c r="L38"/>
      <c r="M38"/>
      <c r="N38"/>
      <c r="O38"/>
      <c r="P38"/>
      <c r="Q38"/>
      <c r="R38"/>
      <c r="S38"/>
      <c r="T38"/>
      <c r="U38"/>
    </row>
    <row r="39" spans="2:21">
      <c r="B39" s="72">
        <f>'Historical Data'!B34</f>
        <v>45354</v>
      </c>
      <c r="C39">
        <f>'Historical Data'!C34</f>
        <v>391.22</v>
      </c>
      <c r="D39" s="24">
        <f t="shared" si="0"/>
        <v>9.886677508454067E-3</v>
      </c>
      <c r="F39" s="67">
        <f>'Historical Data'!F34</f>
        <v>22493.55</v>
      </c>
      <c r="G39" s="24">
        <f t="shared" si="1"/>
        <v>6.929662581836471E-3</v>
      </c>
      <c r="L39"/>
      <c r="M39"/>
      <c r="N39"/>
      <c r="O39"/>
      <c r="P39"/>
      <c r="Q39"/>
      <c r="R39"/>
      <c r="S39"/>
      <c r="T39"/>
      <c r="U39"/>
    </row>
    <row r="40" spans="2:21">
      <c r="B40" s="72">
        <f>'Historical Data'!B35</f>
        <v>45361</v>
      </c>
      <c r="C40">
        <f>'Historical Data'!C35</f>
        <v>396.47</v>
      </c>
      <c r="D40" s="24">
        <f t="shared" si="0"/>
        <v>1.3419559327232822E-2</v>
      </c>
      <c r="F40" s="67">
        <f>'Historical Data'!F35</f>
        <v>22023.35</v>
      </c>
      <c r="G40" s="24">
        <f t="shared" si="1"/>
        <v>-2.0903770191899484E-2</v>
      </c>
      <c r="L40"/>
      <c r="M40"/>
      <c r="N40"/>
      <c r="O40"/>
      <c r="P40"/>
      <c r="Q40"/>
      <c r="R40"/>
      <c r="S40"/>
      <c r="T40"/>
      <c r="U40"/>
    </row>
    <row r="41" spans="2:21">
      <c r="B41" s="72">
        <f>'Historical Data'!B36</f>
        <v>45368</v>
      </c>
      <c r="C41">
        <f>'Historical Data'!C36</f>
        <v>405.46</v>
      </c>
      <c r="D41" s="24">
        <f t="shared" si="0"/>
        <v>2.2675107826569452E-2</v>
      </c>
      <c r="F41" s="67">
        <f>'Historical Data'!F36</f>
        <v>22096.75</v>
      </c>
      <c r="G41" s="24">
        <f t="shared" si="1"/>
        <v>3.3328262957270649E-3</v>
      </c>
      <c r="L41"/>
      <c r="M41"/>
      <c r="N41"/>
      <c r="O41"/>
      <c r="P41"/>
      <c r="Q41"/>
      <c r="R41"/>
      <c r="S41"/>
      <c r="T41"/>
      <c r="U41"/>
    </row>
    <row r="42" spans="2:21">
      <c r="B42" s="72">
        <f>'Historical Data'!B37</f>
        <v>45375</v>
      </c>
      <c r="C42">
        <f>'Historical Data'!C37</f>
        <v>405.23</v>
      </c>
      <c r="D42" s="24">
        <f t="shared" si="0"/>
        <v>-5.6725694273163096E-4</v>
      </c>
      <c r="F42" s="67">
        <f>'Historical Data'!F37</f>
        <v>22326.9</v>
      </c>
      <c r="G42" s="24">
        <f t="shared" si="1"/>
        <v>1.0415558849152129E-2</v>
      </c>
      <c r="R42"/>
      <c r="S42"/>
      <c r="T42"/>
      <c r="U42"/>
    </row>
    <row r="43" spans="2:21">
      <c r="B43" s="72">
        <f>'Historical Data'!B38</f>
        <v>45382</v>
      </c>
      <c r="C43">
        <f>'Historical Data'!C38</f>
        <v>404.47</v>
      </c>
      <c r="D43" s="24">
        <f t="shared" si="0"/>
        <v>-1.875478123534724E-3</v>
      </c>
      <c r="F43" s="67">
        <f>'Historical Data'!F38</f>
        <v>22513.7</v>
      </c>
      <c r="G43" s="24">
        <f t="shared" si="1"/>
        <v>8.3665891816597782E-3</v>
      </c>
    </row>
    <row r="44" spans="2:21">
      <c r="B44" s="72">
        <f>'Historical Data'!B39</f>
        <v>45389</v>
      </c>
      <c r="C44">
        <f>'Historical Data'!C39</f>
        <v>406.88</v>
      </c>
      <c r="D44" s="24">
        <f t="shared" si="0"/>
        <v>5.9584147155535838E-3</v>
      </c>
      <c r="F44" s="67">
        <f>'Historical Data'!F39</f>
        <v>22519.4</v>
      </c>
      <c r="G44" s="24">
        <f t="shared" si="1"/>
        <v>2.5317917534661838E-4</v>
      </c>
    </row>
    <row r="45" spans="2:21">
      <c r="B45" s="72">
        <f>'Historical Data'!B40</f>
        <v>45396</v>
      </c>
      <c r="C45">
        <f>'Historical Data'!C40</f>
        <v>401.82</v>
      </c>
      <c r="D45" s="24">
        <f t="shared" si="0"/>
        <v>-1.243609909555643E-2</v>
      </c>
      <c r="F45" s="67">
        <f>'Historical Data'!F40</f>
        <v>22147</v>
      </c>
      <c r="G45" s="24">
        <f t="shared" si="1"/>
        <v>-1.6536852669254087E-2</v>
      </c>
    </row>
    <row r="46" spans="2:21">
      <c r="B46" s="72">
        <f>'Historical Data'!B41</f>
        <v>45403</v>
      </c>
      <c r="C46">
        <f>'Historical Data'!C41</f>
        <v>416.25</v>
      </c>
      <c r="D46" s="24">
        <f t="shared" si="0"/>
        <v>3.5911602209944826E-2</v>
      </c>
      <c r="F46" s="67">
        <f>'Historical Data'!F41</f>
        <v>22419.95</v>
      </c>
      <c r="G46" s="24">
        <f t="shared" si="1"/>
        <v>1.2324468325281002E-2</v>
      </c>
    </row>
    <row r="47" spans="2:21">
      <c r="B47" s="72">
        <f>'Historical Data'!B42</f>
        <v>45410</v>
      </c>
      <c r="C47">
        <f>'Historical Data'!C42</f>
        <v>412.89</v>
      </c>
      <c r="D47" s="24">
        <f t="shared" si="0"/>
        <v>-8.0720720720720562E-3</v>
      </c>
      <c r="F47" s="67">
        <f>'Historical Data'!F42</f>
        <v>22475.85</v>
      </c>
      <c r="G47" s="24">
        <f t="shared" si="1"/>
        <v>2.4933151055197555E-3</v>
      </c>
    </row>
    <row r="48" spans="2:21">
      <c r="B48" s="72">
        <f>'Historical Data'!B43</f>
        <v>45417</v>
      </c>
      <c r="C48">
        <f>'Historical Data'!C43</f>
        <v>409.95</v>
      </c>
      <c r="D48" s="24">
        <f t="shared" si="0"/>
        <v>-7.1205405798154819E-3</v>
      </c>
      <c r="F48" s="67">
        <f>'Historical Data'!F43</f>
        <v>22055.200000000001</v>
      </c>
      <c r="G48" s="24">
        <f t="shared" si="1"/>
        <v>-1.8715643679771743E-2</v>
      </c>
    </row>
    <row r="49" spans="2:7">
      <c r="B49" s="72">
        <f>'Historical Data'!B44</f>
        <v>45424</v>
      </c>
      <c r="C49">
        <f>'Historical Data'!C44</f>
        <v>412.74</v>
      </c>
      <c r="D49" s="24">
        <f t="shared" si="0"/>
        <v>6.8057080131724845E-3</v>
      </c>
      <c r="F49" s="67">
        <f>'Historical Data'!F44</f>
        <v>22466.1</v>
      </c>
      <c r="G49" s="24">
        <f t="shared" si="1"/>
        <v>1.8630527041241907E-2</v>
      </c>
    </row>
    <row r="50" spans="2:7">
      <c r="B50" s="72">
        <f>'Historical Data'!B45</f>
        <v>45431</v>
      </c>
      <c r="C50">
        <f>'Historical Data'!C45</f>
        <v>412.65</v>
      </c>
      <c r="D50" s="24">
        <f t="shared" si="0"/>
        <v>-2.1805494984739049E-4</v>
      </c>
      <c r="F50" s="67">
        <f>'Historical Data'!F45</f>
        <v>22957.1</v>
      </c>
      <c r="G50" s="24">
        <f t="shared" si="1"/>
        <v>2.1855150649200406E-2</v>
      </c>
    </row>
    <row r="51" spans="2:7">
      <c r="B51" s="72">
        <f>'Historical Data'!B46</f>
        <v>45438</v>
      </c>
      <c r="C51">
        <f>'Historical Data'!C46</f>
        <v>403.43</v>
      </c>
      <c r="D51" s="24">
        <f t="shared" si="0"/>
        <v>-2.2343390282321463E-2</v>
      </c>
      <c r="F51" s="67">
        <f>'Historical Data'!F46</f>
        <v>22530.7</v>
      </c>
      <c r="G51" s="24">
        <f t="shared" si="1"/>
        <v>-1.8573774562117951E-2</v>
      </c>
    </row>
    <row r="52" spans="2:7">
      <c r="B52" s="72">
        <f>'Historical Data'!B47</f>
        <v>45445</v>
      </c>
      <c r="C52">
        <f>'Historical Data'!C47</f>
        <v>415.44</v>
      </c>
      <c r="D52" s="24">
        <f t="shared" si="0"/>
        <v>2.9769724611456772E-2</v>
      </c>
      <c r="F52" s="67">
        <f>'Historical Data'!F47</f>
        <v>23290.15</v>
      </c>
      <c r="G52" s="24">
        <f t="shared" si="1"/>
        <v>3.3707341538434354E-2</v>
      </c>
    </row>
    <row r="53" spans="2:7">
      <c r="B53" s="72">
        <f>'Historical Data'!B48</f>
        <v>45452</v>
      </c>
      <c r="C53">
        <f>'Historical Data'!C48</f>
        <v>407.87</v>
      </c>
      <c r="D53" s="24">
        <f t="shared" si="0"/>
        <v>-1.8221644521471236E-2</v>
      </c>
      <c r="F53" s="67">
        <f>'Historical Data'!F48</f>
        <v>23465.599999999999</v>
      </c>
      <c r="G53" s="24">
        <f t="shared" si="1"/>
        <v>7.5332275661599279E-3</v>
      </c>
    </row>
    <row r="54" spans="2:7">
      <c r="B54" s="72">
        <f>'Historical Data'!B49</f>
        <v>45459</v>
      </c>
      <c r="C54">
        <f>'Historical Data'!C49</f>
        <v>396.95</v>
      </c>
      <c r="D54" s="24">
        <f t="shared" si="0"/>
        <v>-2.6773236570475922E-2</v>
      </c>
      <c r="F54" s="67">
        <f>'Historical Data'!F49</f>
        <v>23501.1</v>
      </c>
      <c r="G54" s="24">
        <f t="shared" si="1"/>
        <v>1.5128528569481325E-3</v>
      </c>
    </row>
    <row r="55" spans="2:7">
      <c r="B55" s="72">
        <f>'Historical Data'!B50</f>
        <v>45466</v>
      </c>
      <c r="C55">
        <f>'Historical Data'!C50</f>
        <v>401.96</v>
      </c>
      <c r="D55" s="24">
        <f t="shared" si="0"/>
        <v>1.2621236931603441E-2</v>
      </c>
      <c r="F55" s="67">
        <f>'Historical Data'!F50</f>
        <v>24010.6</v>
      </c>
      <c r="G55" s="24">
        <f t="shared" si="1"/>
        <v>2.1679836262983532E-2</v>
      </c>
    </row>
    <row r="56" spans="2:7">
      <c r="B56" s="72">
        <f>'Historical Data'!B51</f>
        <v>45473</v>
      </c>
      <c r="C56">
        <f>'Historical Data'!C51</f>
        <v>410.24</v>
      </c>
      <c r="D56" s="24">
        <f t="shared" si="0"/>
        <v>2.0599064583540772E-2</v>
      </c>
      <c r="F56" s="67">
        <f>'Historical Data'!F51</f>
        <v>24323.85</v>
      </c>
      <c r="G56" s="24">
        <f t="shared" si="1"/>
        <v>1.3046321208133094E-2</v>
      </c>
    </row>
    <row r="57" spans="2:7">
      <c r="B57" s="72">
        <f>'Historical Data'!B52</f>
        <v>45480</v>
      </c>
      <c r="C57">
        <f>'Historical Data'!C52</f>
        <v>434.27</v>
      </c>
      <c r="D57" s="24">
        <f t="shared" si="0"/>
        <v>5.8575468018720711E-2</v>
      </c>
      <c r="F57" s="67">
        <f>'Historical Data'!F52</f>
        <v>24502.15</v>
      </c>
      <c r="G57" s="24">
        <f t="shared" si="1"/>
        <v>7.3302540510651326E-3</v>
      </c>
    </row>
    <row r="58" spans="2:7">
      <c r="B58" s="72">
        <f>'Historical Data'!B53</f>
        <v>45487</v>
      </c>
      <c r="C58">
        <f>'Historical Data'!C53</f>
        <v>448.93</v>
      </c>
      <c r="D58" s="24">
        <f t="shared" si="0"/>
        <v>3.3757800446726716E-2</v>
      </c>
      <c r="F58" s="67">
        <f>'Historical Data'!F53</f>
        <v>24530.9</v>
      </c>
      <c r="G58" s="24">
        <f t="shared" si="1"/>
        <v>1.1733664188653403E-3</v>
      </c>
    </row>
    <row r="59" spans="2:7">
      <c r="B59" s="72">
        <f>'Historical Data'!B54</f>
        <v>45494</v>
      </c>
      <c r="C59">
        <f>'Historical Data'!C54</f>
        <v>475.09</v>
      </c>
      <c r="D59" s="24">
        <f t="shared" si="0"/>
        <v>5.8271890940681192E-2</v>
      </c>
      <c r="F59" s="67">
        <f>'Historical Data'!F54</f>
        <v>24834.85</v>
      </c>
      <c r="G59" s="24">
        <f t="shared" si="1"/>
        <v>1.2390495252925682E-2</v>
      </c>
    </row>
    <row r="60" spans="2:7">
      <c r="B60" s="72">
        <f>'Historical Data'!B55</f>
        <v>45501</v>
      </c>
      <c r="C60">
        <f>'Historical Data'!C55</f>
        <v>462.7</v>
      </c>
      <c r="D60" s="24">
        <f t="shared" si="0"/>
        <v>-2.6079269191100596E-2</v>
      </c>
      <c r="F60" s="67">
        <f>'Historical Data'!F55</f>
        <v>24717.7</v>
      </c>
      <c r="G60" s="24">
        <f t="shared" si="1"/>
        <v>-4.7171615693268887E-3</v>
      </c>
    </row>
    <row r="61" spans="2:7">
      <c r="B61" s="72">
        <f>'Historical Data'!B56</f>
        <v>45508</v>
      </c>
      <c r="C61">
        <f>'Historical Data'!C56</f>
        <v>469.13</v>
      </c>
      <c r="D61" s="24">
        <f t="shared" si="0"/>
        <v>1.3896693321806763E-2</v>
      </c>
      <c r="F61" s="67">
        <f>'Historical Data'!F56</f>
        <v>24367.5</v>
      </c>
      <c r="G61" s="24">
        <f t="shared" si="1"/>
        <v>-1.4167984885325113E-2</v>
      </c>
    </row>
    <row r="62" spans="2:7">
      <c r="B62" s="72">
        <f>'Historical Data'!B57</f>
        <v>45515</v>
      </c>
      <c r="C62">
        <f>'Historical Data'!C57</f>
        <v>475.51</v>
      </c>
      <c r="D62" s="24">
        <f t="shared" si="0"/>
        <v>1.359964189030749E-2</v>
      </c>
      <c r="F62" s="67">
        <f>'Historical Data'!F57</f>
        <v>24541.15</v>
      </c>
      <c r="G62" s="24">
        <f t="shared" si="1"/>
        <v>7.1262952703396998E-3</v>
      </c>
    </row>
    <row r="63" spans="2:7">
      <c r="B63" s="72">
        <f>'Historical Data'!B58</f>
        <v>45522</v>
      </c>
      <c r="C63">
        <f>'Historical Data'!C58</f>
        <v>478.49</v>
      </c>
      <c r="D63" s="24">
        <f t="shared" si="0"/>
        <v>6.2669554793801652E-3</v>
      </c>
      <c r="F63" s="67">
        <f>'Historical Data'!F58</f>
        <v>24823.15</v>
      </c>
      <c r="G63" s="24">
        <f t="shared" si="1"/>
        <v>1.1490904052988471E-2</v>
      </c>
    </row>
    <row r="64" spans="2:7">
      <c r="B64" s="72">
        <f>'Historical Data'!B59</f>
        <v>45529</v>
      </c>
      <c r="C64">
        <f>'Historical Data'!C59</f>
        <v>474.8</v>
      </c>
      <c r="D64" s="24">
        <f t="shared" si="0"/>
        <v>-7.7117599113879498E-3</v>
      </c>
      <c r="F64" s="67">
        <f>'Historical Data'!F59</f>
        <v>25235.9</v>
      </c>
      <c r="G64" s="24">
        <f t="shared" si="1"/>
        <v>1.6627623810837822E-2</v>
      </c>
    </row>
    <row r="65" spans="2:7">
      <c r="B65" s="72">
        <f>'Historical Data'!B60</f>
        <v>45536</v>
      </c>
      <c r="C65">
        <f>'Historical Data'!C60</f>
        <v>474.61</v>
      </c>
      <c r="D65" s="24">
        <f t="shared" si="0"/>
        <v>-4.0016849199664417E-4</v>
      </c>
      <c r="F65" s="67">
        <f>'Historical Data'!F60</f>
        <v>24852.15</v>
      </c>
      <c r="G65" s="24">
        <f t="shared" si="1"/>
        <v>-1.5206511358818231E-2</v>
      </c>
    </row>
    <row r="66" spans="2:7">
      <c r="B66" s="72">
        <f>'Historical Data'!B61</f>
        <v>45543</v>
      </c>
      <c r="C66">
        <f>'Historical Data'!C61</f>
        <v>486.11</v>
      </c>
      <c r="D66" s="24">
        <f t="shared" si="0"/>
        <v>2.4230420766524041E-2</v>
      </c>
      <c r="F66" s="67">
        <f>'Historical Data'!F61</f>
        <v>25356.5</v>
      </c>
      <c r="G66" s="24">
        <f t="shared" si="1"/>
        <v>2.0294018827344829E-2</v>
      </c>
    </row>
    <row r="67" spans="2:7">
      <c r="B67" s="72">
        <f>'Historical Data'!B62</f>
        <v>45550</v>
      </c>
      <c r="C67">
        <f>'Historical Data'!C62</f>
        <v>486.63</v>
      </c>
      <c r="D67" s="24">
        <f t="shared" si="0"/>
        <v>1.0697167307811561E-3</v>
      </c>
      <c r="F67" s="67">
        <f>'Historical Data'!F62</f>
        <v>25790.95</v>
      </c>
      <c r="G67" s="24">
        <f t="shared" si="1"/>
        <v>1.7133673811448702E-2</v>
      </c>
    </row>
    <row r="68" spans="2:7">
      <c r="B68" s="72">
        <f>'Historical Data'!B63</f>
        <v>45557</v>
      </c>
      <c r="C68">
        <f>'Historical Data'!C63</f>
        <v>494.48</v>
      </c>
      <c r="D68" s="24">
        <f t="shared" si="0"/>
        <v>1.6131352362164231E-2</v>
      </c>
      <c r="F68" s="67">
        <f>'Historical Data'!F63</f>
        <v>26178.95</v>
      </c>
      <c r="G68" s="24">
        <f t="shared" si="1"/>
        <v>1.5044036764834123E-2</v>
      </c>
    </row>
    <row r="69" spans="2:7">
      <c r="B69" s="72">
        <f>'Historical Data'!B64</f>
        <v>45564</v>
      </c>
      <c r="C69">
        <f>'Historical Data'!C64</f>
        <v>476.36</v>
      </c>
      <c r="D69" s="24">
        <f t="shared" si="0"/>
        <v>-3.6644555897104025E-2</v>
      </c>
      <c r="F69" s="67">
        <f>'Historical Data'!F64</f>
        <v>25014.6</v>
      </c>
      <c r="G69" s="24">
        <f t="shared" si="1"/>
        <v>-4.4476573735768743E-2</v>
      </c>
    </row>
    <row r="70" spans="2:7">
      <c r="B70" s="72">
        <f>'Historical Data'!B65</f>
        <v>45571</v>
      </c>
      <c r="C70">
        <f>'Historical Data'!C65</f>
        <v>461.84</v>
      </c>
      <c r="D70" s="24">
        <f t="shared" si="0"/>
        <v>-3.0481148711058892E-2</v>
      </c>
      <c r="F70" s="67">
        <f>'Historical Data'!F65</f>
        <v>24964.25</v>
      </c>
      <c r="G70" s="24">
        <f t="shared" si="1"/>
        <v>-2.0128245104857889E-3</v>
      </c>
    </row>
    <row r="71" spans="2:7">
      <c r="B71" s="72">
        <f>'Historical Data'!B66</f>
        <v>45578</v>
      </c>
      <c r="C71">
        <f>'Historical Data'!C66</f>
        <v>460.42</v>
      </c>
      <c r="D71" s="24">
        <f t="shared" si="0"/>
        <v>-3.0746578901783561E-3</v>
      </c>
      <c r="F71" s="67">
        <f>'Historical Data'!F66</f>
        <v>24854.05</v>
      </c>
      <c r="G71" s="24">
        <f t="shared" si="1"/>
        <v>-4.4143124668275524E-3</v>
      </c>
    </row>
    <row r="72" spans="2:7">
      <c r="B72" s="72">
        <f>'Historical Data'!B67</f>
        <v>45585</v>
      </c>
      <c r="C72">
        <f>'Historical Data'!C67</f>
        <v>456.26</v>
      </c>
      <c r="D72" s="24">
        <f t="shared" si="0"/>
        <v>-9.0352287042266832E-3</v>
      </c>
      <c r="F72" s="67">
        <f>'Historical Data'!F67</f>
        <v>24180.799999999999</v>
      </c>
      <c r="G72" s="24">
        <f t="shared" si="1"/>
        <v>-2.7088140564616281E-2</v>
      </c>
    </row>
    <row r="73" spans="2:7">
      <c r="B73" s="72">
        <f>'Historical Data'!B68</f>
        <v>45592</v>
      </c>
      <c r="C73">
        <f>'Historical Data'!C68</f>
        <v>463.83</v>
      </c>
      <c r="D73" s="24">
        <f t="shared" si="0"/>
        <v>1.6591417174418144E-2</v>
      </c>
      <c r="F73" s="67">
        <f>'Historical Data'!F68</f>
        <v>24304.35</v>
      </c>
      <c r="G73" s="24">
        <f t="shared" si="1"/>
        <v>5.1094256600276999E-3</v>
      </c>
    </row>
    <row r="74" spans="2:7">
      <c r="B74" s="72">
        <f>'Historical Data'!B69</f>
        <v>45599</v>
      </c>
      <c r="C74">
        <f>'Historical Data'!C69</f>
        <v>452.24</v>
      </c>
      <c r="D74" s="24">
        <f t="shared" ref="D74:D112" si="2">(C74/C73)-1</f>
        <v>-2.4987603216695686E-2</v>
      </c>
      <c r="F74" s="67">
        <f>'Historical Data'!F69</f>
        <v>24148.2</v>
      </c>
      <c r="G74" s="24">
        <f t="shared" ref="G74:G112" si="3">(F74/F73)-1</f>
        <v>-6.4247758117372822E-3</v>
      </c>
    </row>
    <row r="75" spans="2:7">
      <c r="B75" s="72">
        <f>'Historical Data'!B70</f>
        <v>45606</v>
      </c>
      <c r="C75">
        <f>'Historical Data'!C70</f>
        <v>440.8</v>
      </c>
      <c r="D75" s="24">
        <f t="shared" si="2"/>
        <v>-2.5296302848045293E-2</v>
      </c>
      <c r="F75" s="67">
        <f>'Historical Data'!F70</f>
        <v>23532.7</v>
      </c>
      <c r="G75" s="24">
        <f t="shared" si="3"/>
        <v>-2.5488442202731498E-2</v>
      </c>
    </row>
    <row r="76" spans="2:7">
      <c r="B76" s="72">
        <f>'Historical Data'!B71</f>
        <v>45613</v>
      </c>
      <c r="C76">
        <f>'Historical Data'!C71</f>
        <v>449.02</v>
      </c>
      <c r="D76" s="24">
        <f t="shared" si="2"/>
        <v>1.8647912885662254E-2</v>
      </c>
      <c r="F76" s="67">
        <f>'Historical Data'!F71</f>
        <v>23907.25</v>
      </c>
      <c r="G76" s="24">
        <f t="shared" si="3"/>
        <v>1.5916150717937061E-2</v>
      </c>
    </row>
    <row r="77" spans="2:7">
      <c r="B77" s="72">
        <f>'Historical Data'!B72</f>
        <v>45620</v>
      </c>
      <c r="C77">
        <f>'Historical Data'!C72</f>
        <v>451.01</v>
      </c>
      <c r="D77" s="24">
        <f t="shared" si="2"/>
        <v>4.4318738586255346E-3</v>
      </c>
      <c r="F77" s="67">
        <f>'Historical Data'!F72</f>
        <v>24131.1</v>
      </c>
      <c r="G77" s="24">
        <f t="shared" si="3"/>
        <v>9.3632684645870157E-3</v>
      </c>
    </row>
    <row r="78" spans="2:7">
      <c r="B78" s="72">
        <f>'Historical Data'!B73</f>
        <v>45627</v>
      </c>
      <c r="C78">
        <f>'Historical Data'!C73</f>
        <v>445.71</v>
      </c>
      <c r="D78" s="24">
        <f t="shared" si="2"/>
        <v>-1.1751402407928935E-2</v>
      </c>
      <c r="F78" s="67">
        <f>'Historical Data'!F73</f>
        <v>24677.8</v>
      </c>
      <c r="G78" s="24">
        <f t="shared" si="3"/>
        <v>2.2655411481449228E-2</v>
      </c>
    </row>
    <row r="79" spans="2:7">
      <c r="B79" s="72">
        <f>'Historical Data'!B74</f>
        <v>45634</v>
      </c>
      <c r="C79">
        <f>'Historical Data'!C74</f>
        <v>444.63</v>
      </c>
      <c r="D79" s="24">
        <f t="shared" si="2"/>
        <v>-2.4231002221174469E-3</v>
      </c>
      <c r="F79" s="67">
        <f>'Historical Data'!F74</f>
        <v>24768.3</v>
      </c>
      <c r="G79" s="24">
        <f t="shared" si="3"/>
        <v>3.6672636944945491E-3</v>
      </c>
    </row>
    <row r="80" spans="2:7">
      <c r="B80" s="72">
        <f>'Historical Data'!B75</f>
        <v>45641</v>
      </c>
      <c r="C80">
        <f>'Historical Data'!C75</f>
        <v>439.57</v>
      </c>
      <c r="D80" s="24">
        <f t="shared" si="2"/>
        <v>-1.1380248746148514E-2</v>
      </c>
      <c r="F80" s="67">
        <f>'Historical Data'!F75</f>
        <v>23587.5</v>
      </c>
      <c r="G80" s="24">
        <f t="shared" si="3"/>
        <v>-4.7673841159869612E-2</v>
      </c>
    </row>
    <row r="81" spans="2:7">
      <c r="B81" s="72">
        <f>'Historical Data'!B76</f>
        <v>45648</v>
      </c>
      <c r="C81">
        <f>'Historical Data'!C76</f>
        <v>452.76</v>
      </c>
      <c r="D81" s="24">
        <f t="shared" si="2"/>
        <v>3.0006597356507569E-2</v>
      </c>
      <c r="F81" s="67">
        <f>'Historical Data'!F76</f>
        <v>23813.4</v>
      </c>
      <c r="G81" s="24">
        <f t="shared" si="3"/>
        <v>9.5771065182830295E-3</v>
      </c>
    </row>
    <row r="82" spans="2:7">
      <c r="B82" s="72">
        <f>'Historical Data'!B77</f>
        <v>45655</v>
      </c>
      <c r="C82">
        <f>'Historical Data'!C77</f>
        <v>455.6</v>
      </c>
      <c r="D82" s="24">
        <f t="shared" si="2"/>
        <v>6.2726389257001802E-3</v>
      </c>
      <c r="F82" s="67">
        <f>'Historical Data'!F77</f>
        <v>24004.75</v>
      </c>
      <c r="G82" s="24">
        <f t="shared" si="3"/>
        <v>8.035391838208783E-3</v>
      </c>
    </row>
    <row r="83" spans="2:7">
      <c r="B83" s="72">
        <f>'Historical Data'!B78</f>
        <v>45662</v>
      </c>
      <c r="C83">
        <f>'Historical Data'!C78</f>
        <v>444.9</v>
      </c>
      <c r="D83" s="24">
        <f t="shared" si="2"/>
        <v>-2.3485513608428543E-2</v>
      </c>
      <c r="F83" s="67">
        <f>'Historical Data'!F78</f>
        <v>23431.5</v>
      </c>
      <c r="G83" s="24">
        <f t="shared" si="3"/>
        <v>-2.3880690280048689E-2</v>
      </c>
    </row>
    <row r="84" spans="2:7">
      <c r="B84" s="72">
        <f>'Historical Data'!B79</f>
        <v>45669</v>
      </c>
      <c r="C84">
        <f>'Historical Data'!C79</f>
        <v>440.2</v>
      </c>
      <c r="D84" s="24">
        <f t="shared" si="2"/>
        <v>-1.056417172398294E-2</v>
      </c>
      <c r="F84" s="67">
        <f>'Historical Data'!F79</f>
        <v>23203.200000000001</v>
      </c>
      <c r="G84" s="24">
        <f t="shared" si="3"/>
        <v>-9.7432942833365344E-3</v>
      </c>
    </row>
    <row r="85" spans="2:7">
      <c r="B85" s="72">
        <f>'Historical Data'!B80</f>
        <v>45676</v>
      </c>
      <c r="C85">
        <f>'Historical Data'!C80</f>
        <v>441.6</v>
      </c>
      <c r="D85" s="24">
        <f t="shared" si="2"/>
        <v>3.180372557928246E-3</v>
      </c>
      <c r="F85" s="67">
        <f>'Historical Data'!F80</f>
        <v>23092.2</v>
      </c>
      <c r="G85" s="24">
        <f t="shared" si="3"/>
        <v>-4.7838229209764549E-3</v>
      </c>
    </row>
    <row r="86" spans="2:7">
      <c r="B86" s="72">
        <f>'Historical Data'!B81</f>
        <v>45683</v>
      </c>
      <c r="C86">
        <f>'Historical Data'!C81</f>
        <v>447.5</v>
      </c>
      <c r="D86" s="24">
        <f t="shared" si="2"/>
        <v>1.3360507246376718E-2</v>
      </c>
      <c r="F86" s="67">
        <f>'Historical Data'!F81</f>
        <v>23508.400000000001</v>
      </c>
      <c r="G86" s="24">
        <f t="shared" si="3"/>
        <v>1.8023401841314346E-2</v>
      </c>
    </row>
    <row r="87" spans="2:7">
      <c r="B87" s="72">
        <f>'Historical Data'!B82</f>
        <v>45690</v>
      </c>
      <c r="C87">
        <f>'Historical Data'!C82</f>
        <v>430.85</v>
      </c>
      <c r="D87" s="24">
        <f t="shared" si="2"/>
        <v>-3.7206703910614425E-2</v>
      </c>
      <c r="F87" s="67">
        <f>'Historical Data'!F82</f>
        <v>23559.95</v>
      </c>
      <c r="G87" s="24">
        <f t="shared" si="3"/>
        <v>2.1928332000475947E-3</v>
      </c>
    </row>
    <row r="88" spans="2:7">
      <c r="B88" s="72">
        <f>'Historical Data'!B83</f>
        <v>45697</v>
      </c>
      <c r="C88">
        <f>'Historical Data'!C83</f>
        <v>410.25</v>
      </c>
      <c r="D88" s="24">
        <f t="shared" si="2"/>
        <v>-4.781246373447845E-2</v>
      </c>
      <c r="F88" s="67">
        <f>'Historical Data'!F83</f>
        <v>22929.25</v>
      </c>
      <c r="G88" s="24">
        <f t="shared" si="3"/>
        <v>-2.6770005878620329E-2</v>
      </c>
    </row>
    <row r="89" spans="2:7">
      <c r="B89" s="72">
        <f>'Historical Data'!B84</f>
        <v>45704</v>
      </c>
      <c r="C89">
        <f>'Historical Data'!C84</f>
        <v>400.9</v>
      </c>
      <c r="D89" s="24">
        <f t="shared" si="2"/>
        <v>-2.2790981109079844E-2</v>
      </c>
      <c r="F89" s="67">
        <f>'Historical Data'!F84</f>
        <v>22795.9</v>
      </c>
      <c r="G89" s="24">
        <f t="shared" si="3"/>
        <v>-5.8157157342695331E-3</v>
      </c>
    </row>
    <row r="90" spans="2:7">
      <c r="B90" s="72">
        <f>'Historical Data'!B85</f>
        <v>45711</v>
      </c>
      <c r="C90">
        <f>'Historical Data'!C85</f>
        <v>395</v>
      </c>
      <c r="D90" s="24">
        <f t="shared" si="2"/>
        <v>-1.4716887004240453E-2</v>
      </c>
      <c r="F90" s="67">
        <f>'Historical Data'!F85</f>
        <v>22124.7</v>
      </c>
      <c r="G90" s="24">
        <f t="shared" si="3"/>
        <v>-2.9443891226053842E-2</v>
      </c>
    </row>
    <row r="91" spans="2:7">
      <c r="B91" s="72">
        <f>'Historical Data'!B86</f>
        <v>45718</v>
      </c>
      <c r="C91">
        <f>'Historical Data'!C86</f>
        <v>403.9</v>
      </c>
      <c r="D91" s="24">
        <f t="shared" si="2"/>
        <v>2.2531645569620284E-2</v>
      </c>
      <c r="F91" s="67">
        <f>'Historical Data'!F86</f>
        <v>22552.5</v>
      </c>
      <c r="G91" s="24">
        <f t="shared" si="3"/>
        <v>1.9335855401429125E-2</v>
      </c>
    </row>
    <row r="92" spans="2:7">
      <c r="B92" s="72">
        <f>'Historical Data'!B87</f>
        <v>45725</v>
      </c>
      <c r="C92">
        <f>'Historical Data'!C87</f>
        <v>412.05</v>
      </c>
      <c r="D92" s="24">
        <f t="shared" si="2"/>
        <v>2.0178261946026232E-2</v>
      </c>
      <c r="F92" s="67">
        <f>'Historical Data'!F87</f>
        <v>22397.200000000001</v>
      </c>
      <c r="G92" s="24">
        <f t="shared" si="3"/>
        <v>-6.8861545283227521E-3</v>
      </c>
    </row>
    <row r="93" spans="2:7">
      <c r="B93" s="72">
        <f>'Historical Data'!B88</f>
        <v>45732</v>
      </c>
      <c r="C93">
        <f>'Historical Data'!C88</f>
        <v>405.55</v>
      </c>
      <c r="D93" s="24">
        <f t="shared" si="2"/>
        <v>-1.5774784613517778E-2</v>
      </c>
      <c r="F93" s="67">
        <f>'Historical Data'!F88</f>
        <v>23350.400000000001</v>
      </c>
      <c r="G93" s="24">
        <f t="shared" si="3"/>
        <v>4.2558891289982803E-2</v>
      </c>
    </row>
    <row r="94" spans="2:7">
      <c r="B94" s="72">
        <f>'Historical Data'!B89</f>
        <v>45739</v>
      </c>
      <c r="C94">
        <f>'Historical Data'!C89</f>
        <v>409.75</v>
      </c>
      <c r="D94" s="24">
        <f t="shared" si="2"/>
        <v>1.0356306250770553E-2</v>
      </c>
      <c r="F94" s="67">
        <f>'Historical Data'!F89</f>
        <v>23519.35</v>
      </c>
      <c r="G94" s="24">
        <f t="shared" si="3"/>
        <v>7.2354220912702605E-3</v>
      </c>
    </row>
    <row r="95" spans="2:7">
      <c r="B95" s="72">
        <f>'Historical Data'!B90</f>
        <v>45746</v>
      </c>
      <c r="C95">
        <f>'Historical Data'!C90</f>
        <v>409.7</v>
      </c>
      <c r="D95" s="24">
        <f t="shared" si="2"/>
        <v>-1.2202562538132788E-4</v>
      </c>
      <c r="F95" s="67">
        <f>'Historical Data'!F90</f>
        <v>22904.45</v>
      </c>
      <c r="G95" s="24">
        <f t="shared" si="3"/>
        <v>-2.6144430011883713E-2</v>
      </c>
    </row>
    <row r="96" spans="2:7">
      <c r="B96" s="72">
        <f>'Historical Data'!B91</f>
        <v>45753</v>
      </c>
      <c r="C96">
        <f>'Historical Data'!C91</f>
        <v>421.55</v>
      </c>
      <c r="D96" s="24">
        <f t="shared" si="2"/>
        <v>2.8923602636075296E-2</v>
      </c>
      <c r="F96" s="67">
        <f>'Historical Data'!F91</f>
        <v>22828.55</v>
      </c>
      <c r="G96" s="24">
        <f t="shared" si="3"/>
        <v>-3.3137665388167648E-3</v>
      </c>
    </row>
    <row r="97" spans="2:7">
      <c r="B97" s="72">
        <f>'Historical Data'!B92</f>
        <v>45760</v>
      </c>
      <c r="C97">
        <f>'Historical Data'!C92</f>
        <v>427.25</v>
      </c>
      <c r="D97" s="24">
        <f t="shared" si="2"/>
        <v>1.3521527695409707E-2</v>
      </c>
      <c r="F97" s="67">
        <f>'Historical Data'!F92</f>
        <v>23851.65</v>
      </c>
      <c r="G97" s="24">
        <f t="shared" si="3"/>
        <v>4.4816687875489425E-2</v>
      </c>
    </row>
    <row r="98" spans="2:7">
      <c r="B98" s="72">
        <f>'Historical Data'!B93</f>
        <v>45767</v>
      </c>
      <c r="C98">
        <f>'Historical Data'!C93</f>
        <v>427.8</v>
      </c>
      <c r="D98" s="24">
        <f t="shared" si="2"/>
        <v>1.2873025160913265E-3</v>
      </c>
      <c r="F98" s="67">
        <f>'Historical Data'!F93</f>
        <v>24039.35</v>
      </c>
      <c r="G98" s="24">
        <f t="shared" si="3"/>
        <v>7.86947653516612E-3</v>
      </c>
    </row>
    <row r="99" spans="2:7">
      <c r="B99" s="72">
        <f>'Historical Data'!B94</f>
        <v>45774</v>
      </c>
      <c r="C99">
        <f>'Historical Data'!C94</f>
        <v>430.25</v>
      </c>
      <c r="D99" s="24">
        <f t="shared" si="2"/>
        <v>5.7269752220663328E-3</v>
      </c>
      <c r="F99" s="67">
        <f>'Historical Data'!F94</f>
        <v>24346.7</v>
      </c>
      <c r="G99" s="24">
        <f t="shared" si="3"/>
        <v>1.2785287455775673E-2</v>
      </c>
    </row>
    <row r="100" spans="2:7">
      <c r="B100" s="72">
        <f>'Historical Data'!B95</f>
        <v>45781</v>
      </c>
      <c r="C100">
        <f>'Historical Data'!C95</f>
        <v>423.55</v>
      </c>
      <c r="D100" s="24">
        <f t="shared" si="2"/>
        <v>-1.5572341661824529E-2</v>
      </c>
      <c r="F100" s="67">
        <f>'Historical Data'!F95</f>
        <v>24008</v>
      </c>
      <c r="G100" s="24">
        <f t="shared" si="3"/>
        <v>-1.391153626569519E-2</v>
      </c>
    </row>
    <row r="101" spans="2:7">
      <c r="B101" s="72">
        <f>'Historical Data'!B96</f>
        <v>45788</v>
      </c>
      <c r="C101">
        <f>'Historical Data'!C96</f>
        <v>435.7</v>
      </c>
      <c r="D101" s="24">
        <f t="shared" si="2"/>
        <v>2.8686105536536388E-2</v>
      </c>
      <c r="F101" s="67">
        <f>'Historical Data'!F96</f>
        <v>25019.8</v>
      </c>
      <c r="G101" s="24">
        <f t="shared" si="3"/>
        <v>4.2144285238253865E-2</v>
      </c>
    </row>
    <row r="102" spans="2:7">
      <c r="B102" s="72">
        <f>'Historical Data'!B97</f>
        <v>45795</v>
      </c>
      <c r="C102">
        <f>'Historical Data'!C97</f>
        <v>436.3</v>
      </c>
      <c r="D102" s="24">
        <f t="shared" si="2"/>
        <v>1.3770943309616701E-3</v>
      </c>
      <c r="F102" s="67">
        <f>'Historical Data'!F97</f>
        <v>24853.15</v>
      </c>
      <c r="G102" s="24">
        <f t="shared" si="3"/>
        <v>-6.660724706032739E-3</v>
      </c>
    </row>
    <row r="103" spans="2:7">
      <c r="B103" s="72">
        <f>'Historical Data'!B98</f>
        <v>45802</v>
      </c>
      <c r="C103">
        <f>'Historical Data'!C98</f>
        <v>418.05</v>
      </c>
      <c r="D103" s="24">
        <f t="shared" si="2"/>
        <v>-4.1829016731606661E-2</v>
      </c>
      <c r="F103" s="67">
        <f>'Historical Data'!F98</f>
        <v>24750.7</v>
      </c>
      <c r="G103" s="24">
        <f t="shared" si="3"/>
        <v>-4.1222138843567402E-3</v>
      </c>
    </row>
    <row r="104" spans="2:7">
      <c r="B104" s="72">
        <f>'Historical Data'!B99</f>
        <v>45809</v>
      </c>
      <c r="C104">
        <f>'Historical Data'!C99</f>
        <v>421.05</v>
      </c>
      <c r="D104" s="24">
        <f t="shared" si="2"/>
        <v>7.1761750986722994E-3</v>
      </c>
      <c r="F104" s="67">
        <f>'Historical Data'!F99</f>
        <v>25003.05</v>
      </c>
      <c r="G104" s="24">
        <f t="shared" si="3"/>
        <v>1.0195671233540704E-2</v>
      </c>
    </row>
    <row r="105" spans="2:7">
      <c r="B105" s="72">
        <f>'Historical Data'!B100</f>
        <v>45816</v>
      </c>
      <c r="C105">
        <f>'Historical Data'!C100</f>
        <v>413.9</v>
      </c>
      <c r="D105" s="24">
        <f t="shared" si="2"/>
        <v>-1.6981356133475956E-2</v>
      </c>
      <c r="F105" s="67">
        <f>'Historical Data'!F100</f>
        <v>24718.6</v>
      </c>
      <c r="G105" s="24">
        <f t="shared" si="3"/>
        <v>-1.1376612053329516E-2</v>
      </c>
    </row>
    <row r="106" spans="2:7">
      <c r="B106" s="72">
        <f>'Historical Data'!B101</f>
        <v>45823</v>
      </c>
      <c r="C106">
        <f>'Historical Data'!C101</f>
        <v>418.55</v>
      </c>
      <c r="D106" s="24">
        <f t="shared" si="2"/>
        <v>1.1234597728920104E-2</v>
      </c>
      <c r="F106" s="67">
        <f>'Historical Data'!F101</f>
        <v>25112.400000000001</v>
      </c>
      <c r="G106" s="24">
        <f t="shared" si="3"/>
        <v>1.5931322971365791E-2</v>
      </c>
    </row>
    <row r="107" spans="2:7">
      <c r="B107" s="72">
        <f>'Historical Data'!B102</f>
        <v>45830</v>
      </c>
      <c r="C107">
        <f>'Historical Data'!C102</f>
        <v>418.65</v>
      </c>
      <c r="D107" s="24">
        <f t="shared" si="2"/>
        <v>2.3892008123271857E-4</v>
      </c>
      <c r="F107" s="67">
        <f>'Historical Data'!F102</f>
        <v>25637.8</v>
      </c>
      <c r="G107" s="24">
        <f t="shared" si="3"/>
        <v>2.092193498032846E-2</v>
      </c>
    </row>
    <row r="108" spans="2:7">
      <c r="B108" s="72">
        <f>'Historical Data'!B103</f>
        <v>45837</v>
      </c>
      <c r="C108">
        <f>'Historical Data'!C103</f>
        <v>412.55</v>
      </c>
      <c r="D108" s="24">
        <f t="shared" si="2"/>
        <v>-1.4570643735817401E-2</v>
      </c>
      <c r="F108" s="67">
        <f>'Historical Data'!F103</f>
        <v>25461</v>
      </c>
      <c r="G108" s="24">
        <f t="shared" si="3"/>
        <v>-6.8960675252947023E-3</v>
      </c>
    </row>
    <row r="109" spans="2:7">
      <c r="B109" s="72">
        <f>'Historical Data'!B104</f>
        <v>45844</v>
      </c>
      <c r="C109">
        <f>'Historical Data'!C104</f>
        <v>416.8</v>
      </c>
      <c r="D109" s="24">
        <f t="shared" si="2"/>
        <v>1.0301781602229942E-2</v>
      </c>
      <c r="F109" s="67">
        <f>'Historical Data'!F104</f>
        <v>25149.85</v>
      </c>
      <c r="G109" s="24">
        <f t="shared" si="3"/>
        <v>-1.2220651192019205E-2</v>
      </c>
    </row>
    <row r="110" spans="2:7">
      <c r="B110" s="72">
        <f>'Historical Data'!B105</f>
        <v>45851</v>
      </c>
      <c r="C110">
        <f>'Historical Data'!C105</f>
        <v>422.75</v>
      </c>
      <c r="D110" s="24">
        <f t="shared" si="2"/>
        <v>1.4275431861804133E-2</v>
      </c>
      <c r="F110" s="67">
        <f>'Historical Data'!F105</f>
        <v>24968.400000000001</v>
      </c>
      <c r="G110" s="24">
        <f t="shared" si="3"/>
        <v>-7.214754759968578E-3</v>
      </c>
    </row>
    <row r="111" spans="2:7">
      <c r="B111" s="72">
        <f>'Historical Data'!B106</f>
        <v>45858</v>
      </c>
      <c r="C111">
        <f>'Historical Data'!C106</f>
        <v>409.4</v>
      </c>
      <c r="D111" s="24">
        <f t="shared" si="2"/>
        <v>-3.1578947368421151E-2</v>
      </c>
      <c r="F111" s="67">
        <f>'Historical Data'!F106</f>
        <v>24837</v>
      </c>
      <c r="G111" s="24">
        <f t="shared" si="3"/>
        <v>-5.2626519921180615E-3</v>
      </c>
    </row>
    <row r="112" spans="2:7">
      <c r="B112" s="72">
        <f>'Historical Data'!B107</f>
        <v>45865</v>
      </c>
      <c r="C112">
        <f>'Historical Data'!C107</f>
        <v>416.45</v>
      </c>
      <c r="D112" s="24">
        <f t="shared" si="2"/>
        <v>1.7220322423058265E-2</v>
      </c>
      <c r="F112" s="67">
        <f>'Historical Data'!F107</f>
        <v>24565.35</v>
      </c>
      <c r="G112" s="24">
        <f t="shared" si="3"/>
        <v>-1.0937311269477057E-2</v>
      </c>
    </row>
  </sheetData>
  <mergeCells count="4">
    <mergeCell ref="B5:D5"/>
    <mergeCell ref="F5:G5"/>
    <mergeCell ref="I5:J5"/>
    <mergeCell ref="L5:M5"/>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H107"/>
  <sheetViews>
    <sheetView showGridLines="0" topLeftCell="A9" workbookViewId="0">
      <selection activeCell="V36" sqref="V36"/>
    </sheetView>
  </sheetViews>
  <sheetFormatPr defaultRowHeight="15"/>
  <cols>
    <col min="1" max="1" width="1.85546875" customWidth="1"/>
    <col min="2" max="2" width="10.42578125" bestFit="1" customWidth="1"/>
    <col min="3" max="6" width="10.7109375" bestFit="1" customWidth="1"/>
    <col min="7" max="7" width="5.7109375" bestFit="1" customWidth="1"/>
    <col min="8" max="8" width="9.5703125" bestFit="1" customWidth="1"/>
  </cols>
  <sheetData>
    <row r="1" spans="2:8">
      <c r="B1" s="329" t="str">
        <f>'Data Sheet'!B1</f>
        <v>ITC LTD</v>
      </c>
      <c r="C1" s="328"/>
      <c r="E1" s="328" t="s">
        <v>277</v>
      </c>
      <c r="F1" s="328"/>
    </row>
    <row r="2" spans="2:8">
      <c r="B2" s="74" t="s">
        <v>170</v>
      </c>
      <c r="C2" s="74" t="s">
        <v>202</v>
      </c>
      <c r="E2" s="74" t="s">
        <v>170</v>
      </c>
      <c r="F2" s="74" t="s">
        <v>202</v>
      </c>
    </row>
    <row r="3" spans="2:8">
      <c r="B3" s="72">
        <v>45137</v>
      </c>
      <c r="C3">
        <v>430.39</v>
      </c>
      <c r="E3" s="72">
        <v>45137</v>
      </c>
      <c r="F3" s="73">
        <v>19517</v>
      </c>
      <c r="H3" s="29"/>
    </row>
    <row r="4" spans="2:8">
      <c r="B4" s="72">
        <v>45144</v>
      </c>
      <c r="C4">
        <v>424.52</v>
      </c>
      <c r="E4" s="72">
        <v>45144</v>
      </c>
      <c r="F4" s="73">
        <v>19428.3</v>
      </c>
      <c r="H4" s="29"/>
    </row>
    <row r="5" spans="2:8">
      <c r="B5" s="72">
        <v>45151</v>
      </c>
      <c r="C5">
        <v>417.81</v>
      </c>
      <c r="E5" s="72">
        <v>45151</v>
      </c>
      <c r="F5" s="73">
        <v>19310.150000000001</v>
      </c>
      <c r="H5" s="29"/>
    </row>
    <row r="6" spans="2:8">
      <c r="B6" s="72">
        <v>45158</v>
      </c>
      <c r="C6">
        <v>419.42</v>
      </c>
      <c r="E6" s="72">
        <v>45158</v>
      </c>
      <c r="F6" s="73">
        <v>19265.8</v>
      </c>
      <c r="H6" s="29"/>
    </row>
    <row r="7" spans="2:8">
      <c r="B7" s="72">
        <v>45165</v>
      </c>
      <c r="C7">
        <v>417.24</v>
      </c>
      <c r="E7" s="72">
        <v>45165</v>
      </c>
      <c r="F7" s="73">
        <v>19435.3</v>
      </c>
      <c r="H7" s="29"/>
    </row>
    <row r="8" spans="2:8">
      <c r="B8" s="72">
        <v>45172</v>
      </c>
      <c r="C8">
        <v>418.75</v>
      </c>
      <c r="E8" s="72">
        <v>45172</v>
      </c>
      <c r="F8" s="73">
        <v>19819.95</v>
      </c>
      <c r="H8" s="29"/>
    </row>
    <row r="9" spans="2:8">
      <c r="B9" s="72">
        <v>45179</v>
      </c>
      <c r="C9">
        <v>424.14</v>
      </c>
      <c r="E9" s="72">
        <v>45179</v>
      </c>
      <c r="F9" s="73">
        <v>20192.349999999999</v>
      </c>
      <c r="H9" s="29"/>
    </row>
    <row r="10" spans="2:8">
      <c r="B10" s="72">
        <v>45186</v>
      </c>
      <c r="C10">
        <v>419.18</v>
      </c>
      <c r="E10" s="72">
        <v>45186</v>
      </c>
      <c r="F10" s="73">
        <v>19674.25</v>
      </c>
      <c r="H10" s="29"/>
    </row>
    <row r="11" spans="2:8">
      <c r="B11" s="72">
        <v>45193</v>
      </c>
      <c r="C11">
        <v>420.41</v>
      </c>
      <c r="E11" s="72">
        <v>45193</v>
      </c>
      <c r="F11" s="73">
        <v>19638.3</v>
      </c>
      <c r="H11" s="29"/>
    </row>
    <row r="12" spans="2:8">
      <c r="B12" s="72">
        <v>45200</v>
      </c>
      <c r="C12">
        <v>418.28</v>
      </c>
      <c r="E12" s="72">
        <v>45200</v>
      </c>
      <c r="F12" s="73">
        <v>19653.5</v>
      </c>
      <c r="H12" s="29"/>
    </row>
    <row r="13" spans="2:8">
      <c r="B13" s="72">
        <v>45207</v>
      </c>
      <c r="C13">
        <v>424.14</v>
      </c>
      <c r="E13" s="72">
        <v>45207</v>
      </c>
      <c r="F13" s="73">
        <v>19751.05</v>
      </c>
      <c r="H13" s="29"/>
    </row>
    <row r="14" spans="2:8">
      <c r="B14" s="72">
        <v>45214</v>
      </c>
      <c r="C14">
        <v>414.64</v>
      </c>
      <c r="E14" s="72">
        <v>45214</v>
      </c>
      <c r="F14" s="73">
        <v>19542.650000000001</v>
      </c>
      <c r="H14" s="29"/>
    </row>
    <row r="15" spans="2:8">
      <c r="B15" s="72">
        <v>45221</v>
      </c>
      <c r="C15">
        <v>410.33</v>
      </c>
      <c r="E15" s="72">
        <v>45221</v>
      </c>
      <c r="F15" s="73">
        <v>19047.25</v>
      </c>
      <c r="H15" s="29"/>
    </row>
    <row r="16" spans="2:8">
      <c r="B16" s="72">
        <v>45228</v>
      </c>
      <c r="C16">
        <v>409.86</v>
      </c>
      <c r="E16" s="72">
        <v>45228</v>
      </c>
      <c r="F16" s="73">
        <v>19230.599999999999</v>
      </c>
      <c r="H16" s="29"/>
    </row>
    <row r="17" spans="2:8">
      <c r="B17" s="72">
        <v>45235</v>
      </c>
      <c r="C17">
        <v>412.98</v>
      </c>
      <c r="E17" s="72">
        <v>45235</v>
      </c>
      <c r="F17" s="73">
        <v>19425.349999999999</v>
      </c>
      <c r="H17" s="29"/>
    </row>
    <row r="18" spans="2:8">
      <c r="B18" s="72">
        <v>45242</v>
      </c>
      <c r="C18">
        <v>415.54</v>
      </c>
      <c r="E18" s="72">
        <v>45242</v>
      </c>
      <c r="F18" s="73">
        <v>19731.8</v>
      </c>
      <c r="H18" s="29"/>
    </row>
    <row r="19" spans="2:8">
      <c r="B19" s="72">
        <v>45249</v>
      </c>
      <c r="C19">
        <v>414.16</v>
      </c>
      <c r="E19" s="72">
        <v>45249</v>
      </c>
      <c r="F19" s="73">
        <v>19794.7</v>
      </c>
      <c r="H19" s="29"/>
    </row>
    <row r="20" spans="2:8">
      <c r="B20" s="72">
        <v>45256</v>
      </c>
      <c r="C20">
        <v>425.52</v>
      </c>
      <c r="E20" s="72">
        <v>45256</v>
      </c>
      <c r="F20" s="73">
        <v>20267.900000000001</v>
      </c>
      <c r="H20" s="29"/>
    </row>
    <row r="21" spans="2:8">
      <c r="B21" s="72">
        <v>45263</v>
      </c>
      <c r="C21">
        <v>424.9</v>
      </c>
      <c r="E21" s="72">
        <v>45263</v>
      </c>
      <c r="F21" s="73">
        <v>20969.400000000001</v>
      </c>
      <c r="H21" s="29"/>
    </row>
    <row r="22" spans="2:8">
      <c r="B22" s="72">
        <v>45270</v>
      </c>
      <c r="C22">
        <v>433.46</v>
      </c>
      <c r="E22" s="72">
        <v>45270</v>
      </c>
      <c r="F22" s="73">
        <v>21456.65</v>
      </c>
      <c r="H22" s="29"/>
    </row>
    <row r="23" spans="2:8">
      <c r="B23" s="72">
        <v>45277</v>
      </c>
      <c r="C23">
        <v>430.63</v>
      </c>
      <c r="E23" s="72">
        <v>45277</v>
      </c>
      <c r="F23" s="73">
        <v>21349.4</v>
      </c>
      <c r="H23" s="29"/>
    </row>
    <row r="24" spans="2:8">
      <c r="B24" s="72">
        <v>45284</v>
      </c>
      <c r="C24">
        <v>437.15</v>
      </c>
      <c r="E24" s="72">
        <v>45284</v>
      </c>
      <c r="F24" s="73">
        <v>21731.4</v>
      </c>
      <c r="H24" s="29"/>
    </row>
    <row r="25" spans="2:8">
      <c r="B25" s="72">
        <v>45291</v>
      </c>
      <c r="C25">
        <v>448.36</v>
      </c>
      <c r="E25" s="72">
        <v>45291</v>
      </c>
      <c r="F25" s="73">
        <v>21710.799999999999</v>
      </c>
      <c r="H25" s="29"/>
    </row>
    <row r="26" spans="2:8">
      <c r="B26" s="72">
        <v>45298</v>
      </c>
      <c r="C26">
        <v>441.5</v>
      </c>
      <c r="E26" s="72">
        <v>45298</v>
      </c>
      <c r="F26" s="73">
        <v>21894.55</v>
      </c>
      <c r="H26" s="29"/>
    </row>
    <row r="27" spans="2:8">
      <c r="B27" s="72">
        <v>45305</v>
      </c>
      <c r="C27">
        <v>446.05</v>
      </c>
      <c r="E27" s="72">
        <v>45305</v>
      </c>
      <c r="F27" s="73">
        <v>21622.400000000001</v>
      </c>
      <c r="H27" s="29"/>
    </row>
    <row r="28" spans="2:8">
      <c r="B28" s="72">
        <v>45312</v>
      </c>
      <c r="C28">
        <v>431.05</v>
      </c>
      <c r="E28" s="72">
        <v>45312</v>
      </c>
      <c r="F28" s="73">
        <v>21352.6</v>
      </c>
      <c r="H28" s="29"/>
    </row>
    <row r="29" spans="2:8">
      <c r="B29" s="72">
        <v>45319</v>
      </c>
      <c r="C29">
        <v>416.34</v>
      </c>
      <c r="E29" s="72">
        <v>45319</v>
      </c>
      <c r="F29" s="73">
        <v>21853.8</v>
      </c>
      <c r="H29" s="29"/>
    </row>
    <row r="30" spans="2:8">
      <c r="B30" s="72">
        <v>45326</v>
      </c>
      <c r="C30">
        <v>393.07</v>
      </c>
      <c r="E30" s="72">
        <v>45326</v>
      </c>
      <c r="F30" s="73">
        <v>21782.5</v>
      </c>
      <c r="H30" s="29"/>
    </row>
    <row r="31" spans="2:8">
      <c r="B31" s="72">
        <v>45333</v>
      </c>
      <c r="C31">
        <v>382.76</v>
      </c>
      <c r="E31" s="72">
        <v>45333</v>
      </c>
      <c r="F31" s="73">
        <v>22040.7</v>
      </c>
      <c r="H31" s="29"/>
    </row>
    <row r="32" spans="2:8">
      <c r="B32" s="72">
        <v>45340</v>
      </c>
      <c r="C32">
        <v>389.19</v>
      </c>
      <c r="E32" s="72">
        <v>45340</v>
      </c>
      <c r="F32" s="73">
        <v>22212.7</v>
      </c>
      <c r="H32" s="29"/>
    </row>
    <row r="33" spans="2:8">
      <c r="B33" s="72">
        <v>45347</v>
      </c>
      <c r="C33">
        <v>387.39</v>
      </c>
      <c r="E33" s="72">
        <v>45347</v>
      </c>
      <c r="F33" s="73">
        <v>22338.75</v>
      </c>
      <c r="H33" s="29"/>
    </row>
    <row r="34" spans="2:8">
      <c r="B34" s="72">
        <v>45354</v>
      </c>
      <c r="C34">
        <v>391.22</v>
      </c>
      <c r="E34" s="72">
        <v>45354</v>
      </c>
      <c r="F34" s="73">
        <v>22493.55</v>
      </c>
      <c r="H34" s="29"/>
    </row>
    <row r="35" spans="2:8">
      <c r="B35" s="72">
        <v>45361</v>
      </c>
      <c r="C35">
        <v>396.47</v>
      </c>
      <c r="E35" s="72">
        <v>45361</v>
      </c>
      <c r="F35" s="73">
        <v>22023.35</v>
      </c>
      <c r="H35" s="29"/>
    </row>
    <row r="36" spans="2:8">
      <c r="B36" s="72">
        <v>45368</v>
      </c>
      <c r="C36">
        <v>405.46</v>
      </c>
      <c r="E36" s="72">
        <v>45368</v>
      </c>
      <c r="F36" s="73">
        <v>22096.75</v>
      </c>
      <c r="H36" s="29"/>
    </row>
    <row r="37" spans="2:8">
      <c r="B37" s="72">
        <v>45375</v>
      </c>
      <c r="C37">
        <v>405.23</v>
      </c>
      <c r="E37" s="72">
        <v>45375</v>
      </c>
      <c r="F37" s="73">
        <v>22326.9</v>
      </c>
      <c r="H37" s="29"/>
    </row>
    <row r="38" spans="2:8">
      <c r="B38" s="72">
        <v>45382</v>
      </c>
      <c r="C38">
        <v>404.47</v>
      </c>
      <c r="E38" s="72">
        <v>45382</v>
      </c>
      <c r="F38" s="73">
        <v>22513.7</v>
      </c>
      <c r="H38" s="29"/>
    </row>
    <row r="39" spans="2:8">
      <c r="B39" s="72">
        <v>45389</v>
      </c>
      <c r="C39">
        <v>406.88</v>
      </c>
      <c r="E39" s="72">
        <v>45389</v>
      </c>
      <c r="F39" s="73">
        <v>22519.4</v>
      </c>
      <c r="H39" s="29"/>
    </row>
    <row r="40" spans="2:8">
      <c r="B40" s="72">
        <v>45396</v>
      </c>
      <c r="C40">
        <v>401.82</v>
      </c>
      <c r="E40" s="72">
        <v>45396</v>
      </c>
      <c r="F40" s="73">
        <v>22147</v>
      </c>
      <c r="H40" s="29"/>
    </row>
    <row r="41" spans="2:8">
      <c r="B41" s="72">
        <v>45403</v>
      </c>
      <c r="C41">
        <v>416.25</v>
      </c>
      <c r="E41" s="72">
        <v>45403</v>
      </c>
      <c r="F41" s="73">
        <v>22419.95</v>
      </c>
      <c r="H41" s="29"/>
    </row>
    <row r="42" spans="2:8">
      <c r="B42" s="72">
        <v>45410</v>
      </c>
      <c r="C42">
        <v>412.89</v>
      </c>
      <c r="E42" s="72">
        <v>45410</v>
      </c>
      <c r="F42" s="73">
        <v>22475.85</v>
      </c>
      <c r="H42" s="29"/>
    </row>
    <row r="43" spans="2:8">
      <c r="B43" s="72">
        <v>45417</v>
      </c>
      <c r="C43">
        <v>409.95</v>
      </c>
      <c r="E43" s="72">
        <v>45417</v>
      </c>
      <c r="F43" s="73">
        <v>22055.200000000001</v>
      </c>
      <c r="H43" s="29"/>
    </row>
    <row r="44" spans="2:8">
      <c r="B44" s="72">
        <v>45424</v>
      </c>
      <c r="C44">
        <v>412.74</v>
      </c>
      <c r="E44" s="72">
        <v>45424</v>
      </c>
      <c r="F44" s="73">
        <v>22466.1</v>
      </c>
      <c r="H44" s="29"/>
    </row>
    <row r="45" spans="2:8">
      <c r="B45" s="72">
        <v>45431</v>
      </c>
      <c r="C45">
        <v>412.65</v>
      </c>
      <c r="E45" s="72">
        <v>45431</v>
      </c>
      <c r="F45" s="73">
        <v>22957.1</v>
      </c>
      <c r="H45" s="29"/>
    </row>
    <row r="46" spans="2:8">
      <c r="B46" s="72">
        <v>45438</v>
      </c>
      <c r="C46">
        <v>403.43</v>
      </c>
      <c r="E46" s="72">
        <v>45438</v>
      </c>
      <c r="F46" s="73">
        <v>22530.7</v>
      </c>
      <c r="H46" s="29"/>
    </row>
    <row r="47" spans="2:8">
      <c r="B47" s="72">
        <v>45445</v>
      </c>
      <c r="C47">
        <v>415.44</v>
      </c>
      <c r="E47" s="72">
        <v>45445</v>
      </c>
      <c r="F47" s="73">
        <v>23290.15</v>
      </c>
      <c r="H47" s="29"/>
    </row>
    <row r="48" spans="2:8">
      <c r="B48" s="72">
        <v>45452</v>
      </c>
      <c r="C48">
        <v>407.87</v>
      </c>
      <c r="E48" s="72">
        <v>45452</v>
      </c>
      <c r="F48" s="73">
        <v>23465.599999999999</v>
      </c>
      <c r="H48" s="29"/>
    </row>
    <row r="49" spans="2:8">
      <c r="B49" s="72">
        <v>45459</v>
      </c>
      <c r="C49">
        <v>396.95</v>
      </c>
      <c r="E49" s="72">
        <v>45459</v>
      </c>
      <c r="F49" s="73">
        <v>23501.1</v>
      </c>
      <c r="H49" s="29"/>
    </row>
    <row r="50" spans="2:8">
      <c r="B50" s="72">
        <v>45466</v>
      </c>
      <c r="C50">
        <v>401.96</v>
      </c>
      <c r="E50" s="72">
        <v>45466</v>
      </c>
      <c r="F50" s="73">
        <v>24010.6</v>
      </c>
      <c r="H50" s="29"/>
    </row>
    <row r="51" spans="2:8">
      <c r="B51" s="72">
        <v>45473</v>
      </c>
      <c r="C51">
        <v>410.24</v>
      </c>
      <c r="E51" s="72">
        <v>45473</v>
      </c>
      <c r="F51" s="73">
        <v>24323.85</v>
      </c>
      <c r="H51" s="29"/>
    </row>
    <row r="52" spans="2:8">
      <c r="B52" s="72">
        <v>45480</v>
      </c>
      <c r="C52">
        <v>434.27</v>
      </c>
      <c r="E52" s="72">
        <v>45480</v>
      </c>
      <c r="F52" s="73">
        <v>24502.15</v>
      </c>
      <c r="H52" s="29"/>
    </row>
    <row r="53" spans="2:8">
      <c r="B53" s="72">
        <v>45487</v>
      </c>
      <c r="C53">
        <v>448.93</v>
      </c>
      <c r="E53" s="72">
        <v>45487</v>
      </c>
      <c r="F53" s="73">
        <v>24530.9</v>
      </c>
      <c r="H53" s="29"/>
    </row>
    <row r="54" spans="2:8">
      <c r="B54" s="72">
        <v>45494</v>
      </c>
      <c r="C54">
        <v>475.09</v>
      </c>
      <c r="E54" s="72">
        <v>45494</v>
      </c>
      <c r="F54" s="73">
        <v>24834.85</v>
      </c>
      <c r="H54" s="29"/>
    </row>
    <row r="55" spans="2:8">
      <c r="B55" s="72">
        <v>45501</v>
      </c>
      <c r="C55">
        <v>462.7</v>
      </c>
      <c r="E55" s="72">
        <v>45501</v>
      </c>
      <c r="F55" s="73">
        <v>24717.7</v>
      </c>
      <c r="H55" s="29"/>
    </row>
    <row r="56" spans="2:8">
      <c r="B56" s="72">
        <v>45508</v>
      </c>
      <c r="C56">
        <v>469.13</v>
      </c>
      <c r="E56" s="72">
        <v>45508</v>
      </c>
      <c r="F56" s="73">
        <v>24367.5</v>
      </c>
      <c r="H56" s="29"/>
    </row>
    <row r="57" spans="2:8">
      <c r="B57" s="72">
        <v>45515</v>
      </c>
      <c r="C57">
        <v>475.51</v>
      </c>
      <c r="E57" s="72">
        <v>45515</v>
      </c>
      <c r="F57" s="73">
        <v>24541.15</v>
      </c>
      <c r="H57" s="29"/>
    </row>
    <row r="58" spans="2:8">
      <c r="B58" s="72">
        <v>45522</v>
      </c>
      <c r="C58">
        <v>478.49</v>
      </c>
      <c r="E58" s="72">
        <v>45522</v>
      </c>
      <c r="F58" s="73">
        <v>24823.15</v>
      </c>
      <c r="H58" s="29"/>
    </row>
    <row r="59" spans="2:8">
      <c r="B59" s="72">
        <v>45529</v>
      </c>
      <c r="C59">
        <v>474.8</v>
      </c>
      <c r="E59" s="72">
        <v>45529</v>
      </c>
      <c r="F59" s="73">
        <v>25235.9</v>
      </c>
      <c r="H59" s="29"/>
    </row>
    <row r="60" spans="2:8">
      <c r="B60" s="72">
        <v>45536</v>
      </c>
      <c r="C60">
        <v>474.61</v>
      </c>
      <c r="E60" s="72">
        <v>45536</v>
      </c>
      <c r="F60" s="73">
        <v>24852.15</v>
      </c>
      <c r="H60" s="29"/>
    </row>
    <row r="61" spans="2:8">
      <c r="B61" s="72">
        <v>45543</v>
      </c>
      <c r="C61">
        <v>486.11</v>
      </c>
      <c r="E61" s="72">
        <v>45543</v>
      </c>
      <c r="F61" s="73">
        <v>25356.5</v>
      </c>
      <c r="H61" s="29"/>
    </row>
    <row r="62" spans="2:8">
      <c r="B62" s="72">
        <v>45550</v>
      </c>
      <c r="C62">
        <v>486.63</v>
      </c>
      <c r="E62" s="72">
        <v>45550</v>
      </c>
      <c r="F62" s="73">
        <v>25790.95</v>
      </c>
      <c r="H62" s="29"/>
    </row>
    <row r="63" spans="2:8">
      <c r="B63" s="72">
        <v>45557</v>
      </c>
      <c r="C63">
        <v>494.48</v>
      </c>
      <c r="E63" s="72">
        <v>45557</v>
      </c>
      <c r="F63" s="73">
        <v>26178.95</v>
      </c>
      <c r="H63" s="29"/>
    </row>
    <row r="64" spans="2:8">
      <c r="B64" s="72">
        <v>45564</v>
      </c>
      <c r="C64">
        <v>476.36</v>
      </c>
      <c r="E64" s="72">
        <v>45564</v>
      </c>
      <c r="F64" s="73">
        <v>25014.6</v>
      </c>
      <c r="H64" s="29"/>
    </row>
    <row r="65" spans="2:8">
      <c r="B65" s="72">
        <v>45571</v>
      </c>
      <c r="C65">
        <v>461.84</v>
      </c>
      <c r="E65" s="72">
        <v>45571</v>
      </c>
      <c r="F65" s="73">
        <v>24964.25</v>
      </c>
      <c r="H65" s="29"/>
    </row>
    <row r="66" spans="2:8">
      <c r="B66" s="72">
        <v>45578</v>
      </c>
      <c r="C66">
        <v>460.42</v>
      </c>
      <c r="E66" s="72">
        <v>45578</v>
      </c>
      <c r="F66" s="73">
        <v>24854.05</v>
      </c>
      <c r="H66" s="29"/>
    </row>
    <row r="67" spans="2:8">
      <c r="B67" s="72">
        <v>45585</v>
      </c>
      <c r="C67">
        <v>456.26</v>
      </c>
      <c r="E67" s="72">
        <v>45585</v>
      </c>
      <c r="F67" s="73">
        <v>24180.799999999999</v>
      </c>
      <c r="H67" s="29"/>
    </row>
    <row r="68" spans="2:8">
      <c r="B68" s="72">
        <v>45592</v>
      </c>
      <c r="C68">
        <v>463.83</v>
      </c>
      <c r="E68" s="72">
        <v>45592</v>
      </c>
      <c r="F68" s="73">
        <v>24304.35</v>
      </c>
      <c r="H68" s="29"/>
    </row>
    <row r="69" spans="2:8">
      <c r="B69" s="72">
        <v>45599</v>
      </c>
      <c r="C69">
        <v>452.24</v>
      </c>
      <c r="E69" s="72">
        <v>45599</v>
      </c>
      <c r="F69" s="73">
        <v>24148.2</v>
      </c>
      <c r="H69" s="29"/>
    </row>
    <row r="70" spans="2:8">
      <c r="B70" s="72">
        <v>45606</v>
      </c>
      <c r="C70">
        <v>440.8</v>
      </c>
      <c r="E70" s="72">
        <v>45606</v>
      </c>
      <c r="F70" s="73">
        <v>23532.7</v>
      </c>
      <c r="H70" s="29"/>
    </row>
    <row r="71" spans="2:8">
      <c r="B71" s="72">
        <v>45613</v>
      </c>
      <c r="C71">
        <v>449.02</v>
      </c>
      <c r="E71" s="72">
        <v>45613</v>
      </c>
      <c r="F71" s="73">
        <v>23907.25</v>
      </c>
      <c r="H71" s="29"/>
    </row>
    <row r="72" spans="2:8">
      <c r="B72" s="72">
        <v>45620</v>
      </c>
      <c r="C72">
        <v>451.01</v>
      </c>
      <c r="E72" s="72">
        <v>45620</v>
      </c>
      <c r="F72" s="73">
        <v>24131.1</v>
      </c>
      <c r="H72" s="29"/>
    </row>
    <row r="73" spans="2:8">
      <c r="B73" s="72">
        <v>45627</v>
      </c>
      <c r="C73">
        <v>445.71</v>
      </c>
      <c r="E73" s="72">
        <v>45627</v>
      </c>
      <c r="F73" s="73">
        <v>24677.8</v>
      </c>
      <c r="H73" s="29"/>
    </row>
    <row r="74" spans="2:8">
      <c r="B74" s="72">
        <v>45634</v>
      </c>
      <c r="C74">
        <v>444.63</v>
      </c>
      <c r="E74" s="72">
        <v>45634</v>
      </c>
      <c r="F74" s="73">
        <v>24768.3</v>
      </c>
      <c r="H74" s="29"/>
    </row>
    <row r="75" spans="2:8">
      <c r="B75" s="72">
        <v>45641</v>
      </c>
      <c r="C75">
        <v>439.57</v>
      </c>
      <c r="E75" s="72">
        <v>45641</v>
      </c>
      <c r="F75" s="73">
        <v>23587.5</v>
      </c>
      <c r="H75" s="29"/>
    </row>
    <row r="76" spans="2:8">
      <c r="B76" s="72">
        <v>45648</v>
      </c>
      <c r="C76">
        <v>452.76</v>
      </c>
      <c r="E76" s="72">
        <v>45648</v>
      </c>
      <c r="F76" s="73">
        <v>23813.4</v>
      </c>
      <c r="H76" s="29"/>
    </row>
    <row r="77" spans="2:8">
      <c r="B77" s="72">
        <v>45655</v>
      </c>
      <c r="C77">
        <v>455.6</v>
      </c>
      <c r="E77" s="72">
        <v>45655</v>
      </c>
      <c r="F77" s="73">
        <v>24004.75</v>
      </c>
      <c r="H77" s="29"/>
    </row>
    <row r="78" spans="2:8">
      <c r="B78" s="72">
        <v>45662</v>
      </c>
      <c r="C78">
        <v>444.9</v>
      </c>
      <c r="E78" s="72">
        <v>45662</v>
      </c>
      <c r="F78" s="73">
        <v>23431.5</v>
      </c>
      <c r="H78" s="29"/>
    </row>
    <row r="79" spans="2:8">
      <c r="B79" s="72">
        <v>45669</v>
      </c>
      <c r="C79">
        <v>440.2</v>
      </c>
      <c r="E79" s="72">
        <v>45669</v>
      </c>
      <c r="F79" s="73">
        <v>23203.200000000001</v>
      </c>
      <c r="H79" s="29"/>
    </row>
    <row r="80" spans="2:8">
      <c r="B80" s="72">
        <v>45676</v>
      </c>
      <c r="C80">
        <v>441.6</v>
      </c>
      <c r="E80" s="72">
        <v>45676</v>
      </c>
      <c r="F80" s="73">
        <v>23092.2</v>
      </c>
      <c r="H80" s="29"/>
    </row>
    <row r="81" spans="2:8">
      <c r="B81" s="72">
        <v>45683</v>
      </c>
      <c r="C81">
        <v>447.5</v>
      </c>
      <c r="E81" s="72">
        <v>45683</v>
      </c>
      <c r="F81" s="73">
        <v>23508.400000000001</v>
      </c>
      <c r="H81" s="29"/>
    </row>
    <row r="82" spans="2:8">
      <c r="B82" s="72">
        <v>45690</v>
      </c>
      <c r="C82">
        <v>430.85</v>
      </c>
      <c r="E82" s="72">
        <v>45690</v>
      </c>
      <c r="F82" s="73">
        <v>23559.95</v>
      </c>
      <c r="H82" s="29"/>
    </row>
    <row r="83" spans="2:8">
      <c r="B83" s="72">
        <v>45697</v>
      </c>
      <c r="C83">
        <v>410.25</v>
      </c>
      <c r="E83" s="72">
        <v>45697</v>
      </c>
      <c r="F83" s="73">
        <v>22929.25</v>
      </c>
      <c r="H83" s="29"/>
    </row>
    <row r="84" spans="2:8">
      <c r="B84" s="72">
        <v>45704</v>
      </c>
      <c r="C84">
        <v>400.9</v>
      </c>
      <c r="E84" s="72">
        <v>45704</v>
      </c>
      <c r="F84" s="73">
        <v>22795.9</v>
      </c>
      <c r="H84" s="29"/>
    </row>
    <row r="85" spans="2:8">
      <c r="B85" s="72">
        <v>45711</v>
      </c>
      <c r="C85">
        <v>395</v>
      </c>
      <c r="E85" s="72">
        <v>45711</v>
      </c>
      <c r="F85" s="73">
        <v>22124.7</v>
      </c>
      <c r="H85" s="29"/>
    </row>
    <row r="86" spans="2:8">
      <c r="B86" s="72">
        <v>45718</v>
      </c>
      <c r="C86">
        <v>403.9</v>
      </c>
      <c r="E86" s="72">
        <v>45718</v>
      </c>
      <c r="F86" s="73">
        <v>22552.5</v>
      </c>
      <c r="H86" s="29"/>
    </row>
    <row r="87" spans="2:8">
      <c r="B87" s="72">
        <v>45725</v>
      </c>
      <c r="C87">
        <v>412.05</v>
      </c>
      <c r="E87" s="72">
        <v>45725</v>
      </c>
      <c r="F87" s="73">
        <v>22397.200000000001</v>
      </c>
      <c r="H87" s="29"/>
    </row>
    <row r="88" spans="2:8">
      <c r="B88" s="72">
        <v>45732</v>
      </c>
      <c r="C88">
        <v>405.55</v>
      </c>
      <c r="E88" s="72">
        <v>45732</v>
      </c>
      <c r="F88" s="73">
        <v>23350.400000000001</v>
      </c>
      <c r="H88" s="29"/>
    </row>
    <row r="89" spans="2:8">
      <c r="B89" s="72">
        <v>45739</v>
      </c>
      <c r="C89">
        <v>409.75</v>
      </c>
      <c r="E89" s="72">
        <v>45739</v>
      </c>
      <c r="F89" s="73">
        <v>23519.35</v>
      </c>
      <c r="H89" s="29"/>
    </row>
    <row r="90" spans="2:8">
      <c r="B90" s="72">
        <v>45746</v>
      </c>
      <c r="C90">
        <v>409.7</v>
      </c>
      <c r="E90" s="72">
        <v>45746</v>
      </c>
      <c r="F90" s="73">
        <v>22904.45</v>
      </c>
      <c r="H90" s="29"/>
    </row>
    <row r="91" spans="2:8">
      <c r="B91" s="72">
        <v>45753</v>
      </c>
      <c r="C91">
        <v>421.55</v>
      </c>
      <c r="E91" s="72">
        <v>45753</v>
      </c>
      <c r="F91" s="73">
        <v>22828.55</v>
      </c>
      <c r="H91" s="29"/>
    </row>
    <row r="92" spans="2:8">
      <c r="B92" s="72">
        <v>45760</v>
      </c>
      <c r="C92">
        <v>427.25</v>
      </c>
      <c r="E92" s="72">
        <v>45760</v>
      </c>
      <c r="F92" s="73">
        <v>23851.65</v>
      </c>
      <c r="H92" s="29"/>
    </row>
    <row r="93" spans="2:8">
      <c r="B93" s="72">
        <v>45767</v>
      </c>
      <c r="C93">
        <v>427.8</v>
      </c>
      <c r="E93" s="72">
        <v>45767</v>
      </c>
      <c r="F93" s="73">
        <v>24039.35</v>
      </c>
      <c r="H93" s="29"/>
    </row>
    <row r="94" spans="2:8">
      <c r="B94" s="72">
        <v>45774</v>
      </c>
      <c r="C94">
        <v>430.25</v>
      </c>
      <c r="E94" s="72">
        <v>45774</v>
      </c>
      <c r="F94" s="73">
        <v>24346.7</v>
      </c>
      <c r="H94" s="29"/>
    </row>
    <row r="95" spans="2:8">
      <c r="B95" s="72">
        <v>45781</v>
      </c>
      <c r="C95">
        <v>423.55</v>
      </c>
      <c r="E95" s="72">
        <v>45781</v>
      </c>
      <c r="F95" s="73">
        <v>24008</v>
      </c>
      <c r="H95" s="29"/>
    </row>
    <row r="96" spans="2:8">
      <c r="B96" s="72">
        <v>45788</v>
      </c>
      <c r="C96">
        <v>435.7</v>
      </c>
      <c r="E96" s="72">
        <v>45788</v>
      </c>
      <c r="F96" s="73">
        <v>25019.8</v>
      </c>
      <c r="H96" s="29"/>
    </row>
    <row r="97" spans="2:8">
      <c r="B97" s="72">
        <v>45795</v>
      </c>
      <c r="C97">
        <v>436.3</v>
      </c>
      <c r="E97" s="72">
        <v>45795</v>
      </c>
      <c r="F97" s="73">
        <v>24853.15</v>
      </c>
      <c r="H97" s="29"/>
    </row>
    <row r="98" spans="2:8">
      <c r="B98" s="72">
        <v>45802</v>
      </c>
      <c r="C98">
        <v>418.05</v>
      </c>
      <c r="E98" s="72">
        <v>45802</v>
      </c>
      <c r="F98" s="73">
        <v>24750.7</v>
      </c>
      <c r="H98" s="29"/>
    </row>
    <row r="99" spans="2:8">
      <c r="B99" s="72">
        <v>45809</v>
      </c>
      <c r="C99">
        <v>421.05</v>
      </c>
      <c r="E99" s="72">
        <v>45809</v>
      </c>
      <c r="F99" s="73">
        <v>25003.05</v>
      </c>
      <c r="H99" s="29"/>
    </row>
    <row r="100" spans="2:8">
      <c r="B100" s="72">
        <v>45816</v>
      </c>
      <c r="C100">
        <v>413.9</v>
      </c>
      <c r="E100" s="72">
        <v>45816</v>
      </c>
      <c r="F100" s="73">
        <v>24718.6</v>
      </c>
      <c r="H100" s="29"/>
    </row>
    <row r="101" spans="2:8">
      <c r="B101" s="72">
        <v>45823</v>
      </c>
      <c r="C101">
        <v>418.55</v>
      </c>
      <c r="E101" s="72">
        <v>45823</v>
      </c>
      <c r="F101" s="73">
        <v>25112.400000000001</v>
      </c>
      <c r="H101" s="29"/>
    </row>
    <row r="102" spans="2:8">
      <c r="B102" s="72">
        <v>45830</v>
      </c>
      <c r="C102">
        <v>418.65</v>
      </c>
      <c r="E102" s="72">
        <v>45830</v>
      </c>
      <c r="F102" s="73">
        <v>25637.8</v>
      </c>
      <c r="H102" s="29"/>
    </row>
    <row r="103" spans="2:8">
      <c r="B103" s="72">
        <v>45837</v>
      </c>
      <c r="C103">
        <v>412.55</v>
      </c>
      <c r="E103" s="72">
        <v>45837</v>
      </c>
      <c r="F103" s="73">
        <v>25461</v>
      </c>
      <c r="H103" s="29"/>
    </row>
    <row r="104" spans="2:8">
      <c r="B104" s="72">
        <v>45844</v>
      </c>
      <c r="C104">
        <v>416.8</v>
      </c>
      <c r="E104" s="72">
        <v>45844</v>
      </c>
      <c r="F104" s="73">
        <v>25149.85</v>
      </c>
      <c r="H104" s="29"/>
    </row>
    <row r="105" spans="2:8">
      <c r="B105" s="72">
        <v>45851</v>
      </c>
      <c r="C105">
        <v>422.75</v>
      </c>
      <c r="E105" s="72">
        <v>45851</v>
      </c>
      <c r="F105" s="73">
        <v>24968.400000000001</v>
      </c>
      <c r="H105" s="29"/>
    </row>
    <row r="106" spans="2:8">
      <c r="B106" s="72">
        <v>45858</v>
      </c>
      <c r="C106">
        <v>409.4</v>
      </c>
      <c r="E106" s="72">
        <v>45858</v>
      </c>
      <c r="F106" s="73">
        <v>24837</v>
      </c>
      <c r="H106" s="29"/>
    </row>
    <row r="107" spans="2:8">
      <c r="B107" s="72">
        <v>45865</v>
      </c>
      <c r="C107">
        <v>416.45</v>
      </c>
      <c r="E107" s="72">
        <v>45865</v>
      </c>
      <c r="F107" s="73">
        <v>24565.35</v>
      </c>
      <c r="H107" s="29"/>
    </row>
  </sheetData>
  <mergeCells count="2">
    <mergeCell ref="E1:F1"/>
    <mergeCell ref="B1:C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579FC-8F51-473D-BB2A-3DF922A44231}">
  <sheetPr>
    <tabColor rgb="FFC00000"/>
  </sheetPr>
  <dimension ref="A1"/>
  <sheetViews>
    <sheetView workbookViewId="0">
      <selection activeCell="V36" sqref="V36"/>
    </sheetView>
  </sheetViews>
  <sheetFormatPr defaultRowHeight="1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autoPageBreaks="0"/>
  </sheetPr>
  <dimension ref="B1:I120"/>
  <sheetViews>
    <sheetView showGridLines="0" topLeftCell="A54" zoomScaleNormal="100" zoomScaleSheetLayoutView="100" workbookViewId="0">
      <selection activeCell="V36" sqref="V36"/>
    </sheetView>
  </sheetViews>
  <sheetFormatPr defaultRowHeight="15"/>
  <cols>
    <col min="1" max="1" width="1.85546875" customWidth="1"/>
    <col min="2" max="2" width="35.7109375" customWidth="1"/>
    <col min="3" max="3" width="10" bestFit="1" customWidth="1"/>
  </cols>
  <sheetData>
    <row r="1" spans="2:9" ht="9.75" customHeight="1"/>
    <row r="2" spans="2:9">
      <c r="B2" s="331"/>
      <c r="C2" s="331"/>
      <c r="D2" s="331"/>
      <c r="E2" s="331"/>
      <c r="F2" s="331"/>
      <c r="G2" s="331"/>
      <c r="H2" s="331"/>
      <c r="I2" s="331"/>
    </row>
    <row r="4" spans="2:9" ht="26.25" customHeight="1">
      <c r="B4" s="232" t="s">
        <v>1</v>
      </c>
    </row>
    <row r="5" spans="2:9">
      <c r="B5" s="32" t="str">
        <f>CONCATENATE("  ","(",VLOOKUP(B4,'List of Stocks'!A2:C5442,3,1)," | ","BSE Code: ",VLOOKUP(B4,'List of Stocks'!A2:B5442,2,1),")")</f>
        <v xml:space="preserve">  (ITC | BSE Code: 500875)</v>
      </c>
    </row>
    <row r="6" spans="2:9" ht="21.75" customHeight="1">
      <c r="B6" s="233" t="s">
        <v>8698</v>
      </c>
    </row>
    <row r="7" spans="2:9">
      <c r="B7" s="32" t="s">
        <v>8699</v>
      </c>
    </row>
    <row r="8" spans="2:9" ht="15" customHeight="1" thickBot="1"/>
    <row r="9" spans="2:9" ht="18.75">
      <c r="B9" s="234" t="s">
        <v>8683</v>
      </c>
      <c r="C9" s="231"/>
      <c r="D9" s="231"/>
      <c r="E9" s="231"/>
      <c r="F9" s="231"/>
      <c r="G9" s="231"/>
      <c r="H9" s="231"/>
      <c r="I9" s="231"/>
    </row>
    <row r="10" spans="2:9">
      <c r="B10" s="332"/>
      <c r="C10" s="332"/>
      <c r="D10" s="332"/>
      <c r="E10" s="332"/>
      <c r="F10" s="332"/>
      <c r="G10" s="332"/>
      <c r="H10" s="332"/>
      <c r="I10" s="332"/>
    </row>
    <row r="11" spans="2:9">
      <c r="B11" s="332"/>
      <c r="C11" s="332"/>
      <c r="D11" s="332"/>
      <c r="E11" s="332"/>
      <c r="F11" s="332"/>
      <c r="G11" s="332"/>
      <c r="H11" s="332"/>
      <c r="I11" s="332"/>
    </row>
    <row r="12" spans="2:9">
      <c r="B12" s="332"/>
      <c r="C12" s="332"/>
      <c r="D12" s="332"/>
      <c r="E12" s="332"/>
      <c r="F12" s="332"/>
      <c r="G12" s="332"/>
      <c r="H12" s="332"/>
      <c r="I12" s="332"/>
    </row>
    <row r="13" spans="2:9">
      <c r="B13" s="332"/>
      <c r="C13" s="332"/>
      <c r="D13" s="332"/>
      <c r="E13" s="332"/>
      <c r="F13" s="332"/>
      <c r="G13" s="332"/>
      <c r="H13" s="332"/>
      <c r="I13" s="332"/>
    </row>
    <row r="14" spans="2:9" ht="44.25" customHeight="1">
      <c r="B14" s="332"/>
      <c r="C14" s="332"/>
      <c r="D14" s="332"/>
      <c r="E14" s="332"/>
      <c r="F14" s="332"/>
      <c r="G14" s="332"/>
      <c r="H14" s="332"/>
      <c r="I14" s="332"/>
    </row>
    <row r="15" spans="2:9" ht="4.5" customHeight="1" thickBot="1">
      <c r="B15" s="227"/>
      <c r="C15" s="227"/>
      <c r="D15" s="227"/>
      <c r="E15" s="227"/>
      <c r="F15" s="227"/>
      <c r="G15" s="227"/>
      <c r="H15" s="227"/>
      <c r="I15" s="227"/>
    </row>
    <row r="16" spans="2:9" ht="21.75" customHeight="1">
      <c r="B16" s="234" t="s">
        <v>8684</v>
      </c>
      <c r="C16" s="230"/>
      <c r="D16" s="230"/>
      <c r="E16" s="230"/>
      <c r="F16" s="230"/>
      <c r="G16" s="230"/>
      <c r="H16" s="230"/>
      <c r="I16" s="230"/>
    </row>
    <row r="17" spans="2:9" ht="6" customHeight="1">
      <c r="B17" s="227"/>
      <c r="C17" s="227"/>
      <c r="D17" s="227"/>
      <c r="E17" s="227"/>
      <c r="F17" s="227"/>
      <c r="G17" s="227"/>
      <c r="H17" s="227"/>
      <c r="I17" s="227"/>
    </row>
    <row r="18" spans="2:9">
      <c r="B18" s="227"/>
      <c r="C18" s="227"/>
      <c r="D18" s="227"/>
      <c r="E18" s="227"/>
      <c r="F18" s="227"/>
      <c r="G18" s="227"/>
      <c r="H18" s="227"/>
      <c r="I18" s="227"/>
    </row>
    <row r="40" spans="2:9" ht="15.75">
      <c r="B40" s="330" t="s">
        <v>8701</v>
      </c>
      <c r="C40" s="330"/>
      <c r="D40" s="330"/>
      <c r="E40" s="330"/>
      <c r="F40" s="330"/>
      <c r="G40" s="330"/>
      <c r="H40" s="330"/>
      <c r="I40" s="330"/>
    </row>
    <row r="54" spans="2:9" ht="28.5" customHeight="1"/>
    <row r="55" spans="2:9" ht="11.25" customHeight="1">
      <c r="B55" s="331"/>
      <c r="C55" s="331"/>
      <c r="D55" s="331"/>
      <c r="E55" s="331"/>
      <c r="F55" s="331"/>
      <c r="G55" s="331"/>
      <c r="H55" s="331"/>
      <c r="I55" s="331"/>
    </row>
    <row r="56" spans="2:9" ht="1.5" customHeight="1"/>
    <row r="57" spans="2:9" ht="11.25" customHeight="1">
      <c r="B57" s="331"/>
      <c r="C57" s="331"/>
      <c r="D57" s="331"/>
      <c r="E57" s="331"/>
      <c r="F57" s="331"/>
      <c r="G57" s="331"/>
      <c r="H57" s="331"/>
      <c r="I57" s="331"/>
    </row>
    <row r="61" spans="2:9" ht="15.75">
      <c r="B61" s="330" t="s">
        <v>8685</v>
      </c>
      <c r="C61" s="330"/>
      <c r="D61" s="330"/>
      <c r="E61" s="330"/>
      <c r="F61" s="330"/>
      <c r="G61" s="330"/>
      <c r="H61" s="330"/>
      <c r="I61" s="330"/>
    </row>
    <row r="62" spans="2:9">
      <c r="C62" s="91">
        <f>'Data Sheet'!E16</f>
        <v>43555</v>
      </c>
      <c r="D62" s="91">
        <f>'Data Sheet'!F16</f>
        <v>43921</v>
      </c>
      <c r="E62" s="91">
        <f>'Data Sheet'!G16</f>
        <v>44286</v>
      </c>
      <c r="F62" s="91">
        <f>'Data Sheet'!H16</f>
        <v>44651</v>
      </c>
      <c r="G62" s="91">
        <f>'Data Sheet'!I16</f>
        <v>45016</v>
      </c>
      <c r="H62" s="91">
        <f>'Data Sheet'!J16</f>
        <v>45382</v>
      </c>
      <c r="I62" s="91">
        <f>'Data Sheet'!K16</f>
        <v>45747</v>
      </c>
    </row>
    <row r="63" spans="2:9">
      <c r="B63" t="s">
        <v>70</v>
      </c>
      <c r="C63" s="228">
        <f>'Data Sheet'!E30</f>
        <v>12592.33</v>
      </c>
      <c r="D63" s="228">
        <f>'Data Sheet'!F30</f>
        <v>15306.23</v>
      </c>
      <c r="E63" s="228">
        <f>'Data Sheet'!G30</f>
        <v>13161.19</v>
      </c>
      <c r="F63" s="228">
        <f>'Data Sheet'!H30</f>
        <v>15242.66</v>
      </c>
      <c r="G63" s="228">
        <f>'Data Sheet'!I30</f>
        <v>19191.66</v>
      </c>
      <c r="H63" s="228">
        <f>'Data Sheet'!J30</f>
        <v>20458.78</v>
      </c>
      <c r="I63" s="228">
        <f>'Data Sheet'!K30</f>
        <v>34746.629999999997</v>
      </c>
    </row>
    <row r="64" spans="2:9">
      <c r="B64" t="s">
        <v>8686</v>
      </c>
      <c r="C64" s="228">
        <f>(('Data Sheet'!E57+'Data Sheet'!E58)+('Data Sheet'!D57+'Data Sheet'!D58))/2</f>
        <v>55825.490000000005</v>
      </c>
      <c r="D64" s="228">
        <f>(('Data Sheet'!F57+'Data Sheet'!F58)+('Data Sheet'!E57+'Data Sheet'!E58))/2</f>
        <v>62207.065000000002</v>
      </c>
      <c r="E64" s="228">
        <f>(('Data Sheet'!G57+'Data Sheet'!G58)+('Data Sheet'!F57+'Data Sheet'!F58))/2</f>
        <v>62810.3</v>
      </c>
      <c r="F64" s="228">
        <f>(('Data Sheet'!H57+'Data Sheet'!H58)+('Data Sheet'!G57+'Data Sheet'!G58))/2</f>
        <v>61401.455000000002</v>
      </c>
      <c r="G64" s="228">
        <f>(('Data Sheet'!I57+'Data Sheet'!I58)+('Data Sheet'!H57+'Data Sheet'!H58))/2</f>
        <v>65805.415000000008</v>
      </c>
      <c r="H64" s="228">
        <f>(('Data Sheet'!J57+'Data Sheet'!J58)+('Data Sheet'!I57+'Data Sheet'!I58))/2</f>
        <v>71831.13</v>
      </c>
      <c r="I64" s="228">
        <f>(('Data Sheet'!K57+'Data Sheet'!K58)+('Data Sheet'!J57+'Data Sheet'!J58))/2</f>
        <v>72268.524999999994</v>
      </c>
    </row>
    <row r="65" spans="2:9">
      <c r="B65" s="235" t="s">
        <v>8687</v>
      </c>
      <c r="C65" s="236">
        <f>C63/C64</f>
        <v>0.22556595562349741</v>
      </c>
      <c r="D65" s="236">
        <f t="shared" ref="D65:I65" si="0">D63/D64</f>
        <v>0.24605292019483638</v>
      </c>
      <c r="E65" s="236">
        <f t="shared" si="0"/>
        <v>0.20953872215225847</v>
      </c>
      <c r="F65" s="236">
        <f t="shared" si="0"/>
        <v>0.24824590883066205</v>
      </c>
      <c r="G65" s="236">
        <f t="shared" si="0"/>
        <v>0.29164256467343908</v>
      </c>
      <c r="H65" s="236">
        <f t="shared" si="0"/>
        <v>0.28481773849304609</v>
      </c>
      <c r="I65" s="236">
        <f t="shared" si="0"/>
        <v>0.48079893701995441</v>
      </c>
    </row>
    <row r="67" spans="2:9" ht="15.75">
      <c r="B67" s="330" t="s">
        <v>8688</v>
      </c>
      <c r="C67" s="330"/>
      <c r="D67" s="330"/>
      <c r="E67" s="330"/>
      <c r="F67" s="330"/>
      <c r="G67" s="330"/>
      <c r="H67" s="330"/>
      <c r="I67" s="330"/>
    </row>
    <row r="68" spans="2:9">
      <c r="C68" s="91">
        <f>C62</f>
        <v>43555</v>
      </c>
      <c r="D68" s="91">
        <f t="shared" ref="D68:I68" si="1">D62</f>
        <v>43921</v>
      </c>
      <c r="E68" s="91">
        <f t="shared" si="1"/>
        <v>44286</v>
      </c>
      <c r="F68" s="91">
        <f t="shared" si="1"/>
        <v>44651</v>
      </c>
      <c r="G68" s="91">
        <f t="shared" si="1"/>
        <v>45016</v>
      </c>
      <c r="H68" s="91">
        <f t="shared" si="1"/>
        <v>45382</v>
      </c>
      <c r="I68" s="91">
        <f t="shared" si="1"/>
        <v>45747</v>
      </c>
    </row>
    <row r="69" spans="2:9">
      <c r="B69" t="str">
        <f>B63</f>
        <v>Net Profit</v>
      </c>
      <c r="C69" s="228">
        <f t="shared" ref="C69:I69" si="2">C63</f>
        <v>12592.33</v>
      </c>
      <c r="D69" s="228">
        <f t="shared" si="2"/>
        <v>15306.23</v>
      </c>
      <c r="E69" s="228">
        <f t="shared" si="2"/>
        <v>13161.19</v>
      </c>
      <c r="F69" s="228">
        <f t="shared" si="2"/>
        <v>15242.66</v>
      </c>
      <c r="G69" s="228">
        <f t="shared" si="2"/>
        <v>19191.66</v>
      </c>
      <c r="H69" s="228">
        <f t="shared" si="2"/>
        <v>20458.78</v>
      </c>
      <c r="I69" s="228">
        <f t="shared" si="2"/>
        <v>34746.629999999997</v>
      </c>
    </row>
    <row r="70" spans="2:9">
      <c r="B70" t="s">
        <v>8689</v>
      </c>
      <c r="C70" s="228">
        <f>'Data Sheet'!E17</f>
        <v>48339.58</v>
      </c>
      <c r="D70" s="228">
        <f>'Data Sheet'!F17</f>
        <v>49387.7</v>
      </c>
      <c r="E70" s="228">
        <f>'Data Sheet'!G17</f>
        <v>49257.45</v>
      </c>
      <c r="F70" s="228">
        <f>'Data Sheet'!H17</f>
        <v>60644.54</v>
      </c>
      <c r="G70" s="228">
        <f>'Data Sheet'!I17</f>
        <v>70919.03</v>
      </c>
      <c r="H70" s="228">
        <f>'Data Sheet'!J17</f>
        <v>67931.94</v>
      </c>
      <c r="I70" s="228">
        <f>'Data Sheet'!K17</f>
        <v>75323.34</v>
      </c>
    </row>
    <row r="71" spans="2:9">
      <c r="B71" s="235" t="s">
        <v>8690</v>
      </c>
      <c r="C71" s="236">
        <f t="shared" ref="C71:H71" si="3">C69/C70</f>
        <v>0.26049729848707825</v>
      </c>
      <c r="D71" s="236">
        <f t="shared" si="3"/>
        <v>0.30991987883622846</v>
      </c>
      <c r="E71" s="236">
        <f t="shared" si="3"/>
        <v>0.26719186640802561</v>
      </c>
      <c r="F71" s="236">
        <f t="shared" si="3"/>
        <v>0.25134430898478244</v>
      </c>
      <c r="G71" s="236">
        <f t="shared" si="3"/>
        <v>0.27061368436652333</v>
      </c>
      <c r="H71" s="236">
        <f t="shared" si="3"/>
        <v>0.30116584334261615</v>
      </c>
      <c r="I71" s="236">
        <f>I69/I70</f>
        <v>0.46129964497060272</v>
      </c>
    </row>
    <row r="73" spans="2:9">
      <c r="B73" t="s">
        <v>8689</v>
      </c>
      <c r="C73" s="228">
        <f>C70</f>
        <v>48339.58</v>
      </c>
      <c r="D73" s="228">
        <f t="shared" ref="D73:I73" si="4">D70</f>
        <v>49387.7</v>
      </c>
      <c r="E73" s="228">
        <f t="shared" si="4"/>
        <v>49257.45</v>
      </c>
      <c r="F73" s="228">
        <f t="shared" si="4"/>
        <v>60644.54</v>
      </c>
      <c r="G73" s="228">
        <f t="shared" si="4"/>
        <v>70919.03</v>
      </c>
      <c r="H73" s="228">
        <f t="shared" si="4"/>
        <v>67931.94</v>
      </c>
      <c r="I73" s="228">
        <f t="shared" si="4"/>
        <v>75323.34</v>
      </c>
    </row>
    <row r="74" spans="2:9">
      <c r="B74" t="s">
        <v>8691</v>
      </c>
      <c r="C74" s="228">
        <f>('Data Sheet'!E66+'Data Sheet'!D66)/2</f>
        <v>67989.959999999992</v>
      </c>
      <c r="D74" s="228">
        <f>('Data Sheet'!F66+'Data Sheet'!E66)/2</f>
        <v>74524.89499999999</v>
      </c>
      <c r="E74" s="228">
        <f>('Data Sheet'!G66+'Data Sheet'!F66)/2</f>
        <v>75535.755000000005</v>
      </c>
      <c r="F74" s="228">
        <f>('Data Sheet'!H66+'Data Sheet'!G66)/2</f>
        <v>75478.39</v>
      </c>
      <c r="G74" s="228">
        <f>('Data Sheet'!I66+'Data Sheet'!H66)/2</f>
        <v>81513.490000000005</v>
      </c>
      <c r="H74" s="228">
        <f>('Data Sheet'!J66+'Data Sheet'!I66)/2</f>
        <v>88792.464999999997</v>
      </c>
      <c r="I74" s="228">
        <f>('Data Sheet'!K66+'Data Sheet'!J66)/2</f>
        <v>89878.334999999992</v>
      </c>
    </row>
    <row r="75" spans="2:9">
      <c r="B75" s="235" t="s">
        <v>8692</v>
      </c>
      <c r="C75" s="237">
        <f t="shared" ref="C75:H75" si="5">C73/C74</f>
        <v>0.71098115074637502</v>
      </c>
      <c r="D75" s="237">
        <f t="shared" si="5"/>
        <v>0.66270069887384619</v>
      </c>
      <c r="E75" s="237">
        <f t="shared" si="5"/>
        <v>0.65210773361568963</v>
      </c>
      <c r="F75" s="237">
        <f t="shared" si="5"/>
        <v>0.80346891342011939</v>
      </c>
      <c r="G75" s="237">
        <f t="shared" si="5"/>
        <v>0.87002813890068986</v>
      </c>
      <c r="H75" s="237">
        <f t="shared" si="5"/>
        <v>0.76506424278231278</v>
      </c>
      <c r="I75" s="237">
        <f>I73/I74</f>
        <v>0.83805891597791615</v>
      </c>
    </row>
    <row r="77" spans="2:9">
      <c r="B77" t="str">
        <f>B74</f>
        <v>Average Total Asset</v>
      </c>
      <c r="C77" s="228">
        <f>C74</f>
        <v>67989.959999999992</v>
      </c>
      <c r="D77" s="228">
        <f t="shared" ref="D77:I77" si="6">D74</f>
        <v>74524.89499999999</v>
      </c>
      <c r="E77" s="228">
        <f t="shared" si="6"/>
        <v>75535.755000000005</v>
      </c>
      <c r="F77" s="228">
        <f t="shared" si="6"/>
        <v>75478.39</v>
      </c>
      <c r="G77" s="228">
        <f t="shared" si="6"/>
        <v>81513.490000000005</v>
      </c>
      <c r="H77" s="228">
        <f t="shared" si="6"/>
        <v>88792.464999999997</v>
      </c>
      <c r="I77" s="228">
        <f t="shared" si="6"/>
        <v>89878.334999999992</v>
      </c>
    </row>
    <row r="78" spans="2:9">
      <c r="B78" t="str">
        <f>B64</f>
        <v>Average Shareholder Equity</v>
      </c>
      <c r="C78" s="228">
        <f>C64</f>
        <v>55825.490000000005</v>
      </c>
      <c r="D78" s="228">
        <f t="shared" ref="D78:I78" si="7">D64</f>
        <v>62207.065000000002</v>
      </c>
      <c r="E78" s="228">
        <f t="shared" si="7"/>
        <v>62810.3</v>
      </c>
      <c r="F78" s="228">
        <f t="shared" si="7"/>
        <v>61401.455000000002</v>
      </c>
      <c r="G78" s="228">
        <f t="shared" si="7"/>
        <v>65805.415000000008</v>
      </c>
      <c r="H78" s="228">
        <f t="shared" si="7"/>
        <v>71831.13</v>
      </c>
      <c r="I78" s="228">
        <f t="shared" si="7"/>
        <v>72268.524999999994</v>
      </c>
    </row>
    <row r="79" spans="2:9">
      <c r="B79" s="235" t="s">
        <v>8693</v>
      </c>
      <c r="C79" s="238">
        <f t="shared" ref="C79:H79" si="8">C77/C78</f>
        <v>1.2179017147901432</v>
      </c>
      <c r="D79" s="238">
        <f t="shared" si="8"/>
        <v>1.1980133607010712</v>
      </c>
      <c r="E79" s="238">
        <f t="shared" si="8"/>
        <v>1.2026014045467066</v>
      </c>
      <c r="F79" s="238">
        <f t="shared" si="8"/>
        <v>1.2292606095409302</v>
      </c>
      <c r="G79" s="238">
        <f t="shared" si="8"/>
        <v>1.2387048998931167</v>
      </c>
      <c r="H79" s="238">
        <f t="shared" si="8"/>
        <v>1.2361279155708673</v>
      </c>
      <c r="I79" s="238">
        <f>I77/I78</f>
        <v>1.2436719166469774</v>
      </c>
    </row>
    <row r="81" spans="2:9">
      <c r="B81" s="235" t="s">
        <v>8694</v>
      </c>
      <c r="C81" s="236">
        <f t="shared" ref="C81:H81" si="9">C79*C75*C71</f>
        <v>0.22556595562349741</v>
      </c>
      <c r="D81" s="236">
        <f t="shared" si="9"/>
        <v>0.24605292019483638</v>
      </c>
      <c r="E81" s="236">
        <f t="shared" si="9"/>
        <v>0.20953872215225847</v>
      </c>
      <c r="F81" s="236">
        <f t="shared" si="9"/>
        <v>0.24824590883066205</v>
      </c>
      <c r="G81" s="236">
        <f t="shared" si="9"/>
        <v>0.29164256467343908</v>
      </c>
      <c r="H81" s="236">
        <f t="shared" si="9"/>
        <v>0.28481773849304615</v>
      </c>
      <c r="I81" s="236">
        <f>I79*I75*I71</f>
        <v>0.48079893701995446</v>
      </c>
    </row>
    <row r="83" spans="2:9" ht="15.75">
      <c r="B83" s="330" t="s">
        <v>8695</v>
      </c>
      <c r="C83" s="330"/>
      <c r="D83" s="330"/>
      <c r="E83" s="330"/>
      <c r="F83" s="330"/>
      <c r="G83" s="330"/>
      <c r="H83" s="330"/>
      <c r="I83" s="330"/>
    </row>
    <row r="84" spans="2:9">
      <c r="C84" s="91">
        <f t="shared" ref="C84:H85" si="10">C68</f>
        <v>43555</v>
      </c>
      <c r="D84" s="91">
        <f t="shared" si="10"/>
        <v>43921</v>
      </c>
      <c r="E84" s="91">
        <f t="shared" si="10"/>
        <v>44286</v>
      </c>
      <c r="F84" s="91">
        <f t="shared" si="10"/>
        <v>44651</v>
      </c>
      <c r="G84" s="91">
        <f t="shared" si="10"/>
        <v>45016</v>
      </c>
      <c r="H84" s="91">
        <f t="shared" si="10"/>
        <v>45382</v>
      </c>
      <c r="I84" s="91">
        <f>I68</f>
        <v>45747</v>
      </c>
    </row>
    <row r="85" spans="2:9">
      <c r="B85" t="s">
        <v>70</v>
      </c>
      <c r="C85" s="228">
        <f t="shared" si="10"/>
        <v>12592.33</v>
      </c>
      <c r="D85" s="228">
        <f t="shared" si="10"/>
        <v>15306.23</v>
      </c>
      <c r="E85" s="228">
        <f t="shared" si="10"/>
        <v>13161.19</v>
      </c>
      <c r="F85" s="228">
        <f t="shared" si="10"/>
        <v>15242.66</v>
      </c>
      <c r="G85" s="228">
        <f t="shared" si="10"/>
        <v>19191.66</v>
      </c>
      <c r="H85" s="228">
        <f t="shared" si="10"/>
        <v>20458.78</v>
      </c>
      <c r="I85" s="228">
        <f>I69</f>
        <v>34746.629999999997</v>
      </c>
    </row>
    <row r="86" spans="2:9">
      <c r="B86" t="str">
        <f>B77</f>
        <v>Average Total Asset</v>
      </c>
      <c r="C86" s="228">
        <f t="shared" ref="C86:H86" si="11">C74</f>
        <v>67989.959999999992</v>
      </c>
      <c r="D86" s="228">
        <f t="shared" si="11"/>
        <v>74524.89499999999</v>
      </c>
      <c r="E86" s="228">
        <f t="shared" si="11"/>
        <v>75535.755000000005</v>
      </c>
      <c r="F86" s="228">
        <f t="shared" si="11"/>
        <v>75478.39</v>
      </c>
      <c r="G86" s="228">
        <f t="shared" si="11"/>
        <v>81513.490000000005</v>
      </c>
      <c r="H86" s="228">
        <f t="shared" si="11"/>
        <v>88792.464999999997</v>
      </c>
      <c r="I86" s="228">
        <f>I74</f>
        <v>89878.334999999992</v>
      </c>
    </row>
    <row r="87" spans="2:9">
      <c r="B87" s="235" t="s">
        <v>8695</v>
      </c>
      <c r="C87" s="236">
        <f>C85/C86</f>
        <v>0.18520866904466485</v>
      </c>
      <c r="D87" s="236">
        <f t="shared" ref="D87:I87" si="12">D85/D86</f>
        <v>0.20538412029966632</v>
      </c>
      <c r="E87" s="236">
        <f t="shared" si="12"/>
        <v>0.17423788244388369</v>
      </c>
      <c r="F87" s="236">
        <f t="shared" si="12"/>
        <v>0.20194733883433391</v>
      </c>
      <c r="G87" s="236">
        <f t="shared" si="12"/>
        <v>0.23544152017046502</v>
      </c>
      <c r="H87" s="236">
        <f t="shared" si="12"/>
        <v>0.23041121788881522</v>
      </c>
      <c r="I87" s="236">
        <f t="shared" si="12"/>
        <v>0.38659628040506089</v>
      </c>
    </row>
    <row r="89" spans="2:9" ht="15.75">
      <c r="B89" s="330" t="s">
        <v>8696</v>
      </c>
      <c r="C89" s="330"/>
      <c r="D89" s="330"/>
      <c r="E89" s="330"/>
      <c r="F89" s="330"/>
      <c r="G89" s="330"/>
      <c r="H89" s="330"/>
      <c r="I89" s="330"/>
    </row>
    <row r="90" spans="2:9">
      <c r="C90" s="91">
        <f>C84</f>
        <v>43555</v>
      </c>
      <c r="D90" s="91">
        <f t="shared" ref="D90:I90" si="13">D84</f>
        <v>43921</v>
      </c>
      <c r="E90" s="91">
        <f t="shared" si="13"/>
        <v>44286</v>
      </c>
      <c r="F90" s="91">
        <f t="shared" si="13"/>
        <v>44651</v>
      </c>
      <c r="G90" s="91">
        <f t="shared" si="13"/>
        <v>45016</v>
      </c>
      <c r="H90" s="91">
        <f t="shared" si="13"/>
        <v>45382</v>
      </c>
      <c r="I90" s="91">
        <f t="shared" si="13"/>
        <v>45747</v>
      </c>
    </row>
    <row r="91" spans="2:9">
      <c r="B91" t="str">
        <f>B85</f>
        <v>Net Profit</v>
      </c>
      <c r="C91" s="228">
        <f t="shared" ref="C91:H91" si="14">C85</f>
        <v>12592.33</v>
      </c>
      <c r="D91" s="228">
        <f t="shared" si="14"/>
        <v>15306.23</v>
      </c>
      <c r="E91" s="228">
        <f t="shared" si="14"/>
        <v>13161.19</v>
      </c>
      <c r="F91" s="228">
        <f t="shared" si="14"/>
        <v>15242.66</v>
      </c>
      <c r="G91" s="228">
        <f t="shared" si="14"/>
        <v>19191.66</v>
      </c>
      <c r="H91" s="228">
        <f t="shared" si="14"/>
        <v>20458.78</v>
      </c>
      <c r="I91" s="228">
        <f>I85</f>
        <v>34746.629999999997</v>
      </c>
    </row>
    <row r="92" spans="2:9">
      <c r="B92" t="s">
        <v>8689</v>
      </c>
      <c r="C92" s="228">
        <f t="shared" ref="C92:H92" si="15">C73</f>
        <v>48339.58</v>
      </c>
      <c r="D92" s="228">
        <f t="shared" si="15"/>
        <v>49387.7</v>
      </c>
      <c r="E92" s="228">
        <f t="shared" si="15"/>
        <v>49257.45</v>
      </c>
      <c r="F92" s="228">
        <f t="shared" si="15"/>
        <v>60644.54</v>
      </c>
      <c r="G92" s="228">
        <f t="shared" si="15"/>
        <v>70919.03</v>
      </c>
      <c r="H92" s="228">
        <f t="shared" si="15"/>
        <v>67931.94</v>
      </c>
      <c r="I92" s="228">
        <f>I73</f>
        <v>75323.34</v>
      </c>
    </row>
    <row r="93" spans="2:9">
      <c r="B93" s="235" t="s">
        <v>8690</v>
      </c>
      <c r="C93" s="236">
        <f t="shared" ref="C93:H93" si="16">C91/C92</f>
        <v>0.26049729848707825</v>
      </c>
      <c r="D93" s="236">
        <f t="shared" si="16"/>
        <v>0.30991987883622846</v>
      </c>
      <c r="E93" s="236">
        <f t="shared" si="16"/>
        <v>0.26719186640802561</v>
      </c>
      <c r="F93" s="236">
        <f t="shared" si="16"/>
        <v>0.25134430898478244</v>
      </c>
      <c r="G93" s="236">
        <f t="shared" si="16"/>
        <v>0.27061368436652333</v>
      </c>
      <c r="H93" s="236">
        <f t="shared" si="16"/>
        <v>0.30116584334261615</v>
      </c>
      <c r="I93" s="236">
        <f>I91/I92</f>
        <v>0.46129964497060272</v>
      </c>
    </row>
    <row r="95" spans="2:9">
      <c r="B95" t="s">
        <v>8689</v>
      </c>
      <c r="C95" s="228">
        <f t="shared" ref="C95:H95" si="17">C92</f>
        <v>48339.58</v>
      </c>
      <c r="D95" s="228">
        <f t="shared" si="17"/>
        <v>49387.7</v>
      </c>
      <c r="E95" s="228">
        <f t="shared" si="17"/>
        <v>49257.45</v>
      </c>
      <c r="F95" s="228">
        <f t="shared" si="17"/>
        <v>60644.54</v>
      </c>
      <c r="G95" s="228">
        <f t="shared" si="17"/>
        <v>70919.03</v>
      </c>
      <c r="H95" s="228">
        <f t="shared" si="17"/>
        <v>67931.94</v>
      </c>
      <c r="I95" s="228">
        <f>I92</f>
        <v>75323.34</v>
      </c>
    </row>
    <row r="96" spans="2:9">
      <c r="B96" t="s">
        <v>8691</v>
      </c>
      <c r="C96" s="228">
        <f t="shared" ref="C96:H96" si="18">C86</f>
        <v>67989.959999999992</v>
      </c>
      <c r="D96" s="228">
        <f t="shared" si="18"/>
        <v>74524.89499999999</v>
      </c>
      <c r="E96" s="228">
        <f t="shared" si="18"/>
        <v>75535.755000000005</v>
      </c>
      <c r="F96" s="228">
        <f t="shared" si="18"/>
        <v>75478.39</v>
      </c>
      <c r="G96" s="228">
        <f t="shared" si="18"/>
        <v>81513.490000000005</v>
      </c>
      <c r="H96" s="228">
        <f t="shared" si="18"/>
        <v>88792.464999999997</v>
      </c>
      <c r="I96" s="228">
        <f>I86</f>
        <v>89878.334999999992</v>
      </c>
    </row>
    <row r="97" spans="2:9">
      <c r="B97" s="235" t="s">
        <v>8692</v>
      </c>
      <c r="C97" s="237">
        <f t="shared" ref="C97:H97" si="19">C95/C96</f>
        <v>0.71098115074637502</v>
      </c>
      <c r="D97" s="237">
        <f t="shared" si="19"/>
        <v>0.66270069887384619</v>
      </c>
      <c r="E97" s="237">
        <f t="shared" si="19"/>
        <v>0.65210773361568963</v>
      </c>
      <c r="F97" s="237">
        <f t="shared" si="19"/>
        <v>0.80346891342011939</v>
      </c>
      <c r="G97" s="237">
        <f t="shared" si="19"/>
        <v>0.87002813890068986</v>
      </c>
      <c r="H97" s="237">
        <f t="shared" si="19"/>
        <v>0.76506424278231278</v>
      </c>
      <c r="I97" s="237">
        <f>I95/I96</f>
        <v>0.83805891597791615</v>
      </c>
    </row>
    <row r="99" spans="2:9">
      <c r="B99" s="235" t="s">
        <v>8697</v>
      </c>
      <c r="C99" s="236">
        <f>C97*C93</f>
        <v>0.18520866904466485</v>
      </c>
      <c r="D99" s="236">
        <f t="shared" ref="D99:I99" si="20">D97*D93</f>
        <v>0.20538412029966632</v>
      </c>
      <c r="E99" s="236">
        <f t="shared" si="20"/>
        <v>0.17423788244388369</v>
      </c>
      <c r="F99" s="236">
        <f t="shared" si="20"/>
        <v>0.20194733883433388</v>
      </c>
      <c r="G99" s="236">
        <f t="shared" si="20"/>
        <v>0.23544152017046502</v>
      </c>
      <c r="H99" s="236">
        <f t="shared" si="20"/>
        <v>0.23041121788881525</v>
      </c>
      <c r="I99" s="236">
        <f t="shared" si="20"/>
        <v>0.38659628040506089</v>
      </c>
    </row>
    <row r="101" spans="2:9" ht="15.75">
      <c r="B101" s="330" t="s">
        <v>8700</v>
      </c>
      <c r="C101" s="330"/>
      <c r="D101" s="330"/>
      <c r="E101" s="330"/>
      <c r="F101" s="330"/>
      <c r="G101" s="330"/>
      <c r="H101" s="330"/>
      <c r="I101" s="330"/>
    </row>
    <row r="113" spans="2:9" ht="11.25" customHeight="1"/>
    <row r="120" spans="2:9">
      <c r="B120" s="229"/>
      <c r="C120" s="229"/>
      <c r="D120" s="229"/>
      <c r="E120" s="229"/>
      <c r="F120" s="229"/>
      <c r="G120" s="229"/>
      <c r="H120" s="229"/>
      <c r="I120" s="229"/>
    </row>
  </sheetData>
  <mergeCells count="10">
    <mergeCell ref="B2:I2"/>
    <mergeCell ref="B40:I40"/>
    <mergeCell ref="B57:I57"/>
    <mergeCell ref="B55:I55"/>
    <mergeCell ref="B10:I14"/>
    <mergeCell ref="B61:I61"/>
    <mergeCell ref="B67:I67"/>
    <mergeCell ref="B83:I83"/>
    <mergeCell ref="B89:I89"/>
    <mergeCell ref="B101:I101"/>
  </mergeCells>
  <pageMargins left="0.39370078740157483" right="0.23622047244094491" top="0.35433070866141736" bottom="0.23622047244094491" header="0.15748031496062992" footer="0"/>
  <pageSetup paperSize="9" scale="94" orientation="portrait" r:id="rId1"/>
  <headerFooter>
    <oddFooter>&amp;RPage &amp;P</oddFooter>
  </headerFooter>
  <rowBreaks count="1" manualBreakCount="1">
    <brk id="55"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autoPageBreaks="0"/>
  </sheetPr>
  <dimension ref="B1:I117"/>
  <sheetViews>
    <sheetView showGridLines="0" topLeftCell="A46" zoomScaleNormal="100" zoomScaleSheetLayoutView="100" workbookViewId="0">
      <selection activeCell="V36" sqref="V36"/>
    </sheetView>
  </sheetViews>
  <sheetFormatPr defaultRowHeight="15"/>
  <cols>
    <col min="1" max="1" width="1.85546875" customWidth="1"/>
    <col min="2" max="2" width="35.7109375" customWidth="1"/>
    <col min="3" max="3" width="10" bestFit="1" customWidth="1"/>
  </cols>
  <sheetData>
    <row r="1" spans="2:9" ht="9.75" customHeight="1"/>
    <row r="2" spans="2:9">
      <c r="B2" s="331"/>
      <c r="C2" s="331"/>
      <c r="D2" s="331"/>
      <c r="E2" s="331"/>
      <c r="F2" s="331"/>
      <c r="G2" s="331"/>
      <c r="H2" s="331"/>
      <c r="I2" s="331"/>
    </row>
    <row r="4" spans="2:9" ht="26.25" customHeight="1">
      <c r="B4" s="232" t="s">
        <v>1</v>
      </c>
    </row>
    <row r="5" spans="2:9">
      <c r="B5" s="32" t="str">
        <f>CONCATENATE("  ","(",VLOOKUP(B4,'List of Stocks'!A2:C5442,3,1)," | ","BSE Code: ",VLOOKUP(B4,'List of Stocks'!A2:B5442,2,1),")")</f>
        <v xml:space="preserve">  (ITC | BSE Code: 500875)</v>
      </c>
    </row>
    <row r="6" spans="2:9" ht="21.75" customHeight="1">
      <c r="B6" s="233" t="s">
        <v>8698</v>
      </c>
    </row>
    <row r="7" spans="2:9">
      <c r="B7" s="32" t="s">
        <v>8699</v>
      </c>
    </row>
    <row r="8" spans="2:9" ht="15" customHeight="1" thickBot="1"/>
    <row r="9" spans="2:9" ht="18.75">
      <c r="B9" s="234" t="s">
        <v>8750</v>
      </c>
      <c r="C9" s="234"/>
      <c r="D9" s="234"/>
      <c r="E9" s="234"/>
      <c r="F9" s="234"/>
      <c r="G9" s="234"/>
      <c r="H9" s="234"/>
      <c r="I9" s="234"/>
    </row>
    <row r="10" spans="2:9">
      <c r="B10" s="332"/>
      <c r="C10" s="332"/>
      <c r="D10" s="332"/>
      <c r="E10" s="332"/>
      <c r="F10" s="332"/>
      <c r="G10" s="332"/>
      <c r="H10" s="332"/>
      <c r="I10" s="332"/>
    </row>
    <row r="11" spans="2:9">
      <c r="B11" s="332"/>
      <c r="C11" s="332"/>
      <c r="D11" s="332"/>
      <c r="E11" s="332"/>
      <c r="F11" s="332"/>
      <c r="G11" s="332"/>
      <c r="H11" s="332"/>
      <c r="I11" s="332"/>
    </row>
    <row r="12" spans="2:9">
      <c r="B12" s="332"/>
      <c r="C12" s="332"/>
      <c r="D12" s="332"/>
      <c r="E12" s="332"/>
      <c r="F12" s="332"/>
      <c r="G12" s="332"/>
      <c r="H12" s="332"/>
      <c r="I12" s="332"/>
    </row>
    <row r="13" spans="2:9">
      <c r="B13" s="332"/>
      <c r="C13" s="332"/>
      <c r="D13" s="332"/>
      <c r="E13" s="332"/>
      <c r="F13" s="332"/>
      <c r="G13" s="332"/>
      <c r="H13" s="332"/>
      <c r="I13" s="332"/>
    </row>
    <row r="14" spans="2:9" ht="38.25" customHeight="1">
      <c r="B14" s="332"/>
      <c r="C14" s="332"/>
      <c r="D14" s="332"/>
      <c r="E14" s="332"/>
      <c r="F14" s="332"/>
      <c r="G14" s="332"/>
      <c r="H14" s="332"/>
      <c r="I14" s="332"/>
    </row>
    <row r="15" spans="2:9" ht="4.5" customHeight="1" thickBot="1">
      <c r="B15" s="227"/>
      <c r="C15" s="227"/>
      <c r="D15" s="227"/>
      <c r="E15" s="227"/>
      <c r="F15" s="227"/>
      <c r="G15" s="227"/>
      <c r="H15" s="227"/>
      <c r="I15" s="227"/>
    </row>
    <row r="16" spans="2:9" ht="27" customHeight="1">
      <c r="B16" s="234" t="s">
        <v>8684</v>
      </c>
      <c r="C16" s="230"/>
      <c r="D16" s="230"/>
      <c r="E16" s="230"/>
      <c r="F16" s="230"/>
      <c r="G16" s="230"/>
      <c r="H16" s="230"/>
      <c r="I16" s="230"/>
    </row>
    <row r="17" spans="2:9" ht="4.5" customHeight="1">
      <c r="B17" s="227"/>
      <c r="C17" s="227"/>
      <c r="D17" s="227"/>
      <c r="E17" s="227"/>
      <c r="F17" s="227"/>
      <c r="G17" s="227"/>
      <c r="H17" s="227"/>
      <c r="I17" s="227"/>
    </row>
    <row r="18" spans="2:9">
      <c r="B18" s="227"/>
      <c r="C18" s="227"/>
      <c r="D18" s="227"/>
      <c r="E18" s="227"/>
      <c r="F18" s="227"/>
      <c r="G18" s="227"/>
      <c r="H18" s="227"/>
      <c r="I18" s="227"/>
    </row>
    <row r="40" spans="2:9" ht="15.75">
      <c r="B40" s="330" t="s">
        <v>8701</v>
      </c>
      <c r="C40" s="330"/>
      <c r="D40" s="330"/>
      <c r="E40" s="330"/>
      <c r="F40" s="330"/>
      <c r="G40" s="330"/>
      <c r="H40" s="330"/>
      <c r="I40" s="330"/>
    </row>
    <row r="54" spans="2:9" ht="28.5" customHeight="1"/>
    <row r="55" spans="2:9" ht="11.25" customHeight="1">
      <c r="B55" s="331"/>
      <c r="C55" s="331"/>
      <c r="D55" s="331"/>
      <c r="E55" s="331"/>
      <c r="F55" s="331"/>
      <c r="G55" s="331"/>
      <c r="H55" s="331"/>
      <c r="I55" s="331"/>
    </row>
    <row r="56" spans="2:9" ht="1.5" customHeight="1"/>
    <row r="57" spans="2:9" ht="11.25" customHeight="1">
      <c r="B57" s="331"/>
      <c r="C57" s="331"/>
      <c r="D57" s="331"/>
      <c r="E57" s="331"/>
      <c r="F57" s="331"/>
      <c r="G57" s="331"/>
      <c r="H57" s="331"/>
      <c r="I57" s="331"/>
    </row>
    <row r="61" spans="2:9" ht="15.75">
      <c r="B61" s="330" t="s">
        <v>8738</v>
      </c>
      <c r="C61" s="330"/>
      <c r="D61" s="330"/>
      <c r="E61" s="330"/>
      <c r="F61" s="330"/>
      <c r="G61" s="330"/>
      <c r="H61" s="330"/>
      <c r="I61" s="330"/>
    </row>
    <row r="62" spans="2:9">
      <c r="C62" s="91">
        <f>'Data Sheet'!E16</f>
        <v>43555</v>
      </c>
      <c r="D62" s="91">
        <f>'Data Sheet'!F16</f>
        <v>43921</v>
      </c>
      <c r="E62" s="91">
        <f>'Data Sheet'!G16</f>
        <v>44286</v>
      </c>
      <c r="F62" s="91">
        <f>'Data Sheet'!H16</f>
        <v>44651</v>
      </c>
      <c r="G62" s="91">
        <f>'Data Sheet'!I16</f>
        <v>45016</v>
      </c>
      <c r="H62" s="91">
        <f>'Data Sheet'!J16</f>
        <v>45382</v>
      </c>
      <c r="I62" s="91">
        <f>'Data Sheet'!K16</f>
        <v>45747</v>
      </c>
    </row>
    <row r="63" spans="2:9">
      <c r="B63" t="s">
        <v>8739</v>
      </c>
      <c r="C63" s="228">
        <f>'Data Sheet'!E65-'Data Sheet'!E60</f>
        <v>10600.21</v>
      </c>
      <c r="D63" s="228">
        <f>'Data Sheet'!F65-'Data Sheet'!F60</f>
        <v>11917.559999999998</v>
      </c>
      <c r="E63" s="228">
        <f>'Data Sheet'!G65-'Data Sheet'!G60</f>
        <v>8437.5299999999988</v>
      </c>
      <c r="F63" s="228">
        <f>'Data Sheet'!H65-'Data Sheet'!H60</f>
        <v>10406.870000000001</v>
      </c>
      <c r="G63" s="228">
        <f>'Data Sheet'!I65-'Data Sheet'!I60</f>
        <v>11191.71</v>
      </c>
      <c r="H63" s="228">
        <f>'Data Sheet'!J65-'Data Sheet'!J60</f>
        <v>13015.41</v>
      </c>
      <c r="I63" s="228">
        <f>'Data Sheet'!K65-'Data Sheet'!K60</f>
        <v>12549.009999999998</v>
      </c>
    </row>
    <row r="64" spans="2:9">
      <c r="B64" t="s">
        <v>85</v>
      </c>
      <c r="C64" s="228">
        <f>'Data Sheet'!E61</f>
        <v>71739.039999999994</v>
      </c>
      <c r="D64" s="228">
        <f>'Data Sheet'!F61</f>
        <v>77310.75</v>
      </c>
      <c r="E64" s="228">
        <f>'Data Sheet'!G61</f>
        <v>73760.759999999995</v>
      </c>
      <c r="F64" s="228">
        <f>'Data Sheet'!H61</f>
        <v>77196.02</v>
      </c>
      <c r="G64" s="228">
        <f>'Data Sheet'!I61</f>
        <v>85830.96</v>
      </c>
      <c r="H64" s="228">
        <f>'Data Sheet'!J61</f>
        <v>91753.97</v>
      </c>
      <c r="I64" s="228">
        <f>'Data Sheet'!K61</f>
        <v>88002.7</v>
      </c>
    </row>
    <row r="65" spans="2:9">
      <c r="B65" s="235" t="s">
        <v>8706</v>
      </c>
      <c r="C65" s="236">
        <f>C63/C64</f>
        <v>0.14776068929832348</v>
      </c>
      <c r="D65" s="236">
        <f t="shared" ref="D65:I65" si="0">D63/D64</f>
        <v>0.15415139550450613</v>
      </c>
      <c r="E65" s="236">
        <f t="shared" si="0"/>
        <v>0.11439049706103895</v>
      </c>
      <c r="F65" s="236">
        <f t="shared" si="0"/>
        <v>0.1348109656430474</v>
      </c>
      <c r="G65" s="236">
        <f t="shared" si="0"/>
        <v>0.13039245978374234</v>
      </c>
      <c r="H65" s="236">
        <f t="shared" si="0"/>
        <v>0.14185119183398823</v>
      </c>
      <c r="I65" s="236">
        <f t="shared" si="0"/>
        <v>0.14259801119738369</v>
      </c>
    </row>
    <row r="67" spans="2:9" ht="15.75">
      <c r="B67" s="330" t="s">
        <v>8740</v>
      </c>
      <c r="C67" s="330"/>
      <c r="D67" s="330"/>
      <c r="E67" s="330"/>
      <c r="F67" s="330"/>
      <c r="G67" s="330"/>
      <c r="H67" s="330"/>
      <c r="I67" s="330"/>
    </row>
    <row r="68" spans="2:9">
      <c r="C68" s="91">
        <f>C62</f>
        <v>43555</v>
      </c>
      <c r="D68" s="91">
        <f t="shared" ref="D68:I68" si="1">D62</f>
        <v>43921</v>
      </c>
      <c r="E68" s="91">
        <f t="shared" si="1"/>
        <v>44286</v>
      </c>
      <c r="F68" s="91">
        <f t="shared" si="1"/>
        <v>44651</v>
      </c>
      <c r="G68" s="91">
        <f t="shared" si="1"/>
        <v>45016</v>
      </c>
      <c r="H68" s="91">
        <f t="shared" si="1"/>
        <v>45382</v>
      </c>
      <c r="I68" s="91">
        <f t="shared" si="1"/>
        <v>45747</v>
      </c>
    </row>
    <row r="69" spans="2:9">
      <c r="B69" t="s">
        <v>77</v>
      </c>
      <c r="C69" s="228">
        <f>'Historical FS'!F41*'Historical FS'!E43*'Historical FS'!E49</f>
        <v>5230.6393436739536</v>
      </c>
      <c r="D69" s="228">
        <f>'Historical FS'!G41*'Historical FS'!F43*'Historical FS'!F49</f>
        <v>5803.0623268562485</v>
      </c>
      <c r="E69" s="228">
        <f>'Historical FS'!H41*'Historical FS'!G43*'Historical FS'!G49</f>
        <v>3120.4082719122694</v>
      </c>
      <c r="F69" s="228">
        <f>'Historical FS'!I41*'Historical FS'!H43*'Historical FS'!H49</f>
        <v>151.09778662420231</v>
      </c>
      <c r="G69" s="228">
        <f>'Historical FS'!J41*'Historical FS'!I43*'Historical FS'!I49</f>
        <v>1342.6411139873192</v>
      </c>
      <c r="H69" s="228">
        <f>'Historical FS'!K41*'Historical FS'!J43*'Historical FS'!J49</f>
        <v>214.29322529770656</v>
      </c>
      <c r="I69" s="228">
        <f>'Historical FS'!L41*'Historical FS'!K43*'Historical FS'!K49</f>
        <v>3593.3420178298247</v>
      </c>
    </row>
    <row r="70" spans="2:9">
      <c r="B70" t="s">
        <v>85</v>
      </c>
      <c r="C70" s="228">
        <f>C64</f>
        <v>71739.039999999994</v>
      </c>
      <c r="D70" s="228">
        <f t="shared" ref="D70:I70" si="2">D64</f>
        <v>77310.75</v>
      </c>
      <c r="E70" s="228">
        <f t="shared" si="2"/>
        <v>73760.759999999995</v>
      </c>
      <c r="F70" s="228">
        <f t="shared" si="2"/>
        <v>77196.02</v>
      </c>
      <c r="G70" s="228">
        <f t="shared" si="2"/>
        <v>85830.96</v>
      </c>
      <c r="H70" s="228">
        <f t="shared" si="2"/>
        <v>91753.97</v>
      </c>
      <c r="I70" s="228">
        <f t="shared" si="2"/>
        <v>88002.7</v>
      </c>
    </row>
    <row r="71" spans="2:9">
      <c r="B71" s="235" t="s">
        <v>8707</v>
      </c>
      <c r="C71" s="236">
        <f t="shared" ref="C71:I71" si="3">C69/C70</f>
        <v>7.2912034279716514E-2</v>
      </c>
      <c r="D71" s="236">
        <f t="shared" si="3"/>
        <v>7.5061518958957824E-2</v>
      </c>
      <c r="E71" s="236">
        <f t="shared" si="3"/>
        <v>4.2304448488766515E-2</v>
      </c>
      <c r="F71" s="236">
        <f t="shared" si="3"/>
        <v>1.957326124121455E-3</v>
      </c>
      <c r="G71" s="236">
        <f t="shared" si="3"/>
        <v>1.5642853277970083E-2</v>
      </c>
      <c r="H71" s="236">
        <f t="shared" si="3"/>
        <v>2.3355199267966996E-3</v>
      </c>
      <c r="I71" s="236">
        <f t="shared" si="3"/>
        <v>4.0832179215294813E-2</v>
      </c>
    </row>
    <row r="73" spans="2:9" ht="16.5" thickBot="1">
      <c r="B73" s="330" t="s">
        <v>8708</v>
      </c>
      <c r="C73" s="330"/>
      <c r="D73" s="330"/>
      <c r="E73" s="330"/>
      <c r="F73" s="330"/>
      <c r="G73" s="330"/>
      <c r="H73" s="330"/>
      <c r="I73" s="330"/>
    </row>
    <row r="74" spans="2:9" ht="15.75">
      <c r="B74" s="242"/>
      <c r="C74" s="91">
        <f>C68</f>
        <v>43555</v>
      </c>
      <c r="D74" s="91">
        <f t="shared" ref="D74:I74" si="4">D68</f>
        <v>43921</v>
      </c>
      <c r="E74" s="91">
        <f t="shared" si="4"/>
        <v>44286</v>
      </c>
      <c r="F74" s="91">
        <f t="shared" si="4"/>
        <v>44651</v>
      </c>
      <c r="G74" s="91">
        <f t="shared" si="4"/>
        <v>45016</v>
      </c>
      <c r="H74" s="91">
        <f t="shared" si="4"/>
        <v>45382</v>
      </c>
      <c r="I74" s="91">
        <f t="shared" si="4"/>
        <v>45747</v>
      </c>
    </row>
    <row r="75" spans="2:9">
      <c r="B75" t="s">
        <v>93</v>
      </c>
      <c r="C75" s="228">
        <f>'Historical FS'!F23-'Historical FS'!F29</f>
        <v>19221.219999999998</v>
      </c>
      <c r="D75" s="228">
        <f>'Historical FS'!G23-'Historical FS'!G29</f>
        <v>20115.95</v>
      </c>
      <c r="E75" s="228">
        <f>'Historical FS'!H23-'Historical FS'!H29</f>
        <v>17996.14</v>
      </c>
      <c r="F75" s="228">
        <f>'Historical FS'!I23-'Historical FS'!I29</f>
        <v>20800.459999999995</v>
      </c>
      <c r="G75" s="228">
        <f>'Historical FS'!J23-'Historical FS'!J29</f>
        <v>25992.889999999996</v>
      </c>
      <c r="H75" s="228">
        <f>'Historical FS'!K23-'Historical FS'!K29</f>
        <v>26999.93</v>
      </c>
      <c r="I75" s="228">
        <f>'Historical FS'!L23-'Historical FS'!L29</f>
        <v>41988.01</v>
      </c>
    </row>
    <row r="76" spans="2:9">
      <c r="B76" t="s">
        <v>85</v>
      </c>
      <c r="C76" s="228">
        <f>C70</f>
        <v>71739.039999999994</v>
      </c>
      <c r="D76" s="228">
        <f t="shared" ref="D76:I76" si="5">D70</f>
        <v>77310.75</v>
      </c>
      <c r="E76" s="228">
        <f t="shared" si="5"/>
        <v>73760.759999999995</v>
      </c>
      <c r="F76" s="228">
        <f t="shared" si="5"/>
        <v>77196.02</v>
      </c>
      <c r="G76" s="228">
        <f t="shared" si="5"/>
        <v>85830.96</v>
      </c>
      <c r="H76" s="228">
        <f t="shared" si="5"/>
        <v>91753.97</v>
      </c>
      <c r="I76" s="228">
        <f t="shared" si="5"/>
        <v>88002.7</v>
      </c>
    </row>
    <row r="77" spans="2:9">
      <c r="B77" s="235" t="s">
        <v>8708</v>
      </c>
      <c r="C77" s="236">
        <f t="shared" ref="C77:H77" si="6">C75/C76</f>
        <v>0.267932495333085</v>
      </c>
      <c r="D77" s="236">
        <f t="shared" si="6"/>
        <v>0.26019602707256106</v>
      </c>
      <c r="E77" s="236">
        <f t="shared" si="6"/>
        <v>0.24397986137886868</v>
      </c>
      <c r="F77" s="236">
        <f t="shared" si="6"/>
        <v>0.26944990169182292</v>
      </c>
      <c r="G77" s="236">
        <f t="shared" si="6"/>
        <v>0.30283816002990055</v>
      </c>
      <c r="H77" s="236">
        <f t="shared" si="6"/>
        <v>0.29426443346266107</v>
      </c>
      <c r="I77" s="236">
        <f>I75/I76</f>
        <v>0.47712183830723381</v>
      </c>
    </row>
    <row r="79" spans="2:9" ht="16.5" thickBot="1">
      <c r="B79" s="330" t="s">
        <v>8741</v>
      </c>
      <c r="C79" s="330"/>
      <c r="D79" s="330"/>
      <c r="E79" s="330"/>
      <c r="F79" s="330"/>
      <c r="G79" s="330"/>
      <c r="H79" s="330"/>
      <c r="I79" s="330"/>
    </row>
    <row r="80" spans="2:9" ht="15.75">
      <c r="B80" s="242"/>
      <c r="C80" s="91">
        <f>C74</f>
        <v>43555</v>
      </c>
      <c r="D80" s="91">
        <f t="shared" ref="D80:I80" si="7">D74</f>
        <v>43921</v>
      </c>
      <c r="E80" s="91">
        <f t="shared" si="7"/>
        <v>44286</v>
      </c>
      <c r="F80" s="91">
        <f t="shared" si="7"/>
        <v>44651</v>
      </c>
      <c r="G80" s="91">
        <f t="shared" si="7"/>
        <v>45016</v>
      </c>
      <c r="H80" s="91">
        <f t="shared" si="7"/>
        <v>45382</v>
      </c>
      <c r="I80" s="91">
        <f t="shared" si="7"/>
        <v>45747</v>
      </c>
    </row>
    <row r="81" spans="2:9">
      <c r="B81" t="s">
        <v>8742</v>
      </c>
      <c r="C81" s="228">
        <f>('Data Sheet'!E70*'Data Sheet'!E90)/100000000</f>
        <v>34157.451093026393</v>
      </c>
      <c r="D81" s="228">
        <f>('Data Sheet'!F70*'Data Sheet'!F90)/100000000</f>
        <v>19784.346182389498</v>
      </c>
      <c r="E81" s="228">
        <f>('Data Sheet'!G70*'Data Sheet'!G90)/100000000</f>
        <v>25210.974753934199</v>
      </c>
      <c r="F81" s="228">
        <f>('Data Sheet'!H70*'Data Sheet'!H90)/100000000</f>
        <v>28954.722135477601</v>
      </c>
      <c r="G81" s="228">
        <f>('Data Sheet'!I70*'Data Sheet'!I90)/100000000</f>
        <v>44677.480977120897</v>
      </c>
      <c r="H81" s="228">
        <f>('Data Sheet'!J70*'Data Sheet'!J90)/100000000</f>
        <v>50129.815909999998</v>
      </c>
      <c r="I81" s="228">
        <f>('Data Sheet'!K70*'Data Sheet'!K90)/100000000</f>
        <v>51276.6058026475</v>
      </c>
    </row>
    <row r="82" spans="2:9">
      <c r="B82" t="s">
        <v>8743</v>
      </c>
      <c r="C82" s="228">
        <f>'Data Sheet'!E59</f>
        <v>13.44</v>
      </c>
      <c r="D82" s="228">
        <f>'Data Sheet'!F59</f>
        <v>277.45</v>
      </c>
      <c r="E82" s="228">
        <f>'Data Sheet'!G59</f>
        <v>270.83</v>
      </c>
      <c r="F82" s="228">
        <f>'Data Sheet'!H59</f>
        <v>249.44</v>
      </c>
      <c r="G82" s="228">
        <f>'Data Sheet'!I59</f>
        <v>306.04000000000002</v>
      </c>
      <c r="H82" s="228">
        <f>'Data Sheet'!J59</f>
        <v>303.43</v>
      </c>
      <c r="I82" s="228">
        <f>'Data Sheet'!K59</f>
        <v>284.54000000000002</v>
      </c>
    </row>
    <row r="83" spans="2:9">
      <c r="B83" s="235" t="s">
        <v>8744</v>
      </c>
      <c r="C83" s="241">
        <f t="shared" ref="C83:H83" si="8">C81/C82</f>
        <v>2541.4770158501783</v>
      </c>
      <c r="D83" s="241">
        <f t="shared" si="8"/>
        <v>71.307789448151013</v>
      </c>
      <c r="E83" s="241">
        <f t="shared" si="8"/>
        <v>93.087821710793492</v>
      </c>
      <c r="F83" s="241">
        <f t="shared" si="8"/>
        <v>116.07890528975946</v>
      </c>
      <c r="G83" s="241">
        <f t="shared" si="8"/>
        <v>145.98575668906318</v>
      </c>
      <c r="H83" s="241">
        <f t="shared" si="8"/>
        <v>165.21047988003821</v>
      </c>
      <c r="I83" s="241">
        <f>I81/I82</f>
        <v>180.20877838844274</v>
      </c>
    </row>
    <row r="85" spans="2:9" ht="15.75">
      <c r="B85" s="330" t="s">
        <v>8745</v>
      </c>
      <c r="C85" s="330"/>
      <c r="D85" s="330"/>
      <c r="E85" s="330"/>
      <c r="F85" s="330"/>
      <c r="G85" s="330"/>
      <c r="H85" s="330"/>
      <c r="I85" s="330"/>
    </row>
    <row r="86" spans="2:9">
      <c r="C86" s="91">
        <f t="shared" ref="C86:I86" si="9">C68</f>
        <v>43555</v>
      </c>
      <c r="D86" s="91">
        <f t="shared" si="9"/>
        <v>43921</v>
      </c>
      <c r="E86" s="91">
        <f t="shared" si="9"/>
        <v>44286</v>
      </c>
      <c r="F86" s="91">
        <f t="shared" si="9"/>
        <v>44651</v>
      </c>
      <c r="G86" s="91">
        <f t="shared" si="9"/>
        <v>45016</v>
      </c>
      <c r="H86" s="91">
        <f t="shared" si="9"/>
        <v>45382</v>
      </c>
      <c r="I86" s="91">
        <f t="shared" si="9"/>
        <v>45747</v>
      </c>
    </row>
    <row r="87" spans="2:9">
      <c r="B87" t="s">
        <v>8689</v>
      </c>
      <c r="C87" s="228">
        <f>'Data Sheet'!E17</f>
        <v>48339.58</v>
      </c>
      <c r="D87" s="228">
        <f>'Data Sheet'!F17</f>
        <v>49387.7</v>
      </c>
      <c r="E87" s="228">
        <f>'Data Sheet'!G17</f>
        <v>49257.45</v>
      </c>
      <c r="F87" s="228">
        <f>'Data Sheet'!H17</f>
        <v>60644.54</v>
      </c>
      <c r="G87" s="228">
        <f>'Data Sheet'!I17</f>
        <v>70919.03</v>
      </c>
      <c r="H87" s="228">
        <f>'Data Sheet'!J17</f>
        <v>67931.94</v>
      </c>
      <c r="I87" s="228">
        <f>'Data Sheet'!K17</f>
        <v>75323.34</v>
      </c>
    </row>
    <row r="88" spans="2:9">
      <c r="B88" t="s">
        <v>85</v>
      </c>
      <c r="C88" s="228">
        <f>C76</f>
        <v>71739.039999999994</v>
      </c>
      <c r="D88" s="228">
        <f t="shared" ref="D88:I88" si="10">D76</f>
        <v>77310.75</v>
      </c>
      <c r="E88" s="228">
        <f t="shared" si="10"/>
        <v>73760.759999999995</v>
      </c>
      <c r="F88" s="228">
        <f t="shared" si="10"/>
        <v>77196.02</v>
      </c>
      <c r="G88" s="228">
        <f t="shared" si="10"/>
        <v>85830.96</v>
      </c>
      <c r="H88" s="228">
        <f t="shared" si="10"/>
        <v>91753.97</v>
      </c>
      <c r="I88" s="228">
        <f t="shared" si="10"/>
        <v>88002.7</v>
      </c>
    </row>
    <row r="89" spans="2:9">
      <c r="B89" s="235" t="s">
        <v>8746</v>
      </c>
      <c r="C89" s="236">
        <f>C87/C88</f>
        <v>0.67382529791310286</v>
      </c>
      <c r="D89" s="236">
        <f t="shared" ref="D89:I89" si="11">D87/D88</f>
        <v>0.63882060386168804</v>
      </c>
      <c r="E89" s="236">
        <f t="shared" si="11"/>
        <v>0.66780019620188291</v>
      </c>
      <c r="F89" s="236">
        <f t="shared" si="11"/>
        <v>0.78559153697302009</v>
      </c>
      <c r="G89" s="236">
        <f t="shared" si="11"/>
        <v>0.82626397281353947</v>
      </c>
      <c r="H89" s="236">
        <f t="shared" si="11"/>
        <v>0.74037058015037394</v>
      </c>
      <c r="I89" s="236">
        <f t="shared" si="11"/>
        <v>0.85592078424866513</v>
      </c>
    </row>
    <row r="91" spans="2:9" ht="15.75">
      <c r="B91" s="330" t="s">
        <v>8747</v>
      </c>
      <c r="C91" s="330"/>
      <c r="D91" s="330"/>
      <c r="E91" s="330"/>
      <c r="F91" s="330"/>
      <c r="G91" s="330"/>
      <c r="H91" s="330"/>
      <c r="I91" s="330"/>
    </row>
    <row r="92" spans="2:9">
      <c r="C92" s="91">
        <f>C86</f>
        <v>43555</v>
      </c>
      <c r="D92" s="91">
        <f t="shared" ref="D92:I92" si="12">D86</f>
        <v>43921</v>
      </c>
      <c r="E92" s="91">
        <f t="shared" si="12"/>
        <v>44286</v>
      </c>
      <c r="F92" s="91">
        <f t="shared" si="12"/>
        <v>44651</v>
      </c>
      <c r="G92" s="91">
        <f t="shared" si="12"/>
        <v>45016</v>
      </c>
      <c r="H92" s="91">
        <f t="shared" si="12"/>
        <v>45382</v>
      </c>
      <c r="I92" s="91">
        <f t="shared" si="12"/>
        <v>45747</v>
      </c>
    </row>
    <row r="93" spans="2:9">
      <c r="B93" s="235" t="s">
        <v>8748</v>
      </c>
      <c r="C93" s="243">
        <f>(C65*1.2)+(C71*1.4)+(C77*3.3)+(C83*0.6)+(C89*1)</f>
        <v>1526.7236017177688</v>
      </c>
      <c r="D93" s="243">
        <f t="shared" ref="D93:H93" si="13">(D65*1.2)+(D71*1.4)+(D77*3.3)+(D83*0.6)+(D89*1)</f>
        <v>44.572208963239696</v>
      </c>
      <c r="E93" s="243">
        <f t="shared" si="13"/>
        <v>57.522121589585765</v>
      </c>
      <c r="F93" s="243">
        <f t="shared" si="13"/>
        <v>71.486632801757139</v>
      </c>
      <c r="G93" s="243">
        <f t="shared" si="13"/>
        <v>89.595454860679766</v>
      </c>
      <c r="H93" s="243">
        <f t="shared" si="13"/>
        <v>101.01122229669836</v>
      </c>
      <c r="I93" s="243">
        <f>(I65*1.2)+(I71*1.4)+(I77*3.3)+(I83*0.6)+(I89*1)</f>
        <v>110.78397254806646</v>
      </c>
    </row>
    <row r="94" spans="2:9">
      <c r="B94" s="89" t="s">
        <v>8749</v>
      </c>
      <c r="C94" s="244" t="str">
        <f>IF(C93&lt;1.81," Distressed",IF(C93&gt;3,"Strong","Grey Zone"))</f>
        <v>Strong</v>
      </c>
      <c r="D94" s="244" t="str">
        <f t="shared" ref="D94:I94" si="14">IF(D93&lt;1.81," Distressed",IF(D93&gt;3,"Strong","Grey Zone"))</f>
        <v>Strong</v>
      </c>
      <c r="E94" s="244" t="str">
        <f t="shared" si="14"/>
        <v>Strong</v>
      </c>
      <c r="F94" s="244" t="str">
        <f t="shared" si="14"/>
        <v>Strong</v>
      </c>
      <c r="G94" s="244" t="str">
        <f t="shared" si="14"/>
        <v>Strong</v>
      </c>
      <c r="H94" s="244" t="str">
        <f t="shared" si="14"/>
        <v>Strong</v>
      </c>
      <c r="I94" s="244" t="str">
        <f t="shared" si="14"/>
        <v>Strong</v>
      </c>
    </row>
    <row r="99" spans="2:9">
      <c r="B99" s="331"/>
      <c r="C99" s="331"/>
      <c r="D99" s="331"/>
      <c r="E99" s="331"/>
      <c r="F99" s="331"/>
      <c r="G99" s="331"/>
      <c r="H99" s="331"/>
      <c r="I99" s="331"/>
    </row>
    <row r="117" ht="11.25" customHeight="1"/>
  </sheetData>
  <mergeCells count="12">
    <mergeCell ref="B61:I61"/>
    <mergeCell ref="B2:I2"/>
    <mergeCell ref="B10:I14"/>
    <mergeCell ref="B40:I40"/>
    <mergeCell ref="B55:I55"/>
    <mergeCell ref="B57:I57"/>
    <mergeCell ref="B99:I99"/>
    <mergeCell ref="B67:I67"/>
    <mergeCell ref="B85:I85"/>
    <mergeCell ref="B91:I91"/>
    <mergeCell ref="B73:I73"/>
    <mergeCell ref="B79:I79"/>
  </mergeCells>
  <pageMargins left="0.39370078740157483" right="0.23622047244094491" top="0.35433070866141736" bottom="0.23622047244094491" header="0.15748031496062992" footer="0"/>
  <pageSetup paperSize="9" scale="94" orientation="portrait" r:id="rId1"/>
  <headerFooter>
    <oddFooter>&amp;RPage &amp;P</oddFooter>
  </headerFooter>
  <rowBreaks count="1" manualBreakCount="1">
    <brk id="55"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K33"/>
  <sheetViews>
    <sheetView showGridLines="0" workbookViewId="0">
      <selection activeCell="V36" sqref="V36"/>
    </sheetView>
  </sheetViews>
  <sheetFormatPr defaultRowHeight="15"/>
  <cols>
    <col min="1" max="1" width="2.7109375" style="240" customWidth="1"/>
  </cols>
  <sheetData>
    <row r="2" spans="1:11">
      <c r="A2" s="240" t="s">
        <v>78</v>
      </c>
      <c r="B2" s="89" t="s">
        <v>8702</v>
      </c>
    </row>
    <row r="3" spans="1:11">
      <c r="B3" t="s">
        <v>8703</v>
      </c>
    </row>
    <row r="4" spans="1:11">
      <c r="B4" t="s">
        <v>8704</v>
      </c>
    </row>
    <row r="6" spans="1:11">
      <c r="A6" s="240" t="s">
        <v>78</v>
      </c>
      <c r="B6" s="89" t="s">
        <v>8705</v>
      </c>
      <c r="C6" s="89"/>
      <c r="D6" s="89"/>
      <c r="E6" s="89"/>
      <c r="F6" s="239" t="s">
        <v>8712</v>
      </c>
      <c r="G6" s="89"/>
      <c r="H6" s="89"/>
      <c r="I6" s="89"/>
      <c r="J6" s="89"/>
      <c r="K6" s="89"/>
    </row>
    <row r="7" spans="1:11">
      <c r="A7" s="240" t="s">
        <v>8719</v>
      </c>
      <c r="B7" t="s">
        <v>8706</v>
      </c>
      <c r="F7">
        <v>1.2</v>
      </c>
    </row>
    <row r="8" spans="1:11">
      <c r="A8" s="240" t="s">
        <v>8720</v>
      </c>
      <c r="B8" t="s">
        <v>8707</v>
      </c>
      <c r="F8">
        <v>1.4</v>
      </c>
    </row>
    <row r="9" spans="1:11">
      <c r="A9" s="240" t="s">
        <v>8721</v>
      </c>
      <c r="B9" t="s">
        <v>8709</v>
      </c>
      <c r="F9">
        <v>3.3</v>
      </c>
    </row>
    <row r="10" spans="1:11">
      <c r="A10" s="240" t="s">
        <v>8722</v>
      </c>
      <c r="B10" t="s">
        <v>8710</v>
      </c>
      <c r="F10">
        <v>0.6</v>
      </c>
    </row>
    <row r="11" spans="1:11">
      <c r="A11" s="240" t="s">
        <v>8723</v>
      </c>
      <c r="B11" t="s">
        <v>8711</v>
      </c>
      <c r="F11">
        <v>1</v>
      </c>
    </row>
    <row r="13" spans="1:11">
      <c r="A13" s="240" t="s">
        <v>78</v>
      </c>
      <c r="B13" s="89" t="s">
        <v>8713</v>
      </c>
      <c r="E13" t="s">
        <v>8718</v>
      </c>
    </row>
    <row r="14" spans="1:11">
      <c r="B14" s="89" t="s">
        <v>8714</v>
      </c>
      <c r="E14" t="s">
        <v>8717</v>
      </c>
    </row>
    <row r="15" spans="1:11">
      <c r="B15" s="89" t="s">
        <v>8715</v>
      </c>
      <c r="E15" t="s">
        <v>8716</v>
      </c>
    </row>
    <row r="17" spans="1:2">
      <c r="A17" s="240" t="s">
        <v>78</v>
      </c>
      <c r="B17" s="89" t="s">
        <v>8724</v>
      </c>
    </row>
    <row r="18" spans="1:2">
      <c r="A18" s="240" t="s">
        <v>8719</v>
      </c>
      <c r="B18" t="s">
        <v>8725</v>
      </c>
    </row>
    <row r="19" spans="1:2">
      <c r="B19" t="s">
        <v>8730</v>
      </c>
    </row>
    <row r="20" spans="1:2">
      <c r="B20" t="s">
        <v>8726</v>
      </c>
    </row>
    <row r="21" spans="1:2">
      <c r="B21" t="s">
        <v>8727</v>
      </c>
    </row>
    <row r="22" spans="1:2">
      <c r="B22" t="s">
        <v>8728</v>
      </c>
    </row>
    <row r="23" spans="1:2">
      <c r="B23" t="s">
        <v>8729</v>
      </c>
    </row>
    <row r="25" spans="1:2">
      <c r="A25" s="240" t="s">
        <v>8720</v>
      </c>
      <c r="B25" t="s">
        <v>8731</v>
      </c>
    </row>
    <row r="26" spans="1:2">
      <c r="B26" t="s">
        <v>8732</v>
      </c>
    </row>
    <row r="27" spans="1:2">
      <c r="B27" t="s">
        <v>8733</v>
      </c>
    </row>
    <row r="28" spans="1:2">
      <c r="B28" t="s">
        <v>8734</v>
      </c>
    </row>
    <row r="30" spans="1:2">
      <c r="A30" s="240" t="s">
        <v>8721</v>
      </c>
      <c r="B30" t="s">
        <v>8735</v>
      </c>
    </row>
    <row r="31" spans="1:2">
      <c r="B31" t="s">
        <v>8736</v>
      </c>
    </row>
    <row r="33" spans="1:2">
      <c r="A33" s="240" t="s">
        <v>8722</v>
      </c>
      <c r="B33" t="s">
        <v>8737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3</vt:i4>
      </vt:variant>
    </vt:vector>
  </HeadingPairs>
  <TitlesOfParts>
    <vt:vector size="28" baseType="lpstr">
      <vt:lpstr>Financials</vt:lpstr>
      <vt:lpstr>Historical FS</vt:lpstr>
      <vt:lpstr>Common Size Statement</vt:lpstr>
      <vt:lpstr>Ratios</vt:lpstr>
      <vt:lpstr>WACC</vt:lpstr>
      <vt:lpstr>Intrinsic Growth</vt:lpstr>
      <vt:lpstr>DCF</vt:lpstr>
      <vt:lpstr>Football Field</vt:lpstr>
      <vt:lpstr>Data</vt:lpstr>
      <vt:lpstr>Data Sheet</vt:lpstr>
      <vt:lpstr>WACC Data</vt:lpstr>
      <vt:lpstr>RAW FS</vt:lpstr>
      <vt:lpstr>Rm</vt:lpstr>
      <vt:lpstr>Sector Data</vt:lpstr>
      <vt:lpstr>RAW FSn</vt:lpstr>
      <vt:lpstr>RAW FS ITC</vt:lpstr>
      <vt:lpstr>List of Stocks</vt:lpstr>
      <vt:lpstr>Forecasts</vt:lpstr>
      <vt:lpstr>Forecasting</vt:lpstr>
      <vt:lpstr>Beta - Regression</vt:lpstr>
      <vt:lpstr>Historical Data</vt:lpstr>
      <vt:lpstr>Analysis</vt:lpstr>
      <vt:lpstr>Dupont Analysis</vt:lpstr>
      <vt:lpstr>Altman Z Score</vt:lpstr>
      <vt:lpstr>Altman Theory</vt:lpstr>
      <vt:lpstr>'Altman Z Score'!Print_Area</vt:lpstr>
      <vt:lpstr>'Dupont Analysis'!Print_Area</vt:lpstr>
      <vt:lpstr>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karnsharma</dc:creator>
  <cp:lastModifiedBy>Karn Sharma</cp:lastModifiedBy>
  <cp:lastPrinted>2025-11-11T17:44:29Z</cp:lastPrinted>
  <dcterms:created xsi:type="dcterms:W3CDTF">2025-07-30T18:17:56Z</dcterms:created>
  <dcterms:modified xsi:type="dcterms:W3CDTF">2025-11-18T10:59:29Z</dcterms:modified>
</cp:coreProperties>
</file>